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Raw Data" sheetId="1" state="visible" r:id="rId1"/>
    <sheet name="Summary" sheetId="2" state="visible" r:id="rId2"/>
    <sheet name="Dashboard" sheetId="3" state="visible" r:id="rId3"/>
    <sheet name="FP&amp;A - Budget vs Ac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4"/>
    </font>
    <font>
      <b val="1"/>
    </font>
    <font>
      <i val="1"/>
      <color rgb="00808080"/>
    </font>
    <font>
      <color rgb="000070C0"/>
    </font>
    <font>
      <b val="1"/>
      <color rgb="001F4E78"/>
      <sz val="16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" fontId="7" fillId="0" borderId="0" pivotButton="0" quotePrefix="0" xfId="0"/>
    <xf numFmtId="165" fontId="7" fillId="0" borderId="0" pivotButton="0" quotePrefix="0" xfId="0"/>
    <xf numFmtId="3" fontId="7" fillId="0" borderId="0" pivotButton="0" quotePrefix="0" xfId="0"/>
    <xf numFmtId="9" fontId="5" fillId="0" borderId="0" pivotButton="0" quotePrefix="0" xfId="0"/>
    <xf numFmtId="4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'Summary'!B4</f>
            </strRef>
          </tx>
          <spPr>
            <a:ln>
              <a:prstDash val="solid"/>
            </a:ln>
          </spPr>
          <cat>
            <numRef>
              <f>'Summary'!$A$5:$A$12</f>
            </numRef>
          </cat>
          <val>
            <numRef>
              <f>'Summary'!$B$5:$B$12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'Summary'!B24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'Summary'!$A$25:$A$49</f>
            </numRef>
          </cat>
          <val>
            <numRef>
              <f>'Summary'!$B$25:$B$49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Net 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Channel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'Summary'!B16</f>
            </strRef>
          </tx>
          <spPr>
            <a:ln>
              <a:prstDash val="solid"/>
            </a:ln>
          </spPr>
          <cat>
            <numRef>
              <f>'Summary'!$A$17:$A$20</f>
            </numRef>
          </cat>
          <val>
            <numRef>
              <f>'Summary'!$B$17:$B$20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18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34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O4740" headerRowCount="1">
  <autoFilter ref="A1:O4740"/>
  <tableColumns count="15">
    <tableColumn id="1" name="Order Date"/>
    <tableColumn id="2" name="Year"/>
    <tableColumn id="3" name="Month Name"/>
    <tableColumn id="4" name="Product"/>
    <tableColumn id="5" name="Category"/>
    <tableColumn id="6" name="Customer"/>
    <tableColumn id="7" name="Country"/>
    <tableColumn id="8" name="Channel"/>
    <tableColumn id="9" name="Quantity"/>
    <tableColumn id="10" name="Gross Amount"/>
    <tableColumn id="11" name="Discount Amount"/>
    <tableColumn id="12" name="Net Amount"/>
    <tableColumn id="13" name="Cost Amount"/>
    <tableColumn id="14" name="Margin"/>
    <tableColumn id="15" name="Perio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7" customWidth="1" min="11" max="11"/>
    <col width="12" customWidth="1" min="12" max="12"/>
    <col width="13" customWidth="1" min="13" max="13"/>
    <col width="12" customWidth="1" min="14" max="14"/>
    <col width="12" customWidth="1" min="15" max="15"/>
  </cols>
  <sheetData>
    <row r="1">
      <c r="A1" s="1" t="inlineStr">
        <is>
          <t>Order Date</t>
        </is>
      </c>
      <c r="B1" s="1" t="inlineStr">
        <is>
          <t>Year</t>
        </is>
      </c>
      <c r="C1" s="1" t="inlineStr">
        <is>
          <t>Month 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Customer</t>
        </is>
      </c>
      <c r="G1" s="1" t="inlineStr">
        <is>
          <t>Country</t>
        </is>
      </c>
      <c r="H1" s="1" t="inlineStr">
        <is>
          <t>Channel</t>
        </is>
      </c>
      <c r="I1" s="1" t="inlineStr">
        <is>
          <t>Quantity</t>
        </is>
      </c>
      <c r="J1" s="1" t="inlineStr">
        <is>
          <t>Gross Amount</t>
        </is>
      </c>
      <c r="K1" s="1" t="inlineStr">
        <is>
          <t>Discount Amount</t>
        </is>
      </c>
      <c r="L1" s="1" t="inlineStr">
        <is>
          <t>Net Amount</t>
        </is>
      </c>
      <c r="M1" s="1" t="inlineStr">
        <is>
          <t>Cost Amount</t>
        </is>
      </c>
      <c r="N1" s="1" t="inlineStr">
        <is>
          <t>Margin</t>
        </is>
      </c>
      <c r="O1" s="1" t="inlineStr">
        <is>
          <t>Period</t>
        </is>
      </c>
    </row>
    <row r="2">
      <c r="A2" s="2" t="n">
        <v>45537</v>
      </c>
      <c r="B2" t="n">
        <v>2024</v>
      </c>
      <c r="C2" t="inlineStr">
        <is>
          <t>September</t>
        </is>
      </c>
      <c r="D2" t="inlineStr">
        <is>
          <t>Wireless Coffee Beans</t>
        </is>
      </c>
      <c r="E2" t="inlineStr">
        <is>
          <t>Grocery</t>
        </is>
      </c>
      <c r="F2" t="inlineStr">
        <is>
          <t>Emily Garcia</t>
        </is>
      </c>
      <c r="G2" t="inlineStr">
        <is>
          <t>Germany</t>
        </is>
      </c>
      <c r="H2" t="inlineStr">
        <is>
          <t>Web Store</t>
        </is>
      </c>
      <c r="I2" t="n">
        <v>5</v>
      </c>
      <c r="J2" s="3" t="n">
        <v>1035.45</v>
      </c>
      <c r="K2" s="3" t="n">
        <v>0</v>
      </c>
      <c r="L2" s="3" t="n">
        <v>1035.45</v>
      </c>
      <c r="M2" s="3" t="n">
        <v>650.65</v>
      </c>
      <c r="N2" s="3" t="n">
        <v>384.8</v>
      </c>
      <c r="O2">
        <f>TEXT(A2,"yyyy-mm")</f>
        <v/>
      </c>
    </row>
    <row r="3">
      <c r="A3" s="2" t="n">
        <v>45537</v>
      </c>
      <c r="B3" t="n">
        <v>2024</v>
      </c>
      <c r="C3" t="inlineStr">
        <is>
          <t>September</t>
        </is>
      </c>
      <c r="D3" t="inlineStr">
        <is>
          <t>Ultra Toolset</t>
        </is>
      </c>
      <c r="E3" t="inlineStr">
        <is>
          <t>Home &amp; Garden</t>
        </is>
      </c>
      <c r="F3" t="inlineStr">
        <is>
          <t>Emily Garcia</t>
        </is>
      </c>
      <c r="G3" t="inlineStr">
        <is>
          <t>Germany</t>
        </is>
      </c>
      <c r="H3" t="inlineStr">
        <is>
          <t>Web Store</t>
        </is>
      </c>
      <c r="I3" t="n">
        <v>1</v>
      </c>
      <c r="J3" s="3" t="n">
        <v>360.76</v>
      </c>
      <c r="K3" s="3" t="n">
        <v>72.15000000000001</v>
      </c>
      <c r="L3" s="3" t="n">
        <v>288.61</v>
      </c>
      <c r="M3" s="3" t="n">
        <v>190.4</v>
      </c>
      <c r="N3" s="3" t="n">
        <v>98.20999999999999</v>
      </c>
      <c r="O3">
        <f>TEXT(A3,"yyyy-mm")</f>
        <v/>
      </c>
    </row>
    <row r="4">
      <c r="A4" s="2" t="n">
        <v>45538</v>
      </c>
      <c r="B4" t="n">
        <v>2024</v>
      </c>
      <c r="C4" t="inlineStr">
        <is>
          <t>September</t>
        </is>
      </c>
      <c r="D4" t="inlineStr">
        <is>
          <t>Eco Tent</t>
        </is>
      </c>
      <c r="E4" t="inlineStr">
        <is>
          <t>Sports &amp; Outdoors</t>
        </is>
      </c>
      <c r="F4" t="inlineStr">
        <is>
          <t>Mark Martin</t>
        </is>
      </c>
      <c r="G4" t="inlineStr">
        <is>
          <t>Spain</t>
        </is>
      </c>
      <c r="H4" t="inlineStr">
        <is>
          <t>Marketplace</t>
        </is>
      </c>
      <c r="I4" t="n">
        <v>4</v>
      </c>
      <c r="J4" s="3" t="n">
        <v>1016.6</v>
      </c>
      <c r="K4" s="3" t="n">
        <v>0</v>
      </c>
      <c r="L4" s="3" t="n">
        <v>1016.6</v>
      </c>
      <c r="M4" s="3" t="n">
        <v>540.12</v>
      </c>
      <c r="N4" s="3" t="n">
        <v>476.48</v>
      </c>
      <c r="O4">
        <f>TEXT(A4,"yyyy-mm")</f>
        <v/>
      </c>
    </row>
    <row r="5">
      <c r="A5" s="2" t="n">
        <v>45538</v>
      </c>
      <c r="B5" t="n">
        <v>2024</v>
      </c>
      <c r="C5" t="inlineStr">
        <is>
          <t>September</t>
        </is>
      </c>
      <c r="D5" t="inlineStr">
        <is>
          <t>Portable Toolset</t>
        </is>
      </c>
      <c r="E5" t="inlineStr">
        <is>
          <t>Home &amp; Garden</t>
        </is>
      </c>
      <c r="F5" t="inlineStr">
        <is>
          <t>Olivia Bianchi</t>
        </is>
      </c>
      <c r="G5" t="inlineStr">
        <is>
          <t>Spain</t>
        </is>
      </c>
      <c r="H5" t="inlineStr">
        <is>
          <t>Marketplace</t>
        </is>
      </c>
      <c r="I5" t="n">
        <v>2</v>
      </c>
      <c r="J5" s="3" t="n">
        <v>298.08</v>
      </c>
      <c r="K5" s="3" t="n">
        <v>0</v>
      </c>
      <c r="L5" s="3" t="n">
        <v>298.08</v>
      </c>
      <c r="M5" s="3" t="n">
        <v>185.7</v>
      </c>
      <c r="N5" s="3" t="n">
        <v>112.38</v>
      </c>
      <c r="O5">
        <f>TEXT(A5,"yyyy-mm")</f>
        <v/>
      </c>
    </row>
    <row r="6">
      <c r="A6" s="2" t="n">
        <v>45538</v>
      </c>
      <c r="B6" t="n">
        <v>2024</v>
      </c>
      <c r="C6" t="inlineStr">
        <is>
          <t>September</t>
        </is>
      </c>
      <c r="D6" t="inlineStr">
        <is>
          <t>Premium Cookbook</t>
        </is>
      </c>
      <c r="E6" t="inlineStr">
        <is>
          <t>Books</t>
        </is>
      </c>
      <c r="F6" t="inlineStr">
        <is>
          <t>Olivia Bianchi</t>
        </is>
      </c>
      <c r="G6" t="inlineStr">
        <is>
          <t>Spain</t>
        </is>
      </c>
      <c r="H6" t="inlineStr">
        <is>
          <t>Marketplace</t>
        </is>
      </c>
      <c r="I6" t="n">
        <v>5</v>
      </c>
      <c r="J6" s="3" t="n">
        <v>629.65</v>
      </c>
      <c r="K6" s="3" t="n">
        <v>31.48</v>
      </c>
      <c r="L6" s="3" t="n">
        <v>598.17</v>
      </c>
      <c r="M6" s="3" t="n">
        <v>474.9</v>
      </c>
      <c r="N6" s="3" t="n">
        <v>123.27</v>
      </c>
      <c r="O6">
        <f>TEXT(A6,"yyyy-mm")</f>
        <v/>
      </c>
    </row>
    <row r="7">
      <c r="A7" s="2" t="n">
        <v>45538</v>
      </c>
      <c r="B7" t="n">
        <v>2024</v>
      </c>
      <c r="C7" t="inlineStr">
        <is>
          <t>September</t>
        </is>
      </c>
      <c r="D7" t="inlineStr">
        <is>
          <t>Classic Tent</t>
        </is>
      </c>
      <c r="E7" t="inlineStr">
        <is>
          <t>Sports &amp; Outdoors</t>
        </is>
      </c>
      <c r="F7" t="inlineStr">
        <is>
          <t>Sophie Schmidt</t>
        </is>
      </c>
      <c r="G7" t="inlineStr">
        <is>
          <t>Germany</t>
        </is>
      </c>
      <c r="H7" t="inlineStr">
        <is>
          <t>Web Store</t>
        </is>
      </c>
      <c r="I7" t="n">
        <v>4</v>
      </c>
      <c r="J7" s="3" t="n">
        <v>789</v>
      </c>
      <c r="K7" s="3" t="n">
        <v>78.90000000000001</v>
      </c>
      <c r="L7" s="3" t="n">
        <v>710.1</v>
      </c>
      <c r="M7" s="3" t="n">
        <v>472.08</v>
      </c>
      <c r="N7" s="3" t="n">
        <v>238.02</v>
      </c>
      <c r="O7">
        <f>TEXT(A7,"yyyy-mm")</f>
        <v/>
      </c>
    </row>
    <row r="8">
      <c r="A8" s="2" t="n">
        <v>45538</v>
      </c>
      <c r="B8" t="n">
        <v>2024</v>
      </c>
      <c r="C8" t="inlineStr">
        <is>
          <t>September</t>
        </is>
      </c>
      <c r="D8" t="inlineStr">
        <is>
          <t>Deluxe Scarf</t>
        </is>
      </c>
      <c r="E8" t="inlineStr">
        <is>
          <t>Clothing</t>
        </is>
      </c>
      <c r="F8" t="inlineStr">
        <is>
          <t>Sophie Schmidt</t>
        </is>
      </c>
      <c r="G8" t="inlineStr">
        <is>
          <t>Germany</t>
        </is>
      </c>
      <c r="H8" t="inlineStr">
        <is>
          <t>Web Store</t>
        </is>
      </c>
      <c r="I8" t="n">
        <v>2</v>
      </c>
      <c r="J8" s="3" t="n">
        <v>412.14</v>
      </c>
      <c r="K8" s="3" t="n">
        <v>20.61</v>
      </c>
      <c r="L8" s="3" t="n">
        <v>391.53</v>
      </c>
      <c r="M8" s="3" t="n">
        <v>217.04</v>
      </c>
      <c r="N8" s="3" t="n">
        <v>174.49</v>
      </c>
      <c r="O8">
        <f>TEXT(A8,"yyyy-mm")</f>
        <v/>
      </c>
    </row>
    <row r="9">
      <c r="A9" s="2" t="n">
        <v>45538</v>
      </c>
      <c r="B9" t="n">
        <v>2024</v>
      </c>
      <c r="C9" t="inlineStr">
        <is>
          <t>September</t>
        </is>
      </c>
      <c r="D9" t="inlineStr">
        <is>
          <t>Premium Tent</t>
        </is>
      </c>
      <c r="E9" t="inlineStr">
        <is>
          <t>Sports &amp; Outdoors</t>
        </is>
      </c>
      <c r="F9" t="inlineStr">
        <is>
          <t>Olivia Bianchi</t>
        </is>
      </c>
      <c r="G9" t="inlineStr">
        <is>
          <t>Spain</t>
        </is>
      </c>
      <c r="H9" t="inlineStr">
        <is>
          <t>Marketplace</t>
        </is>
      </c>
      <c r="I9" t="n">
        <v>2</v>
      </c>
      <c r="J9" s="3" t="n">
        <v>507.7</v>
      </c>
      <c r="K9" s="3" t="n">
        <v>0</v>
      </c>
      <c r="L9" s="3" t="n">
        <v>507.7</v>
      </c>
      <c r="M9" s="3" t="n">
        <v>330.62</v>
      </c>
      <c r="N9" s="3" t="n">
        <v>177.08</v>
      </c>
      <c r="O9">
        <f>TEXT(A9,"yyyy-mm")</f>
        <v/>
      </c>
    </row>
    <row r="10">
      <c r="A10" s="2" t="n">
        <v>45538</v>
      </c>
      <c r="B10" t="n">
        <v>2024</v>
      </c>
      <c r="C10" t="inlineStr">
        <is>
          <t>September</t>
        </is>
      </c>
      <c r="D10" t="inlineStr">
        <is>
          <t>Deluxe Scarf</t>
        </is>
      </c>
      <c r="E10" t="inlineStr">
        <is>
          <t>Clothing</t>
        </is>
      </c>
      <c r="F10" t="inlineStr">
        <is>
          <t>Thomas Wojcik</t>
        </is>
      </c>
      <c r="G10" t="inlineStr">
        <is>
          <t>Spain</t>
        </is>
      </c>
      <c r="H10" t="inlineStr">
        <is>
          <t>Web Store</t>
        </is>
      </c>
      <c r="I10" t="n">
        <v>1</v>
      </c>
      <c r="J10" s="3" t="n">
        <v>209.69</v>
      </c>
      <c r="K10" s="3" t="n">
        <v>10.48</v>
      </c>
      <c r="L10" s="3" t="n">
        <v>199.21</v>
      </c>
      <c r="M10" s="3" t="n">
        <v>108.52</v>
      </c>
      <c r="N10" s="3" t="n">
        <v>90.69</v>
      </c>
      <c r="O10">
        <f>TEXT(A10,"yyyy-mm")</f>
        <v/>
      </c>
    </row>
    <row r="11">
      <c r="A11" s="2" t="n">
        <v>45538</v>
      </c>
      <c r="B11" t="n">
        <v>2024</v>
      </c>
      <c r="C11" t="inlineStr">
        <is>
          <t>September</t>
        </is>
      </c>
      <c r="D11" t="inlineStr">
        <is>
          <t>Essential Charger</t>
        </is>
      </c>
      <c r="E11" t="inlineStr">
        <is>
          <t>Electronics</t>
        </is>
      </c>
      <c r="F11" t="inlineStr">
        <is>
          <t>Thomas Wojcik</t>
        </is>
      </c>
      <c r="G11" t="inlineStr">
        <is>
          <t>Spain</t>
        </is>
      </c>
      <c r="H11" t="inlineStr">
        <is>
          <t>Web Store</t>
        </is>
      </c>
      <c r="I11" t="n">
        <v>3</v>
      </c>
      <c r="J11" s="3" t="n">
        <v>139.41</v>
      </c>
      <c r="K11" s="3" t="n">
        <v>6.97</v>
      </c>
      <c r="L11" s="3" t="n">
        <v>132.44</v>
      </c>
      <c r="M11" s="3" t="n">
        <v>87.3</v>
      </c>
      <c r="N11" s="3" t="n">
        <v>45.14</v>
      </c>
      <c r="O11">
        <f>TEXT(A11,"yyyy-mm")</f>
        <v/>
      </c>
    </row>
    <row r="12">
      <c r="A12" s="2" t="n">
        <v>45538</v>
      </c>
      <c r="B12" t="n">
        <v>2024</v>
      </c>
      <c r="C12" t="inlineStr">
        <is>
          <t>September</t>
        </is>
      </c>
      <c r="D12" t="inlineStr">
        <is>
          <t>Premium Tent</t>
        </is>
      </c>
      <c r="E12" t="inlineStr">
        <is>
          <t>Sports &amp; Outdoors</t>
        </is>
      </c>
      <c r="F12" t="inlineStr">
        <is>
          <t>Thomas Wojcik</t>
        </is>
      </c>
      <c r="G12" t="inlineStr">
        <is>
          <t>Spain</t>
        </is>
      </c>
      <c r="H12" t="inlineStr">
        <is>
          <t>Web Store</t>
        </is>
      </c>
      <c r="I12" t="n">
        <v>1</v>
      </c>
      <c r="J12" s="3" t="n">
        <v>269.18</v>
      </c>
      <c r="K12" s="3" t="n">
        <v>26.92</v>
      </c>
      <c r="L12" s="3" t="n">
        <v>242.26</v>
      </c>
      <c r="M12" s="3" t="n">
        <v>139.04</v>
      </c>
      <c r="N12" s="3" t="n">
        <v>103.22</v>
      </c>
      <c r="O12">
        <f>TEXT(A12,"yyyy-mm")</f>
        <v/>
      </c>
    </row>
    <row r="13">
      <c r="A13" s="2" t="n">
        <v>45538</v>
      </c>
      <c r="B13" t="n">
        <v>2024</v>
      </c>
      <c r="C13" t="inlineStr">
        <is>
          <t>September</t>
        </is>
      </c>
      <c r="D13" t="inlineStr">
        <is>
          <t>Smart Face Cream</t>
        </is>
      </c>
      <c r="E13" t="inlineStr">
        <is>
          <t>Beauty &amp; Health</t>
        </is>
      </c>
      <c r="F13" t="inlineStr">
        <is>
          <t>Sophie Schmidt</t>
        </is>
      </c>
      <c r="G13" t="inlineStr">
        <is>
          <t>Germany</t>
        </is>
      </c>
      <c r="H13" t="inlineStr">
        <is>
          <t>Web Store</t>
        </is>
      </c>
      <c r="I13" t="n">
        <v>4</v>
      </c>
      <c r="J13" s="3" t="n">
        <v>1080</v>
      </c>
      <c r="K13" s="3" t="n">
        <v>54</v>
      </c>
      <c r="L13" s="3" t="n">
        <v>1026</v>
      </c>
      <c r="M13" s="3" t="n">
        <v>772.5599999999999</v>
      </c>
      <c r="N13" s="3" t="n">
        <v>253.44</v>
      </c>
      <c r="O13">
        <f>TEXT(A13,"yyyy-mm")</f>
        <v/>
      </c>
    </row>
    <row r="14">
      <c r="A14" s="2" t="n">
        <v>45538</v>
      </c>
      <c r="B14" t="n">
        <v>2024</v>
      </c>
      <c r="C14" t="inlineStr">
        <is>
          <t>September</t>
        </is>
      </c>
      <c r="D14" t="inlineStr">
        <is>
          <t>Essential Pasta</t>
        </is>
      </c>
      <c r="E14" t="inlineStr">
        <is>
          <t>Grocery</t>
        </is>
      </c>
      <c r="F14" t="inlineStr">
        <is>
          <t>Sophie Schmidt</t>
        </is>
      </c>
      <c r="G14" t="inlineStr">
        <is>
          <t>Germany</t>
        </is>
      </c>
      <c r="H14" t="inlineStr">
        <is>
          <t>Web Store</t>
        </is>
      </c>
      <c r="I14" t="n">
        <v>1</v>
      </c>
      <c r="J14" s="3" t="n">
        <v>57.34</v>
      </c>
      <c r="K14" s="3" t="n">
        <v>0</v>
      </c>
      <c r="L14" s="3" t="n">
        <v>57.34</v>
      </c>
      <c r="M14" s="3" t="n">
        <v>35.81</v>
      </c>
      <c r="N14" s="3" t="n">
        <v>21.53</v>
      </c>
      <c r="O14">
        <f>TEXT(A14,"yyyy-mm")</f>
        <v/>
      </c>
    </row>
    <row r="15">
      <c r="A15" s="2" t="n">
        <v>45538</v>
      </c>
      <c r="B15" t="n">
        <v>2024</v>
      </c>
      <c r="C15" t="inlineStr">
        <is>
          <t>September</t>
        </is>
      </c>
      <c r="D15" t="inlineStr">
        <is>
          <t>Smart Drone</t>
        </is>
      </c>
      <c r="E15" t="inlineStr">
        <is>
          <t>Toys &amp; Games</t>
        </is>
      </c>
      <c r="F15" t="inlineStr">
        <is>
          <t>Thomas Wojcik</t>
        </is>
      </c>
      <c r="G15" t="inlineStr">
        <is>
          <t>Spain</t>
        </is>
      </c>
      <c r="H15" t="inlineStr">
        <is>
          <t>Web Store</t>
        </is>
      </c>
      <c r="I15" t="n">
        <v>5</v>
      </c>
      <c r="J15" s="3" t="n">
        <v>1062.8</v>
      </c>
      <c r="K15" s="3" t="n">
        <v>212.56</v>
      </c>
      <c r="L15" s="3" t="n">
        <v>850.24</v>
      </c>
      <c r="M15" s="3" t="n">
        <v>634.75</v>
      </c>
      <c r="N15" s="3" t="n">
        <v>215.49</v>
      </c>
      <c r="O15">
        <f>TEXT(A15,"yyyy-mm")</f>
        <v/>
      </c>
    </row>
    <row r="16">
      <c r="A16" s="2" t="n">
        <v>45539</v>
      </c>
      <c r="B16" t="n">
        <v>2024</v>
      </c>
      <c r="C16" t="inlineStr">
        <is>
          <t>September</t>
        </is>
      </c>
      <c r="D16" t="inlineStr">
        <is>
          <t>Premium Water Bottle</t>
        </is>
      </c>
      <c r="E16" t="inlineStr">
        <is>
          <t>Sports &amp; Outdoors</t>
        </is>
      </c>
      <c r="F16" t="inlineStr">
        <is>
          <t>Nina Zielinski</t>
        </is>
      </c>
      <c r="G16" t="inlineStr">
        <is>
          <t>United Kingdom</t>
        </is>
      </c>
      <c r="H16" t="inlineStr">
        <is>
          <t>Marketplace</t>
        </is>
      </c>
      <c r="I16" t="n">
        <v>1</v>
      </c>
      <c r="J16" s="3" t="n">
        <v>30.52</v>
      </c>
      <c r="K16" s="3" t="n">
        <v>4.58</v>
      </c>
      <c r="L16" s="3" t="n">
        <v>25.94</v>
      </c>
      <c r="M16" s="3" t="n">
        <v>16.63</v>
      </c>
      <c r="N16" s="3" t="n">
        <v>9.31</v>
      </c>
      <c r="O16">
        <f>TEXT(A16,"yyyy-mm")</f>
        <v/>
      </c>
    </row>
    <row r="17">
      <c r="A17" s="2" t="n">
        <v>45539</v>
      </c>
      <c r="B17" t="n">
        <v>2024</v>
      </c>
      <c r="C17" t="inlineStr">
        <is>
          <t>September</t>
        </is>
      </c>
      <c r="D17" t="inlineStr">
        <is>
          <t>Portable Tea Set</t>
        </is>
      </c>
      <c r="E17" t="inlineStr">
        <is>
          <t>Grocery</t>
        </is>
      </c>
      <c r="F17" t="inlineStr">
        <is>
          <t>Daniel Nowak</t>
        </is>
      </c>
      <c r="G17" t="inlineStr">
        <is>
          <t>Netherlands</t>
        </is>
      </c>
      <c r="H17" t="inlineStr">
        <is>
          <t>Marketplace</t>
        </is>
      </c>
      <c r="I17" t="n">
        <v>1</v>
      </c>
      <c r="J17" s="3" t="n">
        <v>264.42</v>
      </c>
      <c r="K17" s="3" t="n">
        <v>13.22</v>
      </c>
      <c r="L17" s="3" t="n">
        <v>251.2</v>
      </c>
      <c r="M17" s="3" t="n">
        <v>188.12</v>
      </c>
      <c r="N17" s="3" t="n">
        <v>63.08</v>
      </c>
      <c r="O17">
        <f>TEXT(A17,"yyyy-mm")</f>
        <v/>
      </c>
    </row>
    <row r="18">
      <c r="A18" s="2" t="n">
        <v>45539</v>
      </c>
      <c r="B18" t="n">
        <v>2024</v>
      </c>
      <c r="C18" t="inlineStr">
        <is>
          <t>September</t>
        </is>
      </c>
      <c r="D18" t="inlineStr">
        <is>
          <t>Ultra Toolset</t>
        </is>
      </c>
      <c r="E18" t="inlineStr">
        <is>
          <t>Home &amp; Garden</t>
        </is>
      </c>
      <c r="F18" t="inlineStr">
        <is>
          <t>Daniel Nowak</t>
        </is>
      </c>
      <c r="G18" t="inlineStr">
        <is>
          <t>Netherlands</t>
        </is>
      </c>
      <c r="H18" t="inlineStr">
        <is>
          <t>Marketplace</t>
        </is>
      </c>
      <c r="I18" t="n">
        <v>3</v>
      </c>
      <c r="J18" s="3" t="n">
        <v>1058.49</v>
      </c>
      <c r="K18" s="3" t="n">
        <v>158.77</v>
      </c>
      <c r="L18" s="3" t="n">
        <v>899.72</v>
      </c>
      <c r="M18" s="3" t="n">
        <v>571.2</v>
      </c>
      <c r="N18" s="3" t="n">
        <v>328.52</v>
      </c>
      <c r="O18">
        <f>TEXT(A18,"yyyy-mm")</f>
        <v/>
      </c>
    </row>
    <row r="19">
      <c r="A19" s="2" t="n">
        <v>45539</v>
      </c>
      <c r="B19" t="n">
        <v>2024</v>
      </c>
      <c r="C19" t="inlineStr">
        <is>
          <t>September</t>
        </is>
      </c>
      <c r="D19" t="inlineStr">
        <is>
          <t>Deluxe Smartwatch</t>
        </is>
      </c>
      <c r="E19" t="inlineStr">
        <is>
          <t>Electronics</t>
        </is>
      </c>
      <c r="F19" t="inlineStr">
        <is>
          <t>Daniel Nowak</t>
        </is>
      </c>
      <c r="G19" t="inlineStr">
        <is>
          <t>Netherlands</t>
        </is>
      </c>
      <c r="H19" t="inlineStr">
        <is>
          <t>Marketplace</t>
        </is>
      </c>
      <c r="I19" t="n">
        <v>1</v>
      </c>
      <c r="J19" s="3" t="n">
        <v>168.99</v>
      </c>
      <c r="K19" s="3" t="n">
        <v>16.9</v>
      </c>
      <c r="L19" s="3" t="n">
        <v>152.09</v>
      </c>
      <c r="M19" s="3" t="n">
        <v>122.72</v>
      </c>
      <c r="N19" s="3" t="n">
        <v>29.37</v>
      </c>
      <c r="O19">
        <f>TEXT(A19,"yyyy-mm")</f>
        <v/>
      </c>
    </row>
    <row r="20">
      <c r="A20" s="2" t="n">
        <v>45539</v>
      </c>
      <c r="B20" t="n">
        <v>2024</v>
      </c>
      <c r="C20" t="inlineStr">
        <is>
          <t>September</t>
        </is>
      </c>
      <c r="D20" t="inlineStr">
        <is>
          <t>Wireless Coffee Beans</t>
        </is>
      </c>
      <c r="E20" t="inlineStr">
        <is>
          <t>Grocery</t>
        </is>
      </c>
      <c r="F20" t="inlineStr">
        <is>
          <t>Daniel Nowak</t>
        </is>
      </c>
      <c r="G20" t="inlineStr">
        <is>
          <t>Netherlands</t>
        </is>
      </c>
      <c r="H20" t="inlineStr">
        <is>
          <t>Marketplace</t>
        </is>
      </c>
      <c r="I20" t="n">
        <v>5</v>
      </c>
      <c r="J20" s="3" t="n">
        <v>585.85</v>
      </c>
      <c r="K20" s="3" t="n">
        <v>117.17</v>
      </c>
      <c r="L20" s="3" t="n">
        <v>468.68</v>
      </c>
      <c r="M20" s="3" t="n">
        <v>396.85</v>
      </c>
      <c r="N20" s="3" t="n">
        <v>71.83</v>
      </c>
      <c r="O20">
        <f>TEXT(A20,"yyyy-mm")</f>
        <v/>
      </c>
    </row>
    <row r="21">
      <c r="A21" s="2" t="n">
        <v>45539</v>
      </c>
      <c r="B21" t="n">
        <v>2024</v>
      </c>
      <c r="C21" t="inlineStr">
        <is>
          <t>September</t>
        </is>
      </c>
      <c r="D21" t="inlineStr">
        <is>
          <t>Compact Biography</t>
        </is>
      </c>
      <c r="E21" t="inlineStr">
        <is>
          <t>Books</t>
        </is>
      </c>
      <c r="F21" t="inlineStr">
        <is>
          <t>Sophie Garcia</t>
        </is>
      </c>
      <c r="G21" t="inlineStr">
        <is>
          <t>France</t>
        </is>
      </c>
      <c r="H21" t="inlineStr">
        <is>
          <t>Retail Store</t>
        </is>
      </c>
      <c r="I21" t="n">
        <v>5</v>
      </c>
      <c r="J21" s="3" t="n">
        <v>1257.7</v>
      </c>
      <c r="K21" s="3" t="n">
        <v>251.54</v>
      </c>
      <c r="L21" s="3" t="n">
        <v>1006.16</v>
      </c>
      <c r="M21" s="3" t="n">
        <v>701.65</v>
      </c>
      <c r="N21" s="3" t="n">
        <v>304.51</v>
      </c>
      <c r="O21">
        <f>TEXT(A21,"yyyy-mm")</f>
        <v/>
      </c>
    </row>
    <row r="22">
      <c r="A22" s="2" t="n">
        <v>45540</v>
      </c>
      <c r="B22" t="n">
        <v>2024</v>
      </c>
      <c r="C22" t="inlineStr">
        <is>
          <t>September</t>
        </is>
      </c>
      <c r="D22" t="inlineStr">
        <is>
          <t>Premium Tent</t>
        </is>
      </c>
      <c r="E22" t="inlineStr">
        <is>
          <t>Sports &amp; Outdoors</t>
        </is>
      </c>
      <c r="F22" t="inlineStr">
        <is>
          <t>Clara Garcia</t>
        </is>
      </c>
      <c r="G22" t="inlineStr">
        <is>
          <t>France</t>
        </is>
      </c>
      <c r="H22" t="inlineStr">
        <is>
          <t>Marketplace</t>
        </is>
      </c>
      <c r="I22" t="n">
        <v>4</v>
      </c>
      <c r="J22" s="3" t="n">
        <v>976</v>
      </c>
      <c r="K22" s="3" t="n">
        <v>0</v>
      </c>
      <c r="L22" s="3" t="n">
        <v>976</v>
      </c>
      <c r="M22" s="3" t="n">
        <v>661.24</v>
      </c>
      <c r="N22" s="3" t="n">
        <v>314.76</v>
      </c>
      <c r="O22">
        <f>TEXT(A22,"yyyy-mm")</f>
        <v/>
      </c>
    </row>
    <row r="23">
      <c r="A23" s="2" t="n">
        <v>45540</v>
      </c>
      <c r="B23" t="n">
        <v>2024</v>
      </c>
      <c r="C23" t="inlineStr">
        <is>
          <t>September</t>
        </is>
      </c>
      <c r="D23" t="inlineStr">
        <is>
          <t>Portable Tea Set</t>
        </is>
      </c>
      <c r="E23" t="inlineStr">
        <is>
          <t>Grocery</t>
        </is>
      </c>
      <c r="F23" t="inlineStr">
        <is>
          <t>Sophie Dubois</t>
        </is>
      </c>
      <c r="G23" t="inlineStr">
        <is>
          <t>United Kingdom</t>
        </is>
      </c>
      <c r="H23" t="inlineStr">
        <is>
          <t>Mobile App</t>
        </is>
      </c>
      <c r="I23" t="n">
        <v>4</v>
      </c>
      <c r="J23" s="3" t="n">
        <v>1096</v>
      </c>
      <c r="K23" s="3" t="n">
        <v>0</v>
      </c>
      <c r="L23" s="3" t="n">
        <v>1096</v>
      </c>
      <c r="M23" s="3" t="n">
        <v>752.48</v>
      </c>
      <c r="N23" s="3" t="n">
        <v>343.52</v>
      </c>
      <c r="O23">
        <f>TEXT(A23,"yyyy-mm")</f>
        <v/>
      </c>
    </row>
    <row r="24">
      <c r="A24" s="2" t="n">
        <v>45540</v>
      </c>
      <c r="B24" t="n">
        <v>2024</v>
      </c>
      <c r="C24" t="inlineStr">
        <is>
          <t>September</t>
        </is>
      </c>
      <c r="D24" t="inlineStr">
        <is>
          <t>Smart Drone</t>
        </is>
      </c>
      <c r="E24" t="inlineStr">
        <is>
          <t>Toys &amp; Games</t>
        </is>
      </c>
      <c r="F24" t="inlineStr">
        <is>
          <t>Sophie Dubois</t>
        </is>
      </c>
      <c r="G24" t="inlineStr">
        <is>
          <t>United Kingdom</t>
        </is>
      </c>
      <c r="H24" t="inlineStr">
        <is>
          <t>Mobile App</t>
        </is>
      </c>
      <c r="I24" t="n">
        <v>1</v>
      </c>
      <c r="J24" s="3" t="n">
        <v>218.81</v>
      </c>
      <c r="K24" s="3" t="n">
        <v>43.76</v>
      </c>
      <c r="L24" s="3" t="n">
        <v>175.05</v>
      </c>
      <c r="M24" s="3" t="n">
        <v>126.95</v>
      </c>
      <c r="N24" s="3" t="n">
        <v>48.1</v>
      </c>
      <c r="O24">
        <f>TEXT(A24,"yyyy-mm")</f>
        <v/>
      </c>
    </row>
    <row r="25">
      <c r="A25" s="2" t="n">
        <v>45541</v>
      </c>
      <c r="B25" t="n">
        <v>2024</v>
      </c>
      <c r="C25" t="inlineStr">
        <is>
          <t>September</t>
        </is>
      </c>
      <c r="D25" t="inlineStr">
        <is>
          <t>Smart Tea Set</t>
        </is>
      </c>
      <c r="E25" t="inlineStr">
        <is>
          <t>Grocery</t>
        </is>
      </c>
      <c r="F25" t="inlineStr">
        <is>
          <t>Emma Schmidt</t>
        </is>
      </c>
      <c r="G25" t="inlineStr">
        <is>
          <t>United States</t>
        </is>
      </c>
      <c r="H25" t="inlineStr">
        <is>
          <t>Retail Store</t>
        </is>
      </c>
      <c r="I25" t="n">
        <v>2</v>
      </c>
      <c r="J25" s="3" t="n">
        <v>184.66</v>
      </c>
      <c r="K25" s="3" t="n">
        <v>36.93</v>
      </c>
      <c r="L25" s="3" t="n">
        <v>147.73</v>
      </c>
      <c r="M25" s="3" t="n">
        <v>123.6</v>
      </c>
      <c r="N25" s="3" t="n">
        <v>24.13</v>
      </c>
      <c r="O25">
        <f>TEXT(A25,"yyyy-mm")</f>
        <v/>
      </c>
    </row>
    <row r="26">
      <c r="A26" s="2" t="n">
        <v>45542</v>
      </c>
      <c r="B26" t="n">
        <v>2024</v>
      </c>
      <c r="C26" t="inlineStr">
        <is>
          <t>September</t>
        </is>
      </c>
      <c r="D26" t="inlineStr">
        <is>
          <t>Eco Tent</t>
        </is>
      </c>
      <c r="E26" t="inlineStr">
        <is>
          <t>Sports &amp; Outdoors</t>
        </is>
      </c>
      <c r="F26" t="inlineStr">
        <is>
          <t>Peter Smith</t>
        </is>
      </c>
      <c r="G26" t="inlineStr">
        <is>
          <t>Italy</t>
        </is>
      </c>
      <c r="H26" t="inlineStr">
        <is>
          <t>Web Store</t>
        </is>
      </c>
      <c r="I26" t="n">
        <v>4</v>
      </c>
      <c r="J26" s="3" t="n">
        <v>272.56</v>
      </c>
      <c r="K26" s="3" t="n">
        <v>54.51</v>
      </c>
      <c r="L26" s="3" t="n">
        <v>218.05</v>
      </c>
      <c r="M26" s="3" t="n">
        <v>175.4</v>
      </c>
      <c r="N26" s="3" t="n">
        <v>42.65</v>
      </c>
      <c r="O26">
        <f>TEXT(A26,"yyyy-mm")</f>
        <v/>
      </c>
    </row>
    <row r="27">
      <c r="A27" s="2" t="n">
        <v>45542</v>
      </c>
      <c r="B27" t="n">
        <v>2024</v>
      </c>
      <c r="C27" t="inlineStr">
        <is>
          <t>September</t>
        </is>
      </c>
      <c r="D27" t="inlineStr">
        <is>
          <t>Deluxe Notebook</t>
        </is>
      </c>
      <c r="E27" t="inlineStr">
        <is>
          <t>Books</t>
        </is>
      </c>
      <c r="F27" t="inlineStr">
        <is>
          <t>Peter Smith</t>
        </is>
      </c>
      <c r="G27" t="inlineStr">
        <is>
          <t>Italy</t>
        </is>
      </c>
      <c r="H27" t="inlineStr">
        <is>
          <t>Web Store</t>
        </is>
      </c>
      <c r="I27" t="n">
        <v>3</v>
      </c>
      <c r="J27" s="3" t="n">
        <v>624.27</v>
      </c>
      <c r="K27" s="3" t="n">
        <v>93.64</v>
      </c>
      <c r="L27" s="3" t="n">
        <v>530.63</v>
      </c>
      <c r="M27" s="3" t="n">
        <v>452.28</v>
      </c>
      <c r="N27" s="3" t="n">
        <v>78.34999999999999</v>
      </c>
      <c r="O27">
        <f>TEXT(A27,"yyyy-mm")</f>
        <v/>
      </c>
    </row>
    <row r="28">
      <c r="A28" s="2" t="n">
        <v>45542</v>
      </c>
      <c r="B28" t="n">
        <v>2024</v>
      </c>
      <c r="C28" t="inlineStr">
        <is>
          <t>September</t>
        </is>
      </c>
      <c r="D28" t="inlineStr">
        <is>
          <t>Essential Cushion</t>
        </is>
      </c>
      <c r="E28" t="inlineStr">
        <is>
          <t>Home &amp; Garden</t>
        </is>
      </c>
      <c r="F28" t="inlineStr">
        <is>
          <t>Thomas Fischer</t>
        </is>
      </c>
      <c r="G28" t="inlineStr">
        <is>
          <t>France</t>
        </is>
      </c>
      <c r="H28" t="inlineStr">
        <is>
          <t>Retail Store</t>
        </is>
      </c>
      <c r="I28" t="n">
        <v>1</v>
      </c>
      <c r="J28" s="3" t="n">
        <v>47.2</v>
      </c>
      <c r="K28" s="3" t="n">
        <v>0</v>
      </c>
      <c r="L28" s="3" t="n">
        <v>47.2</v>
      </c>
      <c r="M28" s="3" t="n">
        <v>30.55</v>
      </c>
      <c r="N28" s="3" t="n">
        <v>16.65</v>
      </c>
      <c r="O28">
        <f>TEXT(A28,"yyyy-mm")</f>
        <v/>
      </c>
    </row>
    <row r="29">
      <c r="A29" s="2" t="n">
        <v>45542</v>
      </c>
      <c r="B29" t="n">
        <v>2024</v>
      </c>
      <c r="C29" t="inlineStr">
        <is>
          <t>September</t>
        </is>
      </c>
      <c r="D29" t="inlineStr">
        <is>
          <t>Classic Tea Set</t>
        </is>
      </c>
      <c r="E29" t="inlineStr">
        <is>
          <t>Grocery</t>
        </is>
      </c>
      <c r="F29" t="inlineStr">
        <is>
          <t>Thomas Fischer</t>
        </is>
      </c>
      <c r="G29" t="inlineStr">
        <is>
          <t>France</t>
        </is>
      </c>
      <c r="H29" t="inlineStr">
        <is>
          <t>Retail Store</t>
        </is>
      </c>
      <c r="I29" t="n">
        <v>4</v>
      </c>
      <c r="J29" s="3" t="n">
        <v>755.8</v>
      </c>
      <c r="K29" s="3" t="n">
        <v>0</v>
      </c>
      <c r="L29" s="3" t="n">
        <v>755.8</v>
      </c>
      <c r="M29" s="3" t="n">
        <v>501.6</v>
      </c>
      <c r="N29" s="3" t="n">
        <v>254.2</v>
      </c>
      <c r="O29">
        <f>TEXT(A29,"yyyy-mm")</f>
        <v/>
      </c>
    </row>
    <row r="30">
      <c r="A30" s="2" t="n">
        <v>45542</v>
      </c>
      <c r="B30" t="n">
        <v>2024</v>
      </c>
      <c r="C30" t="inlineStr">
        <is>
          <t>September</t>
        </is>
      </c>
      <c r="D30" t="inlineStr">
        <is>
          <t>Essential Charger</t>
        </is>
      </c>
      <c r="E30" t="inlineStr">
        <is>
          <t>Electronics</t>
        </is>
      </c>
      <c r="F30" t="inlineStr">
        <is>
          <t>Olivia Conti</t>
        </is>
      </c>
      <c r="G30" t="inlineStr">
        <is>
          <t>Poland</t>
        </is>
      </c>
      <c r="H30" t="inlineStr">
        <is>
          <t>Web Store</t>
        </is>
      </c>
      <c r="I30" t="n">
        <v>1</v>
      </c>
      <c r="J30" s="3" t="n">
        <v>45.54</v>
      </c>
      <c r="K30" s="3" t="n">
        <v>4.55</v>
      </c>
      <c r="L30" s="3" t="n">
        <v>40.99</v>
      </c>
      <c r="M30" s="3" t="n">
        <v>29.1</v>
      </c>
      <c r="N30" s="3" t="n">
        <v>11.89</v>
      </c>
      <c r="O30">
        <f>TEXT(A30,"yyyy-mm")</f>
        <v/>
      </c>
    </row>
    <row r="31">
      <c r="A31" s="2" t="n">
        <v>45542</v>
      </c>
      <c r="B31" t="n">
        <v>2024</v>
      </c>
      <c r="C31" t="inlineStr">
        <is>
          <t>September</t>
        </is>
      </c>
      <c r="D31" t="inlineStr">
        <is>
          <t>Wireless Coffee Beans</t>
        </is>
      </c>
      <c r="E31" t="inlineStr">
        <is>
          <t>Grocery</t>
        </is>
      </c>
      <c r="F31" t="inlineStr">
        <is>
          <t>Olivia Conti</t>
        </is>
      </c>
      <c r="G31" t="inlineStr">
        <is>
          <t>Poland</t>
        </is>
      </c>
      <c r="H31" t="inlineStr">
        <is>
          <t>Web Store</t>
        </is>
      </c>
      <c r="I31" t="n">
        <v>4</v>
      </c>
      <c r="J31" s="3" t="n">
        <v>494.48</v>
      </c>
      <c r="K31" s="3" t="n">
        <v>0</v>
      </c>
      <c r="L31" s="3" t="n">
        <v>494.48</v>
      </c>
      <c r="M31" s="3" t="n">
        <v>317.48</v>
      </c>
      <c r="N31" s="3" t="n">
        <v>177</v>
      </c>
      <c r="O31">
        <f>TEXT(A31,"yyyy-mm")</f>
        <v/>
      </c>
    </row>
    <row r="32">
      <c r="A32" s="2" t="n">
        <v>45542</v>
      </c>
      <c r="B32" t="n">
        <v>2024</v>
      </c>
      <c r="C32" t="inlineStr">
        <is>
          <t>September</t>
        </is>
      </c>
      <c r="D32" t="inlineStr">
        <is>
          <t>Smart Drone</t>
        </is>
      </c>
      <c r="E32" t="inlineStr">
        <is>
          <t>Toys &amp; Games</t>
        </is>
      </c>
      <c r="F32" t="inlineStr">
        <is>
          <t>Olivia Conti</t>
        </is>
      </c>
      <c r="G32" t="inlineStr">
        <is>
          <t>Poland</t>
        </is>
      </c>
      <c r="H32" t="inlineStr">
        <is>
          <t>Web Store</t>
        </is>
      </c>
      <c r="I32" t="n">
        <v>1</v>
      </c>
      <c r="J32" s="3" t="n">
        <v>211.85</v>
      </c>
      <c r="K32" s="3" t="n">
        <v>31.78</v>
      </c>
      <c r="L32" s="3" t="n">
        <v>180.07</v>
      </c>
      <c r="M32" s="3" t="n">
        <v>126.95</v>
      </c>
      <c r="N32" s="3" t="n">
        <v>53.12</v>
      </c>
      <c r="O32">
        <f>TEXT(A32,"yyyy-mm")</f>
        <v/>
      </c>
    </row>
    <row r="33">
      <c r="A33" s="2" t="n">
        <v>45542</v>
      </c>
      <c r="B33" t="n">
        <v>2024</v>
      </c>
      <c r="C33" t="inlineStr">
        <is>
          <t>September</t>
        </is>
      </c>
      <c r="D33" t="inlineStr">
        <is>
          <t>Smart Olive Oil</t>
        </is>
      </c>
      <c r="E33" t="inlineStr">
        <is>
          <t>Grocery</t>
        </is>
      </c>
      <c r="F33" t="inlineStr">
        <is>
          <t>Olivia Conti</t>
        </is>
      </c>
      <c r="G33" t="inlineStr">
        <is>
          <t>Poland</t>
        </is>
      </c>
      <c r="H33" t="inlineStr">
        <is>
          <t>Web Store</t>
        </is>
      </c>
      <c r="I33" t="n">
        <v>4</v>
      </c>
      <c r="J33" s="3" t="n">
        <v>657.2</v>
      </c>
      <c r="K33" s="3" t="n">
        <v>65.72</v>
      </c>
      <c r="L33" s="3" t="n">
        <v>591.48</v>
      </c>
      <c r="M33" s="3" t="n">
        <v>440.08</v>
      </c>
      <c r="N33" s="3" t="n">
        <v>151.4</v>
      </c>
      <c r="O33">
        <f>TEXT(A33,"yyyy-mm")</f>
        <v/>
      </c>
    </row>
    <row r="34">
      <c r="A34" s="2" t="n">
        <v>45542</v>
      </c>
      <c r="B34" t="n">
        <v>2024</v>
      </c>
      <c r="C34" t="inlineStr">
        <is>
          <t>September</t>
        </is>
      </c>
      <c r="D34" t="inlineStr">
        <is>
          <t>Classic Sunscreen</t>
        </is>
      </c>
      <c r="E34" t="inlineStr">
        <is>
          <t>Beauty &amp; Health</t>
        </is>
      </c>
      <c r="F34" t="inlineStr">
        <is>
          <t>Olivia Schmidt</t>
        </is>
      </c>
      <c r="G34" t="inlineStr">
        <is>
          <t>United States</t>
        </is>
      </c>
      <c r="H34" t="inlineStr">
        <is>
          <t>Web Store</t>
        </is>
      </c>
      <c r="I34" t="n">
        <v>2</v>
      </c>
      <c r="J34" s="3" t="n">
        <v>289.36</v>
      </c>
      <c r="K34" s="3" t="n">
        <v>0</v>
      </c>
      <c r="L34" s="3" t="n">
        <v>289.36</v>
      </c>
      <c r="M34" s="3" t="n">
        <v>187.38</v>
      </c>
      <c r="N34" s="3" t="n">
        <v>101.98</v>
      </c>
      <c r="O34">
        <f>TEXT(A34,"yyyy-mm")</f>
        <v/>
      </c>
    </row>
    <row r="35">
      <c r="A35" s="2" t="n">
        <v>45542</v>
      </c>
      <c r="B35" t="n">
        <v>2024</v>
      </c>
      <c r="C35" t="inlineStr">
        <is>
          <t>September</t>
        </is>
      </c>
      <c r="D35" t="inlineStr">
        <is>
          <t>Portable Pasta</t>
        </is>
      </c>
      <c r="E35" t="inlineStr">
        <is>
          <t>Grocery</t>
        </is>
      </c>
      <c r="F35" t="inlineStr">
        <is>
          <t>Olivia Schmidt</t>
        </is>
      </c>
      <c r="G35" t="inlineStr">
        <is>
          <t>United States</t>
        </is>
      </c>
      <c r="H35" t="inlineStr">
        <is>
          <t>Web Store</t>
        </is>
      </c>
      <c r="I35" t="n">
        <v>3</v>
      </c>
      <c r="J35" s="3" t="n">
        <v>111.96</v>
      </c>
      <c r="K35" s="3" t="n">
        <v>0</v>
      </c>
      <c r="L35" s="3" t="n">
        <v>111.96</v>
      </c>
      <c r="M35" s="3" t="n">
        <v>83.25</v>
      </c>
      <c r="N35" s="3" t="n">
        <v>28.71</v>
      </c>
      <c r="O35">
        <f>TEXT(A35,"yyyy-mm")</f>
        <v/>
      </c>
    </row>
    <row r="36">
      <c r="A36" s="2" t="n">
        <v>45542</v>
      </c>
      <c r="B36" t="n">
        <v>2024</v>
      </c>
      <c r="C36" t="inlineStr">
        <is>
          <t>September</t>
        </is>
      </c>
      <c r="D36" t="inlineStr">
        <is>
          <t>Deluxe Scarf</t>
        </is>
      </c>
      <c r="E36" t="inlineStr">
        <is>
          <t>Clothing</t>
        </is>
      </c>
      <c r="F36" t="inlineStr">
        <is>
          <t>Clara Fischer</t>
        </is>
      </c>
      <c r="G36" t="inlineStr">
        <is>
          <t>Poland</t>
        </is>
      </c>
      <c r="H36" t="inlineStr">
        <is>
          <t>Web Store</t>
        </is>
      </c>
      <c r="I36" t="n">
        <v>4</v>
      </c>
      <c r="J36" s="3" t="n">
        <v>806.64</v>
      </c>
      <c r="K36" s="3" t="n">
        <v>0</v>
      </c>
      <c r="L36" s="3" t="n">
        <v>806.64</v>
      </c>
      <c r="M36" s="3" t="n">
        <v>434.08</v>
      </c>
      <c r="N36" s="3" t="n">
        <v>372.56</v>
      </c>
      <c r="O36">
        <f>TEXT(A36,"yyyy-mm")</f>
        <v/>
      </c>
    </row>
    <row r="37">
      <c r="A37" s="2" t="n">
        <v>45542</v>
      </c>
      <c r="B37" t="n">
        <v>2024</v>
      </c>
      <c r="C37" t="inlineStr">
        <is>
          <t>September</t>
        </is>
      </c>
      <c r="D37" t="inlineStr">
        <is>
          <t>Portable Toolset</t>
        </is>
      </c>
      <c r="E37" t="inlineStr">
        <is>
          <t>Home &amp; Garden</t>
        </is>
      </c>
      <c r="F37" t="inlineStr">
        <is>
          <t>Clara Fischer</t>
        </is>
      </c>
      <c r="G37" t="inlineStr">
        <is>
          <t>Poland</t>
        </is>
      </c>
      <c r="H37" t="inlineStr">
        <is>
          <t>Web Store</t>
        </is>
      </c>
      <c r="I37" t="n">
        <v>1</v>
      </c>
      <c r="J37" s="3" t="n">
        <v>142.23</v>
      </c>
      <c r="K37" s="3" t="n">
        <v>0</v>
      </c>
      <c r="L37" s="3" t="n">
        <v>142.23</v>
      </c>
      <c r="M37" s="3" t="n">
        <v>92.84999999999999</v>
      </c>
      <c r="N37" s="3" t="n">
        <v>49.38</v>
      </c>
      <c r="O37">
        <f>TEXT(A37,"yyyy-mm")</f>
        <v/>
      </c>
    </row>
    <row r="38">
      <c r="A38" s="2" t="n">
        <v>45542</v>
      </c>
      <c r="B38" t="n">
        <v>2024</v>
      </c>
      <c r="C38" t="inlineStr">
        <is>
          <t>September</t>
        </is>
      </c>
      <c r="D38" t="inlineStr">
        <is>
          <t>Premium Water Bottle</t>
        </is>
      </c>
      <c r="E38" t="inlineStr">
        <is>
          <t>Sports &amp; Outdoors</t>
        </is>
      </c>
      <c r="F38" t="inlineStr">
        <is>
          <t>Clara Fischer</t>
        </is>
      </c>
      <c r="G38" t="inlineStr">
        <is>
          <t>Poland</t>
        </is>
      </c>
      <c r="H38" t="inlineStr">
        <is>
          <t>Web Store</t>
        </is>
      </c>
      <c r="I38" t="n">
        <v>5</v>
      </c>
      <c r="J38" s="3" t="n">
        <v>591</v>
      </c>
      <c r="K38" s="3" t="n">
        <v>88.65000000000001</v>
      </c>
      <c r="L38" s="3" t="n">
        <v>502.35</v>
      </c>
      <c r="M38" s="3" t="n">
        <v>448.1</v>
      </c>
      <c r="N38" s="3" t="n">
        <v>54.25</v>
      </c>
      <c r="O38">
        <f>TEXT(A38,"yyyy-mm")</f>
        <v/>
      </c>
    </row>
    <row r="39">
      <c r="A39" s="2" t="n">
        <v>45542</v>
      </c>
      <c r="B39" t="n">
        <v>2024</v>
      </c>
      <c r="C39" t="inlineStr">
        <is>
          <t>September</t>
        </is>
      </c>
      <c r="D39" t="inlineStr">
        <is>
          <t>Premium Rug</t>
        </is>
      </c>
      <c r="E39" t="inlineStr">
        <is>
          <t>Home &amp; Garden</t>
        </is>
      </c>
      <c r="F39" t="inlineStr">
        <is>
          <t>Thomas Fischer</t>
        </is>
      </c>
      <c r="G39" t="inlineStr">
        <is>
          <t>France</t>
        </is>
      </c>
      <c r="H39" t="inlineStr">
        <is>
          <t>Retail Store</t>
        </is>
      </c>
      <c r="I39" t="n">
        <v>2</v>
      </c>
      <c r="J39" s="3" t="n">
        <v>362.9</v>
      </c>
      <c r="K39" s="3" t="n">
        <v>0</v>
      </c>
      <c r="L39" s="3" t="n">
        <v>362.9</v>
      </c>
      <c r="M39" s="3" t="n">
        <v>222.38</v>
      </c>
      <c r="N39" s="3" t="n">
        <v>140.52</v>
      </c>
      <c r="O39">
        <f>TEXT(A39,"yyyy-mm")</f>
        <v/>
      </c>
    </row>
    <row r="40">
      <c r="A40" s="2" t="n">
        <v>45542</v>
      </c>
      <c r="B40" t="n">
        <v>2024</v>
      </c>
      <c r="C40" t="inlineStr">
        <is>
          <t>September</t>
        </is>
      </c>
      <c r="D40" t="inlineStr">
        <is>
          <t>Portable Tea Set</t>
        </is>
      </c>
      <c r="E40" t="inlineStr">
        <is>
          <t>Grocery</t>
        </is>
      </c>
      <c r="F40" t="inlineStr">
        <is>
          <t>Thomas Fischer</t>
        </is>
      </c>
      <c r="G40" t="inlineStr">
        <is>
          <t>France</t>
        </is>
      </c>
      <c r="H40" t="inlineStr">
        <is>
          <t>Retail Store</t>
        </is>
      </c>
      <c r="I40" t="n">
        <v>1</v>
      </c>
      <c r="J40" s="3" t="n">
        <v>279.61</v>
      </c>
      <c r="K40" s="3" t="n">
        <v>0</v>
      </c>
      <c r="L40" s="3" t="n">
        <v>279.61</v>
      </c>
      <c r="M40" s="3" t="n">
        <v>188.12</v>
      </c>
      <c r="N40" s="3" t="n">
        <v>91.48999999999999</v>
      </c>
      <c r="O40">
        <f>TEXT(A40,"yyyy-mm")</f>
        <v/>
      </c>
    </row>
    <row r="41">
      <c r="A41" s="2" t="n">
        <v>45542</v>
      </c>
      <c r="B41" t="n">
        <v>2024</v>
      </c>
      <c r="C41" t="inlineStr">
        <is>
          <t>September</t>
        </is>
      </c>
      <c r="D41" t="inlineStr">
        <is>
          <t>Classic Coffee Beans</t>
        </is>
      </c>
      <c r="E41" t="inlineStr">
        <is>
          <t>Grocery</t>
        </is>
      </c>
      <c r="F41" t="inlineStr">
        <is>
          <t>Olivia Schmidt</t>
        </is>
      </c>
      <c r="G41" t="inlineStr">
        <is>
          <t>United States</t>
        </is>
      </c>
      <c r="H41" t="inlineStr">
        <is>
          <t>Web Store</t>
        </is>
      </c>
      <c r="I41" t="n">
        <v>3</v>
      </c>
      <c r="J41" s="3" t="n">
        <v>943.2</v>
      </c>
      <c r="K41" s="3" t="n">
        <v>47.16</v>
      </c>
      <c r="L41" s="3" t="n">
        <v>896.04</v>
      </c>
      <c r="M41" s="3" t="n">
        <v>584.28</v>
      </c>
      <c r="N41" s="3" t="n">
        <v>311.76</v>
      </c>
      <c r="O41">
        <f>TEXT(A41,"yyyy-mm")</f>
        <v/>
      </c>
    </row>
    <row r="42">
      <c r="A42" s="2" t="n">
        <v>45543</v>
      </c>
      <c r="B42" t="n">
        <v>2024</v>
      </c>
      <c r="C42" t="inlineStr">
        <is>
          <t>September</t>
        </is>
      </c>
      <c r="D42" t="inlineStr">
        <is>
          <t>Premium Tent</t>
        </is>
      </c>
      <c r="E42" t="inlineStr">
        <is>
          <t>Sports &amp; Outdoors</t>
        </is>
      </c>
      <c r="F42" t="inlineStr">
        <is>
          <t>Sophie Rossi</t>
        </is>
      </c>
      <c r="G42" t="inlineStr">
        <is>
          <t>France</t>
        </is>
      </c>
      <c r="H42" t="inlineStr">
        <is>
          <t>Retail Store</t>
        </is>
      </c>
      <c r="I42" t="n">
        <v>5</v>
      </c>
      <c r="J42" s="3" t="n">
        <v>1334.05</v>
      </c>
      <c r="K42" s="3" t="n">
        <v>0</v>
      </c>
      <c r="L42" s="3" t="n">
        <v>1334.05</v>
      </c>
      <c r="M42" s="3" t="n">
        <v>826.55</v>
      </c>
      <c r="N42" s="3" t="n">
        <v>507.5</v>
      </c>
      <c r="O42">
        <f>TEXT(A42,"yyyy-mm")</f>
        <v/>
      </c>
    </row>
    <row r="43">
      <c r="A43" s="2" t="n">
        <v>45543</v>
      </c>
      <c r="B43" t="n">
        <v>2024</v>
      </c>
      <c r="C43" t="inlineStr">
        <is>
          <t>September</t>
        </is>
      </c>
      <c r="D43" t="inlineStr">
        <is>
          <t>Classic Atlas</t>
        </is>
      </c>
      <c r="E43" t="inlineStr">
        <is>
          <t>Books</t>
        </is>
      </c>
      <c r="F43" t="inlineStr">
        <is>
          <t>Sophie Rossi</t>
        </is>
      </c>
      <c r="G43" t="inlineStr">
        <is>
          <t>France</t>
        </is>
      </c>
      <c r="H43" t="inlineStr">
        <is>
          <t>Retail Store</t>
        </is>
      </c>
      <c r="I43" t="n">
        <v>5</v>
      </c>
      <c r="J43" s="3" t="n">
        <v>318.7</v>
      </c>
      <c r="K43" s="3" t="n">
        <v>47.8</v>
      </c>
      <c r="L43" s="3" t="n">
        <v>270.9</v>
      </c>
      <c r="M43" s="3" t="n">
        <v>172.95</v>
      </c>
      <c r="N43" s="3" t="n">
        <v>97.94</v>
      </c>
      <c r="O43">
        <f>TEXT(A43,"yyyy-mm")</f>
        <v/>
      </c>
    </row>
    <row r="44">
      <c r="A44" s="2" t="n">
        <v>45543</v>
      </c>
      <c r="B44" t="n">
        <v>2024</v>
      </c>
      <c r="C44" t="inlineStr">
        <is>
          <t>September</t>
        </is>
      </c>
      <c r="D44" t="inlineStr">
        <is>
          <t>Smart Cookbook</t>
        </is>
      </c>
      <c r="E44" t="inlineStr">
        <is>
          <t>Books</t>
        </is>
      </c>
      <c r="F44" t="inlineStr">
        <is>
          <t>Sophie Rossi</t>
        </is>
      </c>
      <c r="G44" t="inlineStr">
        <is>
          <t>France</t>
        </is>
      </c>
      <c r="H44" t="inlineStr">
        <is>
          <t>Retail Store</t>
        </is>
      </c>
      <c r="I44" t="n">
        <v>4</v>
      </c>
      <c r="J44" s="3" t="n">
        <v>74.56</v>
      </c>
      <c r="K44" s="3" t="n">
        <v>0</v>
      </c>
      <c r="L44" s="3" t="n">
        <v>74.56</v>
      </c>
      <c r="M44" s="3" t="n">
        <v>39.52</v>
      </c>
      <c r="N44" s="3" t="n">
        <v>35.04</v>
      </c>
      <c r="O44">
        <f>TEXT(A44,"yyyy-mm")</f>
        <v/>
      </c>
    </row>
    <row r="45">
      <c r="A45" s="2" t="n">
        <v>45543</v>
      </c>
      <c r="B45" t="n">
        <v>2024</v>
      </c>
      <c r="C45" t="inlineStr">
        <is>
          <t>September</t>
        </is>
      </c>
      <c r="D45" t="inlineStr">
        <is>
          <t>Portable Toolset</t>
        </is>
      </c>
      <c r="E45" t="inlineStr">
        <is>
          <t>Home &amp; Garden</t>
        </is>
      </c>
      <c r="F45" t="inlineStr">
        <is>
          <t>Sophie Rossi</t>
        </is>
      </c>
      <c r="G45" t="inlineStr">
        <is>
          <t>France</t>
        </is>
      </c>
      <c r="H45" t="inlineStr">
        <is>
          <t>Retail Store</t>
        </is>
      </c>
      <c r="I45" t="n">
        <v>1</v>
      </c>
      <c r="J45" s="3" t="n">
        <v>92.95</v>
      </c>
      <c r="K45" s="3" t="n">
        <v>9.300000000000001</v>
      </c>
      <c r="L45" s="3" t="n">
        <v>83.66</v>
      </c>
      <c r="M45" s="3" t="n">
        <v>50.54</v>
      </c>
      <c r="N45" s="3" t="n">
        <v>33.12</v>
      </c>
      <c r="O45">
        <f>TEXT(A45,"yyyy-mm")</f>
        <v/>
      </c>
    </row>
    <row r="46">
      <c r="A46" s="2" t="n">
        <v>45543</v>
      </c>
      <c r="B46" t="n">
        <v>2024</v>
      </c>
      <c r="C46" t="inlineStr">
        <is>
          <t>September</t>
        </is>
      </c>
      <c r="D46" t="inlineStr">
        <is>
          <t>Smart Camera</t>
        </is>
      </c>
      <c r="E46" t="inlineStr">
        <is>
          <t>Electronics</t>
        </is>
      </c>
      <c r="F46" t="inlineStr">
        <is>
          <t>Clara Wojcik</t>
        </is>
      </c>
      <c r="G46" t="inlineStr">
        <is>
          <t>Germany</t>
        </is>
      </c>
      <c r="H46" t="inlineStr">
        <is>
          <t>Retail Store</t>
        </is>
      </c>
      <c r="I46" t="n">
        <v>1</v>
      </c>
      <c r="J46" s="3" t="n">
        <v>123.39</v>
      </c>
      <c r="K46" s="3" t="n">
        <v>12.34</v>
      </c>
      <c r="L46" s="3" t="n">
        <v>111.05</v>
      </c>
      <c r="M46" s="3" t="n">
        <v>85.58</v>
      </c>
      <c r="N46" s="3" t="n">
        <v>25.47</v>
      </c>
      <c r="O46">
        <f>TEXT(A46,"yyyy-mm")</f>
        <v/>
      </c>
    </row>
    <row r="47">
      <c r="A47" s="2" t="n">
        <v>45543</v>
      </c>
      <c r="B47" t="n">
        <v>2024</v>
      </c>
      <c r="C47" t="inlineStr">
        <is>
          <t>September</t>
        </is>
      </c>
      <c r="D47" t="inlineStr">
        <is>
          <t>Premium Tent</t>
        </is>
      </c>
      <c r="E47" t="inlineStr">
        <is>
          <t>Sports &amp; Outdoors</t>
        </is>
      </c>
      <c r="F47" t="inlineStr">
        <is>
          <t>James Kowalski</t>
        </is>
      </c>
      <c r="G47" t="inlineStr">
        <is>
          <t>Poland</t>
        </is>
      </c>
      <c r="H47" t="inlineStr">
        <is>
          <t>Retail Store</t>
        </is>
      </c>
      <c r="I47" t="n">
        <v>1</v>
      </c>
      <c r="J47" s="3" t="n">
        <v>256.04</v>
      </c>
      <c r="K47" s="3" t="n">
        <v>0</v>
      </c>
      <c r="L47" s="3" t="n">
        <v>256.04</v>
      </c>
      <c r="M47" s="3" t="n">
        <v>165.31</v>
      </c>
      <c r="N47" s="3" t="n">
        <v>90.73</v>
      </c>
      <c r="O47">
        <f>TEXT(A47,"yyyy-mm")</f>
        <v/>
      </c>
    </row>
    <row r="48">
      <c r="A48" s="2" t="n">
        <v>45543</v>
      </c>
      <c r="B48" t="n">
        <v>2024</v>
      </c>
      <c r="C48" t="inlineStr">
        <is>
          <t>September</t>
        </is>
      </c>
      <c r="D48" t="inlineStr">
        <is>
          <t>Premium Tent</t>
        </is>
      </c>
      <c r="E48" t="inlineStr">
        <is>
          <t>Sports &amp; Outdoors</t>
        </is>
      </c>
      <c r="F48" t="inlineStr">
        <is>
          <t>James Kowalski</t>
        </is>
      </c>
      <c r="G48" t="inlineStr">
        <is>
          <t>Poland</t>
        </is>
      </c>
      <c r="H48" t="inlineStr">
        <is>
          <t>Retail Store</t>
        </is>
      </c>
      <c r="I48" t="n">
        <v>3</v>
      </c>
      <c r="J48" s="3" t="n">
        <v>768.87</v>
      </c>
      <c r="K48" s="3" t="n">
        <v>115.33</v>
      </c>
      <c r="L48" s="3" t="n">
        <v>653.54</v>
      </c>
      <c r="M48" s="3" t="n">
        <v>417.12</v>
      </c>
      <c r="N48" s="3" t="n">
        <v>236.42</v>
      </c>
      <c r="O48">
        <f>TEXT(A48,"yyyy-mm")</f>
        <v/>
      </c>
    </row>
    <row r="49">
      <c r="A49" s="2" t="n">
        <v>45543</v>
      </c>
      <c r="B49" t="n">
        <v>2024</v>
      </c>
      <c r="C49" t="inlineStr">
        <is>
          <t>September</t>
        </is>
      </c>
      <c r="D49" t="inlineStr">
        <is>
          <t>Classic Charger</t>
        </is>
      </c>
      <c r="E49" t="inlineStr">
        <is>
          <t>Electronics</t>
        </is>
      </c>
      <c r="F49" t="inlineStr">
        <is>
          <t>James Kowalski</t>
        </is>
      </c>
      <c r="G49" t="inlineStr">
        <is>
          <t>Poland</t>
        </is>
      </c>
      <c r="H49" t="inlineStr">
        <is>
          <t>Retail Store</t>
        </is>
      </c>
      <c r="I49" t="n">
        <v>5</v>
      </c>
      <c r="J49" s="3" t="n">
        <v>493.85</v>
      </c>
      <c r="K49" s="3" t="n">
        <v>0</v>
      </c>
      <c r="L49" s="3" t="n">
        <v>493.85</v>
      </c>
      <c r="M49" s="3" t="n">
        <v>311.05</v>
      </c>
      <c r="N49" s="3" t="n">
        <v>182.8</v>
      </c>
      <c r="O49">
        <f>TEXT(A49,"yyyy-mm")</f>
        <v/>
      </c>
    </row>
    <row r="50">
      <c r="A50" s="2" t="n">
        <v>45544</v>
      </c>
      <c r="B50" t="n">
        <v>2024</v>
      </c>
      <c r="C50" t="inlineStr">
        <is>
          <t>September</t>
        </is>
      </c>
      <c r="D50" t="inlineStr">
        <is>
          <t>Deluxe Toolset</t>
        </is>
      </c>
      <c r="E50" t="inlineStr">
        <is>
          <t>Home &amp; Garden</t>
        </is>
      </c>
      <c r="F50" t="inlineStr">
        <is>
          <t>Peter Schmidt</t>
        </is>
      </c>
      <c r="G50" t="inlineStr">
        <is>
          <t>France</t>
        </is>
      </c>
      <c r="H50" t="inlineStr">
        <is>
          <t>Marketplace</t>
        </is>
      </c>
      <c r="I50" t="n">
        <v>4</v>
      </c>
      <c r="J50" s="3" t="n">
        <v>272.72</v>
      </c>
      <c r="K50" s="3" t="n">
        <v>0</v>
      </c>
      <c r="L50" s="3" t="n">
        <v>272.72</v>
      </c>
      <c r="M50" s="3" t="n">
        <v>190.84</v>
      </c>
      <c r="N50" s="3" t="n">
        <v>81.88</v>
      </c>
      <c r="O50">
        <f>TEXT(A50,"yyyy-mm")</f>
        <v/>
      </c>
    </row>
    <row r="51">
      <c r="A51" s="2" t="n">
        <v>45544</v>
      </c>
      <c r="B51" t="n">
        <v>2024</v>
      </c>
      <c r="C51" t="inlineStr">
        <is>
          <t>September</t>
        </is>
      </c>
      <c r="D51" t="inlineStr">
        <is>
          <t>Smart Tea Set</t>
        </is>
      </c>
      <c r="E51" t="inlineStr">
        <is>
          <t>Grocery</t>
        </is>
      </c>
      <c r="F51" t="inlineStr">
        <is>
          <t>Peter Schmidt</t>
        </is>
      </c>
      <c r="G51" t="inlineStr">
        <is>
          <t>France</t>
        </is>
      </c>
      <c r="H51" t="inlineStr">
        <is>
          <t>Marketplace</t>
        </is>
      </c>
      <c r="I51" t="n">
        <v>5</v>
      </c>
      <c r="J51" s="3" t="n">
        <v>437</v>
      </c>
      <c r="K51" s="3" t="n">
        <v>43.7</v>
      </c>
      <c r="L51" s="3" t="n">
        <v>393.3</v>
      </c>
      <c r="M51" s="3" t="n">
        <v>309</v>
      </c>
      <c r="N51" s="3" t="n">
        <v>84.3</v>
      </c>
      <c r="O51">
        <f>TEXT(A51,"yyyy-mm")</f>
        <v/>
      </c>
    </row>
    <row r="52">
      <c r="A52" s="2" t="n">
        <v>45544</v>
      </c>
      <c r="B52" t="n">
        <v>2024</v>
      </c>
      <c r="C52" t="inlineStr">
        <is>
          <t>September</t>
        </is>
      </c>
      <c r="D52" t="inlineStr">
        <is>
          <t>Premium Tent</t>
        </is>
      </c>
      <c r="E52" t="inlineStr">
        <is>
          <t>Sports &amp; Outdoors</t>
        </is>
      </c>
      <c r="F52" t="inlineStr">
        <is>
          <t>David Dubois</t>
        </is>
      </c>
      <c r="G52" t="inlineStr">
        <is>
          <t>United Kingdom</t>
        </is>
      </c>
      <c r="H52" t="inlineStr">
        <is>
          <t>Retail Store</t>
        </is>
      </c>
      <c r="I52" t="n">
        <v>2</v>
      </c>
      <c r="J52" s="3" t="n">
        <v>532.22</v>
      </c>
      <c r="K52" s="3" t="n">
        <v>106.44</v>
      </c>
      <c r="L52" s="3" t="n">
        <v>425.78</v>
      </c>
      <c r="M52" s="3" t="n">
        <v>330.62</v>
      </c>
      <c r="N52" s="3" t="n">
        <v>95.16</v>
      </c>
      <c r="O52">
        <f>TEXT(A52,"yyyy-mm")</f>
        <v/>
      </c>
    </row>
    <row r="53">
      <c r="A53" s="2" t="n">
        <v>45544</v>
      </c>
      <c r="B53" t="n">
        <v>2024</v>
      </c>
      <c r="C53" t="inlineStr">
        <is>
          <t>September</t>
        </is>
      </c>
      <c r="D53" t="inlineStr">
        <is>
          <t>Premium Water Bottle</t>
        </is>
      </c>
      <c r="E53" t="inlineStr">
        <is>
          <t>Sports &amp; Outdoors</t>
        </is>
      </c>
      <c r="F53" t="inlineStr">
        <is>
          <t>David Dubois</t>
        </is>
      </c>
      <c r="G53" t="inlineStr">
        <is>
          <t>United Kingdom</t>
        </is>
      </c>
      <c r="H53" t="inlineStr">
        <is>
          <t>Retail Store</t>
        </is>
      </c>
      <c r="I53" t="n">
        <v>4</v>
      </c>
      <c r="J53" s="3" t="n">
        <v>1219.28</v>
      </c>
      <c r="K53" s="3" t="n">
        <v>182.89</v>
      </c>
      <c r="L53" s="3" t="n">
        <v>1036.39</v>
      </c>
      <c r="M53" s="3" t="n">
        <v>724.64</v>
      </c>
      <c r="N53" s="3" t="n">
        <v>311.75</v>
      </c>
      <c r="O53">
        <f>TEXT(A53,"yyyy-mm")</f>
        <v/>
      </c>
    </row>
    <row r="54">
      <c r="A54" s="2" t="n">
        <v>45544</v>
      </c>
      <c r="B54" t="n">
        <v>2024</v>
      </c>
      <c r="C54" t="inlineStr">
        <is>
          <t>September</t>
        </is>
      </c>
      <c r="D54" t="inlineStr">
        <is>
          <t>Eco Sweater</t>
        </is>
      </c>
      <c r="E54" t="inlineStr">
        <is>
          <t>Clothing</t>
        </is>
      </c>
      <c r="F54" t="inlineStr">
        <is>
          <t>David Dubois</t>
        </is>
      </c>
      <c r="G54" t="inlineStr">
        <is>
          <t>United Kingdom</t>
        </is>
      </c>
      <c r="H54" t="inlineStr">
        <is>
          <t>Retail Store</t>
        </is>
      </c>
      <c r="I54" t="n">
        <v>1</v>
      </c>
      <c r="J54" s="3" t="n">
        <v>146.81</v>
      </c>
      <c r="K54" s="3" t="n">
        <v>29.36</v>
      </c>
      <c r="L54" s="3" t="n">
        <v>117.45</v>
      </c>
      <c r="M54" s="3" t="n">
        <v>104.23</v>
      </c>
      <c r="N54" s="3" t="n">
        <v>13.22</v>
      </c>
      <c r="O54">
        <f>TEXT(A54,"yyyy-mm")</f>
        <v/>
      </c>
    </row>
    <row r="55">
      <c r="A55" s="2" t="n">
        <v>45544</v>
      </c>
      <c r="B55" t="n">
        <v>2024</v>
      </c>
      <c r="C55" t="inlineStr">
        <is>
          <t>September</t>
        </is>
      </c>
      <c r="D55" t="inlineStr">
        <is>
          <t>Smart Coffee Beans</t>
        </is>
      </c>
      <c r="E55" t="inlineStr">
        <is>
          <t>Grocery</t>
        </is>
      </c>
      <c r="F55" t="inlineStr">
        <is>
          <t>Robert Garcia</t>
        </is>
      </c>
      <c r="G55" t="inlineStr">
        <is>
          <t>United Kingdom</t>
        </is>
      </c>
      <c r="H55" t="inlineStr">
        <is>
          <t>Retail Store</t>
        </is>
      </c>
      <c r="I55" t="n">
        <v>1</v>
      </c>
      <c r="J55" s="3" t="n">
        <v>106.04</v>
      </c>
      <c r="K55" s="3" t="n">
        <v>5.3</v>
      </c>
      <c r="L55" s="3" t="n">
        <v>100.74</v>
      </c>
      <c r="M55" s="3" t="n">
        <v>72.84999999999999</v>
      </c>
      <c r="N55" s="3" t="n">
        <v>27.89</v>
      </c>
      <c r="O55">
        <f>TEXT(A55,"yyyy-mm")</f>
        <v/>
      </c>
    </row>
    <row r="56">
      <c r="A56" s="2" t="n">
        <v>45544</v>
      </c>
      <c r="B56" t="n">
        <v>2024</v>
      </c>
      <c r="C56" t="inlineStr">
        <is>
          <t>September</t>
        </is>
      </c>
      <c r="D56" t="inlineStr">
        <is>
          <t>Eco Planter</t>
        </is>
      </c>
      <c r="E56" t="inlineStr">
        <is>
          <t>Home &amp; Garden</t>
        </is>
      </c>
      <c r="F56" t="inlineStr">
        <is>
          <t>Robert Garcia</t>
        </is>
      </c>
      <c r="G56" t="inlineStr">
        <is>
          <t>United Kingdom</t>
        </is>
      </c>
      <c r="H56" t="inlineStr">
        <is>
          <t>Retail Store</t>
        </is>
      </c>
      <c r="I56" t="n">
        <v>1</v>
      </c>
      <c r="J56" s="3" t="n">
        <v>179.11</v>
      </c>
      <c r="K56" s="3" t="n">
        <v>0</v>
      </c>
      <c r="L56" s="3" t="n">
        <v>179.11</v>
      </c>
      <c r="M56" s="3" t="n">
        <v>112.41</v>
      </c>
      <c r="N56" s="3" t="n">
        <v>66.7</v>
      </c>
      <c r="O56">
        <f>TEXT(A56,"yyyy-mm")</f>
        <v/>
      </c>
    </row>
    <row r="57">
      <c r="A57" s="2" t="n">
        <v>45544</v>
      </c>
      <c r="B57" t="n">
        <v>2024</v>
      </c>
      <c r="C57" t="inlineStr">
        <is>
          <t>September</t>
        </is>
      </c>
      <c r="D57" t="inlineStr">
        <is>
          <t>Eco Backpack</t>
        </is>
      </c>
      <c r="E57" t="inlineStr">
        <is>
          <t>Sports &amp; Outdoors</t>
        </is>
      </c>
      <c r="F57" t="inlineStr">
        <is>
          <t>Robert Garcia</t>
        </is>
      </c>
      <c r="G57" t="inlineStr">
        <is>
          <t>United Kingdom</t>
        </is>
      </c>
      <c r="H57" t="inlineStr">
        <is>
          <t>Retail Store</t>
        </is>
      </c>
      <c r="I57" t="n">
        <v>2</v>
      </c>
      <c r="J57" s="3" t="n">
        <v>548.86</v>
      </c>
      <c r="K57" s="3" t="n">
        <v>0</v>
      </c>
      <c r="L57" s="3" t="n">
        <v>548.86</v>
      </c>
      <c r="M57" s="3" t="n">
        <v>293.16</v>
      </c>
      <c r="N57" s="3" t="n">
        <v>255.7</v>
      </c>
      <c r="O57">
        <f>TEXT(A57,"yyyy-mm")</f>
        <v/>
      </c>
    </row>
    <row r="58">
      <c r="A58" s="2" t="n">
        <v>45544</v>
      </c>
      <c r="B58" t="n">
        <v>2024</v>
      </c>
      <c r="C58" t="inlineStr">
        <is>
          <t>September</t>
        </is>
      </c>
      <c r="D58" t="inlineStr">
        <is>
          <t>Classic Bike Helmet</t>
        </is>
      </c>
      <c r="E58" t="inlineStr">
        <is>
          <t>Sports &amp; Outdoors</t>
        </is>
      </c>
      <c r="F58" t="inlineStr">
        <is>
          <t>David Dubois</t>
        </is>
      </c>
      <c r="G58" t="inlineStr">
        <is>
          <t>United Kingdom</t>
        </is>
      </c>
      <c r="H58" t="inlineStr">
        <is>
          <t>Retail Store</t>
        </is>
      </c>
      <c r="I58" t="n">
        <v>5</v>
      </c>
      <c r="J58" s="3" t="n">
        <v>1120.05</v>
      </c>
      <c r="K58" s="3" t="n">
        <v>224.01</v>
      </c>
      <c r="L58" s="3" t="n">
        <v>896.04</v>
      </c>
      <c r="M58" s="3" t="n">
        <v>769.05</v>
      </c>
      <c r="N58" s="3" t="n">
        <v>126.99</v>
      </c>
      <c r="O58">
        <f>TEXT(A58,"yyyy-mm")</f>
        <v/>
      </c>
    </row>
    <row r="59">
      <c r="A59" s="2" t="n">
        <v>45545</v>
      </c>
      <c r="B59" t="n">
        <v>2024</v>
      </c>
      <c r="C59" t="inlineStr">
        <is>
          <t>September</t>
        </is>
      </c>
      <c r="D59" t="inlineStr">
        <is>
          <t>Classic Coffee Beans</t>
        </is>
      </c>
      <c r="E59" t="inlineStr">
        <is>
          <t>Grocery</t>
        </is>
      </c>
      <c r="F59" t="inlineStr">
        <is>
          <t>Maria Rossi</t>
        </is>
      </c>
      <c r="G59" t="inlineStr">
        <is>
          <t>Spain</t>
        </is>
      </c>
      <c r="H59" t="inlineStr">
        <is>
          <t>Marketplace</t>
        </is>
      </c>
      <c r="I59" t="n">
        <v>1</v>
      </c>
      <c r="J59" s="3" t="n">
        <v>318.81</v>
      </c>
      <c r="K59" s="3" t="n">
        <v>63.76</v>
      </c>
      <c r="L59" s="3" t="n">
        <v>255.05</v>
      </c>
      <c r="M59" s="3" t="n">
        <v>194.76</v>
      </c>
      <c r="N59" s="3" t="n">
        <v>60.29</v>
      </c>
      <c r="O59">
        <f>TEXT(A59,"yyyy-mm")</f>
        <v/>
      </c>
    </row>
    <row r="60">
      <c r="A60" s="2" t="n">
        <v>45545</v>
      </c>
      <c r="B60" t="n">
        <v>2024</v>
      </c>
      <c r="C60" t="inlineStr">
        <is>
          <t>September</t>
        </is>
      </c>
      <c r="D60" t="inlineStr">
        <is>
          <t>Wireless Honey</t>
        </is>
      </c>
      <c r="E60" t="inlineStr">
        <is>
          <t>Grocery</t>
        </is>
      </c>
      <c r="F60" t="inlineStr">
        <is>
          <t>Maria Rossi</t>
        </is>
      </c>
      <c r="G60" t="inlineStr">
        <is>
          <t>Spain</t>
        </is>
      </c>
      <c r="H60" t="inlineStr">
        <is>
          <t>Marketplace</t>
        </is>
      </c>
      <c r="I60" t="n">
        <v>1</v>
      </c>
      <c r="J60" s="3" t="n">
        <v>126.39</v>
      </c>
      <c r="K60" s="3" t="n">
        <v>0</v>
      </c>
      <c r="L60" s="3" t="n">
        <v>126.39</v>
      </c>
      <c r="M60" s="3" t="n">
        <v>94.06999999999999</v>
      </c>
      <c r="N60" s="3" t="n">
        <v>32.32</v>
      </c>
      <c r="O60">
        <f>TEXT(A60,"yyyy-mm")</f>
        <v/>
      </c>
    </row>
    <row r="61">
      <c r="A61" s="2" t="n">
        <v>45545</v>
      </c>
      <c r="B61" t="n">
        <v>2024</v>
      </c>
      <c r="C61" t="inlineStr">
        <is>
          <t>September</t>
        </is>
      </c>
      <c r="D61" t="inlineStr">
        <is>
          <t>Classic Tea Set</t>
        </is>
      </c>
      <c r="E61" t="inlineStr">
        <is>
          <t>Grocery</t>
        </is>
      </c>
      <c r="F61" t="inlineStr">
        <is>
          <t>Maria Rossi</t>
        </is>
      </c>
      <c r="G61" t="inlineStr">
        <is>
          <t>Spain</t>
        </is>
      </c>
      <c r="H61" t="inlineStr">
        <is>
          <t>Marketplace</t>
        </is>
      </c>
      <c r="I61" t="n">
        <v>5</v>
      </c>
      <c r="J61" s="3" t="n">
        <v>882.8</v>
      </c>
      <c r="K61" s="3" t="n">
        <v>44.14</v>
      </c>
      <c r="L61" s="3" t="n">
        <v>838.66</v>
      </c>
      <c r="M61" s="3" t="n">
        <v>627</v>
      </c>
      <c r="N61" s="3" t="n">
        <v>211.66</v>
      </c>
      <c r="O61">
        <f>TEXT(A61,"yyyy-mm")</f>
        <v/>
      </c>
    </row>
    <row r="62">
      <c r="A62" s="2" t="n">
        <v>45546</v>
      </c>
      <c r="B62" t="n">
        <v>2024</v>
      </c>
      <c r="C62" t="inlineStr">
        <is>
          <t>September</t>
        </is>
      </c>
      <c r="D62" t="inlineStr">
        <is>
          <t>Premium Tent</t>
        </is>
      </c>
      <c r="E62" t="inlineStr">
        <is>
          <t>Sports &amp; Outdoors</t>
        </is>
      </c>
      <c r="F62" t="inlineStr">
        <is>
          <t>Clara Martin</t>
        </is>
      </c>
      <c r="G62" t="inlineStr">
        <is>
          <t>United States</t>
        </is>
      </c>
      <c r="H62" t="inlineStr">
        <is>
          <t>Retail Store</t>
        </is>
      </c>
      <c r="I62" t="n">
        <v>3</v>
      </c>
      <c r="J62" s="3" t="n">
        <v>779.79</v>
      </c>
      <c r="K62" s="3" t="n">
        <v>0</v>
      </c>
      <c r="L62" s="3" t="n">
        <v>779.79</v>
      </c>
      <c r="M62" s="3" t="n">
        <v>417.12</v>
      </c>
      <c r="N62" s="3" t="n">
        <v>362.67</v>
      </c>
      <c r="O62">
        <f>TEXT(A62,"yyyy-mm")</f>
        <v/>
      </c>
    </row>
    <row r="63">
      <c r="A63" s="2" t="n">
        <v>45546</v>
      </c>
      <c r="B63" t="n">
        <v>2024</v>
      </c>
      <c r="C63" t="inlineStr">
        <is>
          <t>September</t>
        </is>
      </c>
      <c r="D63" t="inlineStr">
        <is>
          <t>Deluxe Toothbrush</t>
        </is>
      </c>
      <c r="E63" t="inlineStr">
        <is>
          <t>Beauty &amp; Health</t>
        </is>
      </c>
      <c r="F63" t="inlineStr">
        <is>
          <t>Clara Martin</t>
        </is>
      </c>
      <c r="G63" t="inlineStr">
        <is>
          <t>United States</t>
        </is>
      </c>
      <c r="H63" t="inlineStr">
        <is>
          <t>Retail Store</t>
        </is>
      </c>
      <c r="I63" t="n">
        <v>1</v>
      </c>
      <c r="J63" s="3" t="n">
        <v>342.87</v>
      </c>
      <c r="K63" s="3" t="n">
        <v>0</v>
      </c>
      <c r="L63" s="3" t="n">
        <v>342.87</v>
      </c>
      <c r="M63" s="3" t="n">
        <v>174.57</v>
      </c>
      <c r="N63" s="3" t="n">
        <v>168.3</v>
      </c>
      <c r="O63">
        <f>TEXT(A63,"yyyy-mm")</f>
        <v/>
      </c>
    </row>
    <row r="64">
      <c r="A64" s="2" t="n">
        <v>45546</v>
      </c>
      <c r="B64" t="n">
        <v>2024</v>
      </c>
      <c r="C64" t="inlineStr">
        <is>
          <t>September</t>
        </is>
      </c>
      <c r="D64" t="inlineStr">
        <is>
          <t>Smart Camera</t>
        </is>
      </c>
      <c r="E64" t="inlineStr">
        <is>
          <t>Electronics</t>
        </is>
      </c>
      <c r="F64" t="inlineStr">
        <is>
          <t>Clara Martin</t>
        </is>
      </c>
      <c r="G64" t="inlineStr">
        <is>
          <t>United States</t>
        </is>
      </c>
      <c r="H64" t="inlineStr">
        <is>
          <t>Retail Store</t>
        </is>
      </c>
      <c r="I64" t="n">
        <v>1</v>
      </c>
      <c r="J64" s="3" t="n">
        <v>297.17</v>
      </c>
      <c r="K64" s="3" t="n">
        <v>0</v>
      </c>
      <c r="L64" s="3" t="n">
        <v>297.17</v>
      </c>
      <c r="M64" s="3" t="n">
        <v>167.4</v>
      </c>
      <c r="N64" s="3" t="n">
        <v>129.77</v>
      </c>
      <c r="O64">
        <f>TEXT(A64,"yyyy-mm")</f>
        <v/>
      </c>
    </row>
    <row r="65">
      <c r="A65" s="2" t="n">
        <v>45546</v>
      </c>
      <c r="B65" t="n">
        <v>2024</v>
      </c>
      <c r="C65" t="inlineStr">
        <is>
          <t>September</t>
        </is>
      </c>
      <c r="D65" t="inlineStr">
        <is>
          <t>Premium Rug</t>
        </is>
      </c>
      <c r="E65" t="inlineStr">
        <is>
          <t>Home &amp; Garden</t>
        </is>
      </c>
      <c r="F65" t="inlineStr">
        <is>
          <t>Clara Martin</t>
        </is>
      </c>
      <c r="G65" t="inlineStr">
        <is>
          <t>United States</t>
        </is>
      </c>
      <c r="H65" t="inlineStr">
        <is>
          <t>Retail Store</t>
        </is>
      </c>
      <c r="I65" t="n">
        <v>1</v>
      </c>
      <c r="J65" s="3" t="n">
        <v>186.16</v>
      </c>
      <c r="K65" s="3" t="n">
        <v>0</v>
      </c>
      <c r="L65" s="3" t="n">
        <v>186.16</v>
      </c>
      <c r="M65" s="3" t="n">
        <v>111.19</v>
      </c>
      <c r="N65" s="3" t="n">
        <v>74.97</v>
      </c>
      <c r="O65">
        <f>TEXT(A65,"yyyy-mm")</f>
        <v/>
      </c>
    </row>
    <row r="66">
      <c r="A66" s="2" t="n">
        <v>45546</v>
      </c>
      <c r="B66" t="n">
        <v>2024</v>
      </c>
      <c r="C66" t="inlineStr">
        <is>
          <t>September</t>
        </is>
      </c>
      <c r="D66" t="inlineStr">
        <is>
          <t>Deluxe Toothbrush</t>
        </is>
      </c>
      <c r="E66" t="inlineStr">
        <is>
          <t>Beauty &amp; Health</t>
        </is>
      </c>
      <c r="F66" t="inlineStr">
        <is>
          <t>Daniel Johnson</t>
        </is>
      </c>
      <c r="G66" t="inlineStr">
        <is>
          <t>Italy</t>
        </is>
      </c>
      <c r="H66" t="inlineStr">
        <is>
          <t>Marketplace</t>
        </is>
      </c>
      <c r="I66" t="n">
        <v>2</v>
      </c>
      <c r="J66" s="3" t="n">
        <v>683.48</v>
      </c>
      <c r="K66" s="3" t="n">
        <v>0</v>
      </c>
      <c r="L66" s="3" t="n">
        <v>683.48</v>
      </c>
      <c r="M66" s="3" t="n">
        <v>349.14</v>
      </c>
      <c r="N66" s="3" t="n">
        <v>334.34</v>
      </c>
      <c r="O66">
        <f>TEXT(A66,"yyyy-mm")</f>
        <v/>
      </c>
    </row>
    <row r="67">
      <c r="A67" s="2" t="n">
        <v>45546</v>
      </c>
      <c r="B67" t="n">
        <v>2024</v>
      </c>
      <c r="C67" t="inlineStr">
        <is>
          <t>September</t>
        </is>
      </c>
      <c r="D67" t="inlineStr">
        <is>
          <t>Classic Bike Helmet</t>
        </is>
      </c>
      <c r="E67" t="inlineStr">
        <is>
          <t>Sports &amp; Outdoors</t>
        </is>
      </c>
      <c r="F67" t="inlineStr">
        <is>
          <t>Daniel Johnson</t>
        </is>
      </c>
      <c r="G67" t="inlineStr">
        <is>
          <t>Italy</t>
        </is>
      </c>
      <c r="H67" t="inlineStr">
        <is>
          <t>Marketplace</t>
        </is>
      </c>
      <c r="I67" t="n">
        <v>1</v>
      </c>
      <c r="J67" s="3" t="n">
        <v>213.26</v>
      </c>
      <c r="K67" s="3" t="n">
        <v>21.33</v>
      </c>
      <c r="L67" s="3" t="n">
        <v>191.93</v>
      </c>
      <c r="M67" s="3" t="n">
        <v>153.81</v>
      </c>
      <c r="N67" s="3" t="n">
        <v>38.12</v>
      </c>
      <c r="O67">
        <f>TEXT(A67,"yyyy-mm")</f>
        <v/>
      </c>
    </row>
    <row r="68">
      <c r="A68" s="2" t="n">
        <v>45546</v>
      </c>
      <c r="B68" t="n">
        <v>2024</v>
      </c>
      <c r="C68" t="inlineStr">
        <is>
          <t>September</t>
        </is>
      </c>
      <c r="D68" t="inlineStr">
        <is>
          <t>Essential Jacket</t>
        </is>
      </c>
      <c r="E68" t="inlineStr">
        <is>
          <t>Clothing</t>
        </is>
      </c>
      <c r="F68" t="inlineStr">
        <is>
          <t>Daniel Johnson</t>
        </is>
      </c>
      <c r="G68" t="inlineStr">
        <is>
          <t>Italy</t>
        </is>
      </c>
      <c r="H68" t="inlineStr">
        <is>
          <t>Marketplace</t>
        </is>
      </c>
      <c r="I68" t="n">
        <v>5</v>
      </c>
      <c r="J68" s="3" t="n">
        <v>739.45</v>
      </c>
      <c r="K68" s="3" t="n">
        <v>73.94</v>
      </c>
      <c r="L68" s="3" t="n">
        <v>665.5</v>
      </c>
      <c r="M68" s="3" t="n">
        <v>426.75</v>
      </c>
      <c r="N68" s="3" t="n">
        <v>238.75</v>
      </c>
      <c r="O68">
        <f>TEXT(A68,"yyyy-mm")</f>
        <v/>
      </c>
    </row>
    <row r="69">
      <c r="A69" s="2" t="n">
        <v>45546</v>
      </c>
      <c r="B69" t="n">
        <v>2024</v>
      </c>
      <c r="C69" t="inlineStr">
        <is>
          <t>September</t>
        </is>
      </c>
      <c r="D69" t="inlineStr">
        <is>
          <t>Smart Board Game</t>
        </is>
      </c>
      <c r="E69" t="inlineStr">
        <is>
          <t>Toys &amp; Games</t>
        </is>
      </c>
      <c r="F69" t="inlineStr">
        <is>
          <t>Olivia Schmidt</t>
        </is>
      </c>
      <c r="G69" t="inlineStr">
        <is>
          <t>United States</t>
        </is>
      </c>
      <c r="H69" t="inlineStr">
        <is>
          <t>Marketplace</t>
        </is>
      </c>
      <c r="I69" t="n">
        <v>4</v>
      </c>
      <c r="J69" s="3" t="n">
        <v>514.84</v>
      </c>
      <c r="K69" s="3" t="n">
        <v>77.23</v>
      </c>
      <c r="L69" s="3" t="n">
        <v>437.61</v>
      </c>
      <c r="M69" s="3" t="n">
        <v>366.88</v>
      </c>
      <c r="N69" s="3" t="n">
        <v>70.73</v>
      </c>
      <c r="O69">
        <f>TEXT(A69,"yyyy-mm")</f>
        <v/>
      </c>
    </row>
    <row r="70">
      <c r="A70" s="2" t="n">
        <v>45546</v>
      </c>
      <c r="B70" t="n">
        <v>2024</v>
      </c>
      <c r="C70" t="inlineStr">
        <is>
          <t>September</t>
        </is>
      </c>
      <c r="D70" t="inlineStr">
        <is>
          <t>Smart Camera</t>
        </is>
      </c>
      <c r="E70" t="inlineStr">
        <is>
          <t>Electronics</t>
        </is>
      </c>
      <c r="F70" t="inlineStr">
        <is>
          <t>David Johnson</t>
        </is>
      </c>
      <c r="G70" t="inlineStr">
        <is>
          <t>Spain</t>
        </is>
      </c>
      <c r="H70" t="inlineStr">
        <is>
          <t>Mobile App</t>
        </is>
      </c>
      <c r="I70" t="n">
        <v>3</v>
      </c>
      <c r="J70" s="3" t="n">
        <v>366.78</v>
      </c>
      <c r="K70" s="3" t="n">
        <v>18.34</v>
      </c>
      <c r="L70" s="3" t="n">
        <v>348.44</v>
      </c>
      <c r="M70" s="3" t="n">
        <v>256.74</v>
      </c>
      <c r="N70" s="3" t="n">
        <v>91.7</v>
      </c>
      <c r="O70">
        <f>TEXT(A70,"yyyy-mm")</f>
        <v/>
      </c>
    </row>
    <row r="71">
      <c r="A71" s="2" t="n">
        <v>45546</v>
      </c>
      <c r="B71" t="n">
        <v>2024</v>
      </c>
      <c r="C71" t="inlineStr">
        <is>
          <t>September</t>
        </is>
      </c>
      <c r="D71" t="inlineStr">
        <is>
          <t>Ultra Toolset</t>
        </is>
      </c>
      <c r="E71" t="inlineStr">
        <is>
          <t>Home &amp; Garden</t>
        </is>
      </c>
      <c r="F71" t="inlineStr">
        <is>
          <t>David Johnson</t>
        </is>
      </c>
      <c r="G71" t="inlineStr">
        <is>
          <t>Spain</t>
        </is>
      </c>
      <c r="H71" t="inlineStr">
        <is>
          <t>Mobile App</t>
        </is>
      </c>
      <c r="I71" t="n">
        <v>4</v>
      </c>
      <c r="J71" s="3" t="n">
        <v>1419.44</v>
      </c>
      <c r="K71" s="3" t="n">
        <v>0</v>
      </c>
      <c r="L71" s="3" t="n">
        <v>1419.44</v>
      </c>
      <c r="M71" s="3" t="n">
        <v>761.6</v>
      </c>
      <c r="N71" s="3" t="n">
        <v>657.84</v>
      </c>
      <c r="O71">
        <f>TEXT(A71,"yyyy-mm")</f>
        <v/>
      </c>
    </row>
    <row r="72">
      <c r="A72" s="2" t="n">
        <v>45546</v>
      </c>
      <c r="B72" t="n">
        <v>2024</v>
      </c>
      <c r="C72" t="inlineStr">
        <is>
          <t>September</t>
        </is>
      </c>
      <c r="D72" t="inlineStr">
        <is>
          <t>Smart Drone</t>
        </is>
      </c>
      <c r="E72" t="inlineStr">
        <is>
          <t>Toys &amp; Games</t>
        </is>
      </c>
      <c r="F72" t="inlineStr">
        <is>
          <t>David Johnson</t>
        </is>
      </c>
      <c r="G72" t="inlineStr">
        <is>
          <t>Spain</t>
        </is>
      </c>
      <c r="H72" t="inlineStr">
        <is>
          <t>Mobile App</t>
        </is>
      </c>
      <c r="I72" t="n">
        <v>4</v>
      </c>
      <c r="J72" s="3" t="n">
        <v>885.28</v>
      </c>
      <c r="K72" s="3" t="n">
        <v>44.26</v>
      </c>
      <c r="L72" s="3" t="n">
        <v>841.02</v>
      </c>
      <c r="M72" s="3" t="n">
        <v>507.8</v>
      </c>
      <c r="N72" s="3" t="n">
        <v>333.22</v>
      </c>
      <c r="O72">
        <f>TEXT(A72,"yyyy-mm")</f>
        <v/>
      </c>
    </row>
    <row r="73">
      <c r="A73" s="2" t="n">
        <v>45546</v>
      </c>
      <c r="B73" t="n">
        <v>2024</v>
      </c>
      <c r="C73" t="inlineStr">
        <is>
          <t>September</t>
        </is>
      </c>
      <c r="D73" t="inlineStr">
        <is>
          <t>Classic Sunscreen</t>
        </is>
      </c>
      <c r="E73" t="inlineStr">
        <is>
          <t>Beauty &amp; Health</t>
        </is>
      </c>
      <c r="F73" t="inlineStr">
        <is>
          <t>David Johnson</t>
        </is>
      </c>
      <c r="G73" t="inlineStr">
        <is>
          <t>Spain</t>
        </is>
      </c>
      <c r="H73" t="inlineStr">
        <is>
          <t>Mobile App</t>
        </is>
      </c>
      <c r="I73" t="n">
        <v>2</v>
      </c>
      <c r="J73" s="3" t="n">
        <v>273.22</v>
      </c>
      <c r="K73" s="3" t="n">
        <v>54.64</v>
      </c>
      <c r="L73" s="3" t="n">
        <v>218.58</v>
      </c>
      <c r="M73" s="3" t="n">
        <v>187.38</v>
      </c>
      <c r="N73" s="3" t="n">
        <v>31.2</v>
      </c>
      <c r="O73">
        <f>TEXT(A73,"yyyy-mm")</f>
        <v/>
      </c>
    </row>
    <row r="74">
      <c r="A74" s="2" t="n">
        <v>45546</v>
      </c>
      <c r="B74" t="n">
        <v>2024</v>
      </c>
      <c r="C74" t="inlineStr">
        <is>
          <t>September</t>
        </is>
      </c>
      <c r="D74" t="inlineStr">
        <is>
          <t>Smart Honey</t>
        </is>
      </c>
      <c r="E74" t="inlineStr">
        <is>
          <t>Grocery</t>
        </is>
      </c>
      <c r="F74" t="inlineStr">
        <is>
          <t>Emma Schmidt</t>
        </is>
      </c>
      <c r="G74" t="inlineStr">
        <is>
          <t>France</t>
        </is>
      </c>
      <c r="H74" t="inlineStr">
        <is>
          <t>Retail Store</t>
        </is>
      </c>
      <c r="I74" t="n">
        <v>1</v>
      </c>
      <c r="J74" s="3" t="n">
        <v>140.21</v>
      </c>
      <c r="K74" s="3" t="n">
        <v>7.01</v>
      </c>
      <c r="L74" s="3" t="n">
        <v>133.2</v>
      </c>
      <c r="M74" s="3" t="n">
        <v>71.44</v>
      </c>
      <c r="N74" s="3" t="n">
        <v>61.76</v>
      </c>
      <c r="O74">
        <f>TEXT(A74,"yyyy-mm")</f>
        <v/>
      </c>
    </row>
    <row r="75">
      <c r="A75" s="2" t="n">
        <v>45546</v>
      </c>
      <c r="B75" t="n">
        <v>2024</v>
      </c>
      <c r="C75" t="inlineStr">
        <is>
          <t>September</t>
        </is>
      </c>
      <c r="D75" t="inlineStr">
        <is>
          <t>Premium Rug</t>
        </is>
      </c>
      <c r="E75" t="inlineStr">
        <is>
          <t>Home &amp; Garden</t>
        </is>
      </c>
      <c r="F75" t="inlineStr">
        <is>
          <t>Sophie Johnson</t>
        </is>
      </c>
      <c r="G75" t="inlineStr">
        <is>
          <t>France</t>
        </is>
      </c>
      <c r="H75" t="inlineStr">
        <is>
          <t>Web Store</t>
        </is>
      </c>
      <c r="I75" t="n">
        <v>3</v>
      </c>
      <c r="J75" s="3" t="n">
        <v>570.9299999999999</v>
      </c>
      <c r="K75" s="3" t="n">
        <v>28.55</v>
      </c>
      <c r="L75" s="3" t="n">
        <v>542.38</v>
      </c>
      <c r="M75" s="3" t="n">
        <v>333.57</v>
      </c>
      <c r="N75" s="3" t="n">
        <v>208.81</v>
      </c>
      <c r="O75">
        <f>TEXT(A75,"yyyy-mm")</f>
        <v/>
      </c>
    </row>
    <row r="76">
      <c r="A76" s="2" t="n">
        <v>45546</v>
      </c>
      <c r="B76" t="n">
        <v>2024</v>
      </c>
      <c r="C76" t="inlineStr">
        <is>
          <t>September</t>
        </is>
      </c>
      <c r="D76" t="inlineStr">
        <is>
          <t>Wireless Honey</t>
        </is>
      </c>
      <c r="E76" t="inlineStr">
        <is>
          <t>Grocery</t>
        </is>
      </c>
      <c r="F76" t="inlineStr">
        <is>
          <t>Sophie Johnson</t>
        </is>
      </c>
      <c r="G76" t="inlineStr">
        <is>
          <t>France</t>
        </is>
      </c>
      <c r="H76" t="inlineStr">
        <is>
          <t>Web Store</t>
        </is>
      </c>
      <c r="I76" t="n">
        <v>5</v>
      </c>
      <c r="J76" s="3" t="n">
        <v>663.25</v>
      </c>
      <c r="K76" s="3" t="n">
        <v>0</v>
      </c>
      <c r="L76" s="3" t="n">
        <v>663.25</v>
      </c>
      <c r="M76" s="3" t="n">
        <v>470.35</v>
      </c>
      <c r="N76" s="3" t="n">
        <v>192.9</v>
      </c>
      <c r="O76">
        <f>TEXT(A76,"yyyy-mm")</f>
        <v/>
      </c>
    </row>
    <row r="77">
      <c r="A77" s="2" t="n">
        <v>45546</v>
      </c>
      <c r="B77" t="n">
        <v>2024</v>
      </c>
      <c r="C77" t="inlineStr">
        <is>
          <t>September</t>
        </is>
      </c>
      <c r="D77" t="inlineStr">
        <is>
          <t>Classic Sunscreen</t>
        </is>
      </c>
      <c r="E77" t="inlineStr">
        <is>
          <t>Beauty &amp; Health</t>
        </is>
      </c>
      <c r="F77" t="inlineStr">
        <is>
          <t>Sophie Johnson</t>
        </is>
      </c>
      <c r="G77" t="inlineStr">
        <is>
          <t>France</t>
        </is>
      </c>
      <c r="H77" t="inlineStr">
        <is>
          <t>Web Store</t>
        </is>
      </c>
      <c r="I77" t="n">
        <v>3</v>
      </c>
      <c r="J77" s="3" t="n">
        <v>416.37</v>
      </c>
      <c r="K77" s="3" t="n">
        <v>41.64</v>
      </c>
      <c r="L77" s="3" t="n">
        <v>374.73</v>
      </c>
      <c r="M77" s="3" t="n">
        <v>281.07</v>
      </c>
      <c r="N77" s="3" t="n">
        <v>93.66</v>
      </c>
      <c r="O77">
        <f>TEXT(A77,"yyyy-mm")</f>
        <v/>
      </c>
    </row>
    <row r="78">
      <c r="A78" s="2" t="n">
        <v>45546</v>
      </c>
      <c r="B78" t="n">
        <v>2024</v>
      </c>
      <c r="C78" t="inlineStr">
        <is>
          <t>September</t>
        </is>
      </c>
      <c r="D78" t="inlineStr">
        <is>
          <t>Premium Tent</t>
        </is>
      </c>
      <c r="E78" t="inlineStr">
        <is>
          <t>Sports &amp; Outdoors</t>
        </is>
      </c>
      <c r="F78" t="inlineStr">
        <is>
          <t>Clara Kowalski</t>
        </is>
      </c>
      <c r="G78" t="inlineStr">
        <is>
          <t>France</t>
        </is>
      </c>
      <c r="H78" t="inlineStr">
        <is>
          <t>Marketplace</t>
        </is>
      </c>
      <c r="I78" t="n">
        <v>2</v>
      </c>
      <c r="J78" s="3" t="n">
        <v>539.28</v>
      </c>
      <c r="K78" s="3" t="n">
        <v>0</v>
      </c>
      <c r="L78" s="3" t="n">
        <v>539.28</v>
      </c>
      <c r="M78" s="3" t="n">
        <v>278.08</v>
      </c>
      <c r="N78" s="3" t="n">
        <v>261.2</v>
      </c>
      <c r="O78">
        <f>TEXT(A78,"yyyy-mm")</f>
        <v/>
      </c>
    </row>
    <row r="79">
      <c r="A79" s="2" t="n">
        <v>45546</v>
      </c>
      <c r="B79" t="n">
        <v>2024</v>
      </c>
      <c r="C79" t="inlineStr">
        <is>
          <t>September</t>
        </is>
      </c>
      <c r="D79" t="inlineStr">
        <is>
          <t>Eco Planter</t>
        </is>
      </c>
      <c r="E79" t="inlineStr">
        <is>
          <t>Home &amp; Garden</t>
        </is>
      </c>
      <c r="F79" t="inlineStr">
        <is>
          <t>Emma Schmidt</t>
        </is>
      </c>
      <c r="G79" t="inlineStr">
        <is>
          <t>France</t>
        </is>
      </c>
      <c r="H79" t="inlineStr">
        <is>
          <t>Retail Store</t>
        </is>
      </c>
      <c r="I79" t="n">
        <v>3</v>
      </c>
      <c r="J79" s="3" t="n">
        <v>543.21</v>
      </c>
      <c r="K79" s="3" t="n">
        <v>0</v>
      </c>
      <c r="L79" s="3" t="n">
        <v>543.21</v>
      </c>
      <c r="M79" s="3" t="n">
        <v>337.23</v>
      </c>
      <c r="N79" s="3" t="n">
        <v>205.98</v>
      </c>
      <c r="O79">
        <f>TEXT(A79,"yyyy-mm")</f>
        <v/>
      </c>
    </row>
    <row r="80">
      <c r="A80" s="2" t="n">
        <v>45546</v>
      </c>
      <c r="B80" t="n">
        <v>2024</v>
      </c>
      <c r="C80" t="inlineStr">
        <is>
          <t>September</t>
        </is>
      </c>
      <c r="D80" t="inlineStr">
        <is>
          <t>Premium Water Bottle</t>
        </is>
      </c>
      <c r="E80" t="inlineStr">
        <is>
          <t>Sports &amp; Outdoors</t>
        </is>
      </c>
      <c r="F80" t="inlineStr">
        <is>
          <t>Robert Weber</t>
        </is>
      </c>
      <c r="G80" t="inlineStr">
        <is>
          <t>United States</t>
        </is>
      </c>
      <c r="H80" t="inlineStr">
        <is>
          <t>Marketplace</t>
        </is>
      </c>
      <c r="I80" t="n">
        <v>1</v>
      </c>
      <c r="J80" s="3" t="n">
        <v>314.19</v>
      </c>
      <c r="K80" s="3" t="n">
        <v>62.84</v>
      </c>
      <c r="L80" s="3" t="n">
        <v>251.35</v>
      </c>
      <c r="M80" s="3" t="n">
        <v>181.16</v>
      </c>
      <c r="N80" s="3" t="n">
        <v>70.19</v>
      </c>
      <c r="O80">
        <f>TEXT(A80,"yyyy-mm")</f>
        <v/>
      </c>
    </row>
    <row r="81">
      <c r="A81" s="2" t="n">
        <v>45546</v>
      </c>
      <c r="B81" t="n">
        <v>2024</v>
      </c>
      <c r="C81" t="inlineStr">
        <is>
          <t>September</t>
        </is>
      </c>
      <c r="D81" t="inlineStr">
        <is>
          <t>Classic Coffee Beans</t>
        </is>
      </c>
      <c r="E81" t="inlineStr">
        <is>
          <t>Grocery</t>
        </is>
      </c>
      <c r="F81" t="inlineStr">
        <is>
          <t>Olivia Schmidt</t>
        </is>
      </c>
      <c r="G81" t="inlineStr">
        <is>
          <t>United States</t>
        </is>
      </c>
      <c r="H81" t="inlineStr">
        <is>
          <t>Marketplace</t>
        </is>
      </c>
      <c r="I81" t="n">
        <v>1</v>
      </c>
      <c r="J81" s="3" t="n">
        <v>326.8</v>
      </c>
      <c r="K81" s="3" t="n">
        <v>0</v>
      </c>
      <c r="L81" s="3" t="n">
        <v>326.8</v>
      </c>
      <c r="M81" s="3" t="n">
        <v>194.76</v>
      </c>
      <c r="N81" s="3" t="n">
        <v>132.04</v>
      </c>
      <c r="O81">
        <f>TEXT(A81,"yyyy-mm")</f>
        <v/>
      </c>
    </row>
    <row r="82">
      <c r="A82" s="2" t="n">
        <v>45546</v>
      </c>
      <c r="B82" t="n">
        <v>2024</v>
      </c>
      <c r="C82" t="inlineStr">
        <is>
          <t>September</t>
        </is>
      </c>
      <c r="D82" t="inlineStr">
        <is>
          <t>Portable Pasta</t>
        </is>
      </c>
      <c r="E82" t="inlineStr">
        <is>
          <t>Grocery</t>
        </is>
      </c>
      <c r="F82" t="inlineStr">
        <is>
          <t>Robert Weber</t>
        </is>
      </c>
      <c r="G82" t="inlineStr">
        <is>
          <t>United States</t>
        </is>
      </c>
      <c r="H82" t="inlineStr">
        <is>
          <t>Marketplace</t>
        </is>
      </c>
      <c r="I82" t="n">
        <v>2</v>
      </c>
      <c r="J82" s="3" t="n">
        <v>70.72</v>
      </c>
      <c r="K82" s="3" t="n">
        <v>0</v>
      </c>
      <c r="L82" s="3" t="n">
        <v>70.72</v>
      </c>
      <c r="M82" s="3" t="n">
        <v>55.5</v>
      </c>
      <c r="N82" s="3" t="n">
        <v>15.22</v>
      </c>
      <c r="O82">
        <f>TEXT(A82,"yyyy-mm")</f>
        <v/>
      </c>
    </row>
    <row r="83">
      <c r="A83" s="2" t="n">
        <v>45547</v>
      </c>
      <c r="B83" t="n">
        <v>2024</v>
      </c>
      <c r="C83" t="inlineStr">
        <is>
          <t>September</t>
        </is>
      </c>
      <c r="D83" t="inlineStr">
        <is>
          <t>Classic Tent</t>
        </is>
      </c>
      <c r="E83" t="inlineStr">
        <is>
          <t>Sports &amp; Outdoors</t>
        </is>
      </c>
      <c r="F83" t="inlineStr">
        <is>
          <t>Robert Rossi</t>
        </is>
      </c>
      <c r="G83" t="inlineStr">
        <is>
          <t>United States</t>
        </is>
      </c>
      <c r="H83" t="inlineStr">
        <is>
          <t>Mobile App</t>
        </is>
      </c>
      <c r="I83" t="n">
        <v>3</v>
      </c>
      <c r="J83" s="3" t="n">
        <v>632.85</v>
      </c>
      <c r="K83" s="3" t="n">
        <v>0</v>
      </c>
      <c r="L83" s="3" t="n">
        <v>632.85</v>
      </c>
      <c r="M83" s="3" t="n">
        <v>354.06</v>
      </c>
      <c r="N83" s="3" t="n">
        <v>278.79</v>
      </c>
      <c r="O83">
        <f>TEXT(A83,"yyyy-mm")</f>
        <v/>
      </c>
    </row>
    <row r="84">
      <c r="A84" s="2" t="n">
        <v>45547</v>
      </c>
      <c r="B84" t="n">
        <v>2024</v>
      </c>
      <c r="C84" t="inlineStr">
        <is>
          <t>September</t>
        </is>
      </c>
      <c r="D84" t="inlineStr">
        <is>
          <t>Compact Pasta</t>
        </is>
      </c>
      <c r="E84" t="inlineStr">
        <is>
          <t>Grocery</t>
        </is>
      </c>
      <c r="F84" t="inlineStr">
        <is>
          <t>Peter Garcia</t>
        </is>
      </c>
      <c r="G84" t="inlineStr">
        <is>
          <t>Poland</t>
        </is>
      </c>
      <c r="H84" t="inlineStr">
        <is>
          <t>Retail Store</t>
        </is>
      </c>
      <c r="I84" t="n">
        <v>4</v>
      </c>
      <c r="J84" s="3" t="n">
        <v>1271.44</v>
      </c>
      <c r="K84" s="3" t="n">
        <v>190.72</v>
      </c>
      <c r="L84" s="3" t="n">
        <v>1080.72</v>
      </c>
      <c r="M84" s="3" t="n">
        <v>797.6</v>
      </c>
      <c r="N84" s="3" t="n">
        <v>283.12</v>
      </c>
      <c r="O84">
        <f>TEXT(A84,"yyyy-mm")</f>
        <v/>
      </c>
    </row>
    <row r="85">
      <c r="A85" s="2" t="n">
        <v>45547</v>
      </c>
      <c r="B85" t="n">
        <v>2024</v>
      </c>
      <c r="C85" t="inlineStr">
        <is>
          <t>September</t>
        </is>
      </c>
      <c r="D85" t="inlineStr">
        <is>
          <t>Essential Pasta</t>
        </is>
      </c>
      <c r="E85" t="inlineStr">
        <is>
          <t>Grocery</t>
        </is>
      </c>
      <c r="F85" t="inlineStr">
        <is>
          <t>Peter Garcia</t>
        </is>
      </c>
      <c r="G85" t="inlineStr">
        <is>
          <t>Poland</t>
        </is>
      </c>
      <c r="H85" t="inlineStr">
        <is>
          <t>Retail Store</t>
        </is>
      </c>
      <c r="I85" t="n">
        <v>5</v>
      </c>
      <c r="J85" s="3" t="n">
        <v>267.85</v>
      </c>
      <c r="K85" s="3" t="n">
        <v>0</v>
      </c>
      <c r="L85" s="3" t="n">
        <v>267.85</v>
      </c>
      <c r="M85" s="3" t="n">
        <v>179.05</v>
      </c>
      <c r="N85" s="3" t="n">
        <v>88.8</v>
      </c>
      <c r="O85">
        <f>TEXT(A85,"yyyy-mm")</f>
        <v/>
      </c>
    </row>
    <row r="86">
      <c r="A86" s="2" t="n">
        <v>45547</v>
      </c>
      <c r="B86" t="n">
        <v>2024</v>
      </c>
      <c r="C86" t="inlineStr">
        <is>
          <t>September</t>
        </is>
      </c>
      <c r="D86" t="inlineStr">
        <is>
          <t>Premium Cookbook</t>
        </is>
      </c>
      <c r="E86" t="inlineStr">
        <is>
          <t>Books</t>
        </is>
      </c>
      <c r="F86" t="inlineStr">
        <is>
          <t>Peter Garcia</t>
        </is>
      </c>
      <c r="G86" t="inlineStr">
        <is>
          <t>Poland</t>
        </is>
      </c>
      <c r="H86" t="inlineStr">
        <is>
          <t>Retail Store</t>
        </is>
      </c>
      <c r="I86" t="n">
        <v>2</v>
      </c>
      <c r="J86" s="3" t="n">
        <v>259.58</v>
      </c>
      <c r="K86" s="3" t="n">
        <v>0</v>
      </c>
      <c r="L86" s="3" t="n">
        <v>259.58</v>
      </c>
      <c r="M86" s="3" t="n">
        <v>189.96</v>
      </c>
      <c r="N86" s="3" t="n">
        <v>69.62</v>
      </c>
      <c r="O86">
        <f>TEXT(A86,"yyyy-mm")</f>
        <v/>
      </c>
    </row>
    <row r="87">
      <c r="A87" s="2" t="n">
        <v>45547</v>
      </c>
      <c r="B87" t="n">
        <v>2024</v>
      </c>
      <c r="C87" t="inlineStr">
        <is>
          <t>September</t>
        </is>
      </c>
      <c r="D87" t="inlineStr">
        <is>
          <t>Essential Notebook</t>
        </is>
      </c>
      <c r="E87" t="inlineStr">
        <is>
          <t>Books</t>
        </is>
      </c>
      <c r="F87" t="inlineStr">
        <is>
          <t>Peter Garcia</t>
        </is>
      </c>
      <c r="G87" t="inlineStr">
        <is>
          <t>Poland</t>
        </is>
      </c>
      <c r="H87" t="inlineStr">
        <is>
          <t>Retail Store</t>
        </is>
      </c>
      <c r="I87" t="n">
        <v>5</v>
      </c>
      <c r="J87" s="3" t="n">
        <v>574.95</v>
      </c>
      <c r="K87" s="3" t="n">
        <v>0</v>
      </c>
      <c r="L87" s="3" t="n">
        <v>574.95</v>
      </c>
      <c r="M87" s="3" t="n">
        <v>395.5</v>
      </c>
      <c r="N87" s="3" t="n">
        <v>179.45</v>
      </c>
      <c r="O87">
        <f>TEXT(A87,"yyyy-mm")</f>
        <v/>
      </c>
    </row>
    <row r="88">
      <c r="A88" s="2" t="n">
        <v>45548</v>
      </c>
      <c r="B88" t="n">
        <v>2024</v>
      </c>
      <c r="C88" t="inlineStr">
        <is>
          <t>September</t>
        </is>
      </c>
      <c r="D88" t="inlineStr">
        <is>
          <t>Classic Atlas</t>
        </is>
      </c>
      <c r="E88" t="inlineStr">
        <is>
          <t>Books</t>
        </is>
      </c>
      <c r="F88" t="inlineStr">
        <is>
          <t>Maria Dubois</t>
        </is>
      </c>
      <c r="G88" t="inlineStr">
        <is>
          <t>France</t>
        </is>
      </c>
      <c r="H88" t="inlineStr">
        <is>
          <t>Mobile App</t>
        </is>
      </c>
      <c r="I88" t="n">
        <v>2</v>
      </c>
      <c r="J88" s="3" t="n">
        <v>126.34</v>
      </c>
      <c r="K88" s="3" t="n">
        <v>6.32</v>
      </c>
      <c r="L88" s="3" t="n">
        <v>120.02</v>
      </c>
      <c r="M88" s="3" t="n">
        <v>69.18000000000001</v>
      </c>
      <c r="N88" s="3" t="n">
        <v>50.84</v>
      </c>
      <c r="O88">
        <f>TEXT(A88,"yyyy-mm")</f>
        <v/>
      </c>
    </row>
    <row r="89">
      <c r="A89" s="2" t="n">
        <v>45548</v>
      </c>
      <c r="B89" t="n">
        <v>2024</v>
      </c>
      <c r="C89" t="inlineStr">
        <is>
          <t>September</t>
        </is>
      </c>
      <c r="D89" t="inlineStr">
        <is>
          <t>Smart Coffee Beans</t>
        </is>
      </c>
      <c r="E89" t="inlineStr">
        <is>
          <t>Grocery</t>
        </is>
      </c>
      <c r="F89" t="inlineStr">
        <is>
          <t>Clara Muller</t>
        </is>
      </c>
      <c r="G89" t="inlineStr">
        <is>
          <t>Italy</t>
        </is>
      </c>
      <c r="H89" t="inlineStr">
        <is>
          <t>Web Store</t>
        </is>
      </c>
      <c r="I89" t="n">
        <v>3</v>
      </c>
      <c r="J89" s="3" t="n">
        <v>318.48</v>
      </c>
      <c r="K89" s="3" t="n">
        <v>31.85</v>
      </c>
      <c r="L89" s="3" t="n">
        <v>286.63</v>
      </c>
      <c r="M89" s="3" t="n">
        <v>218.55</v>
      </c>
      <c r="N89" s="3" t="n">
        <v>68.08</v>
      </c>
      <c r="O89">
        <f>TEXT(A89,"yyyy-mm")</f>
        <v/>
      </c>
    </row>
    <row r="90">
      <c r="A90" s="2" t="n">
        <v>45548</v>
      </c>
      <c r="B90" t="n">
        <v>2024</v>
      </c>
      <c r="C90" t="inlineStr">
        <is>
          <t>September</t>
        </is>
      </c>
      <c r="D90" t="inlineStr">
        <is>
          <t>Smart Puzzle</t>
        </is>
      </c>
      <c r="E90" t="inlineStr">
        <is>
          <t>Toys &amp; Games</t>
        </is>
      </c>
      <c r="F90" t="inlineStr">
        <is>
          <t>Clara Muller</t>
        </is>
      </c>
      <c r="G90" t="inlineStr">
        <is>
          <t>Italy</t>
        </is>
      </c>
      <c r="H90" t="inlineStr">
        <is>
          <t>Web Store</t>
        </is>
      </c>
      <c r="I90" t="n">
        <v>1</v>
      </c>
      <c r="J90" s="3" t="n">
        <v>45.51</v>
      </c>
      <c r="K90" s="3" t="n">
        <v>0</v>
      </c>
      <c r="L90" s="3" t="n">
        <v>45.51</v>
      </c>
      <c r="M90" s="3" t="n">
        <v>24.44</v>
      </c>
      <c r="N90" s="3" t="n">
        <v>21.07</v>
      </c>
      <c r="O90">
        <f>TEXT(A90,"yyyy-mm")</f>
        <v/>
      </c>
    </row>
    <row r="91">
      <c r="A91" s="2" t="n">
        <v>45548</v>
      </c>
      <c r="B91" t="n">
        <v>2024</v>
      </c>
      <c r="C91" t="inlineStr">
        <is>
          <t>September</t>
        </is>
      </c>
      <c r="D91" t="inlineStr">
        <is>
          <t>Classic Sunscreen</t>
        </is>
      </c>
      <c r="E91" t="inlineStr">
        <is>
          <t>Beauty &amp; Health</t>
        </is>
      </c>
      <c r="F91" t="inlineStr">
        <is>
          <t>Clara Muller</t>
        </is>
      </c>
      <c r="G91" t="inlineStr">
        <is>
          <t>Italy</t>
        </is>
      </c>
      <c r="H91" t="inlineStr">
        <is>
          <t>Web Store</t>
        </is>
      </c>
      <c r="I91" t="n">
        <v>2</v>
      </c>
      <c r="J91" s="3" t="n">
        <v>277.8</v>
      </c>
      <c r="K91" s="3" t="n">
        <v>0</v>
      </c>
      <c r="L91" s="3" t="n">
        <v>277.8</v>
      </c>
      <c r="M91" s="3" t="n">
        <v>187.38</v>
      </c>
      <c r="N91" s="3" t="n">
        <v>90.42</v>
      </c>
      <c r="O91">
        <f>TEXT(A91,"yyyy-mm")</f>
        <v/>
      </c>
    </row>
    <row r="92">
      <c r="A92" s="2" t="n">
        <v>45549</v>
      </c>
      <c r="B92" t="n">
        <v>2024</v>
      </c>
      <c r="C92" t="inlineStr">
        <is>
          <t>September</t>
        </is>
      </c>
      <c r="D92" t="inlineStr">
        <is>
          <t>Smart Tea Set</t>
        </is>
      </c>
      <c r="E92" t="inlineStr">
        <is>
          <t>Grocery</t>
        </is>
      </c>
      <c r="F92" t="inlineStr">
        <is>
          <t>David Nowak</t>
        </is>
      </c>
      <c r="G92" t="inlineStr">
        <is>
          <t>United Kingdom</t>
        </is>
      </c>
      <c r="H92" t="inlineStr">
        <is>
          <t>Retail Store</t>
        </is>
      </c>
      <c r="I92" t="n">
        <v>5</v>
      </c>
      <c r="J92" s="3" t="n">
        <v>457.25</v>
      </c>
      <c r="K92" s="3" t="n">
        <v>0</v>
      </c>
      <c r="L92" s="3" t="n">
        <v>457.25</v>
      </c>
      <c r="M92" s="3" t="n">
        <v>309</v>
      </c>
      <c r="N92" s="3" t="n">
        <v>148.25</v>
      </c>
      <c r="O92">
        <f>TEXT(A92,"yyyy-mm")</f>
        <v/>
      </c>
    </row>
    <row r="93">
      <c r="A93" s="2" t="n">
        <v>45550</v>
      </c>
      <c r="B93" t="n">
        <v>2024</v>
      </c>
      <c r="C93" t="inlineStr">
        <is>
          <t>September</t>
        </is>
      </c>
      <c r="D93" t="inlineStr">
        <is>
          <t>Essential Vitamins</t>
        </is>
      </c>
      <c r="E93" t="inlineStr">
        <is>
          <t>Beauty &amp; Health</t>
        </is>
      </c>
      <c r="F93" t="inlineStr">
        <is>
          <t>Emily Dubois</t>
        </is>
      </c>
      <c r="G93" t="inlineStr">
        <is>
          <t>Italy</t>
        </is>
      </c>
      <c r="H93" t="inlineStr">
        <is>
          <t>Marketplace</t>
        </is>
      </c>
      <c r="I93" t="n">
        <v>1</v>
      </c>
      <c r="J93" s="3" t="n">
        <v>165.8</v>
      </c>
      <c r="K93" s="3" t="n">
        <v>8.289999999999999</v>
      </c>
      <c r="L93" s="3" t="n">
        <v>157.51</v>
      </c>
      <c r="M93" s="3" t="n">
        <v>110.3</v>
      </c>
      <c r="N93" s="3" t="n">
        <v>47.21</v>
      </c>
      <c r="O93">
        <f>TEXT(A93,"yyyy-mm")</f>
        <v/>
      </c>
    </row>
    <row r="94">
      <c r="A94" s="2" t="n">
        <v>45550</v>
      </c>
      <c r="B94" t="n">
        <v>2024</v>
      </c>
      <c r="C94" t="inlineStr">
        <is>
          <t>September</t>
        </is>
      </c>
      <c r="D94" t="inlineStr">
        <is>
          <t>Essential Pasta</t>
        </is>
      </c>
      <c r="E94" t="inlineStr">
        <is>
          <t>Grocery</t>
        </is>
      </c>
      <c r="F94" t="inlineStr">
        <is>
          <t>Emily Dubois</t>
        </is>
      </c>
      <c r="G94" t="inlineStr">
        <is>
          <t>Italy</t>
        </is>
      </c>
      <c r="H94" t="inlineStr">
        <is>
          <t>Marketplace</t>
        </is>
      </c>
      <c r="I94" t="n">
        <v>4</v>
      </c>
      <c r="J94" s="3" t="n">
        <v>228.52</v>
      </c>
      <c r="K94" s="3" t="n">
        <v>0</v>
      </c>
      <c r="L94" s="3" t="n">
        <v>228.52</v>
      </c>
      <c r="M94" s="3" t="n">
        <v>143.24</v>
      </c>
      <c r="N94" s="3" t="n">
        <v>85.28</v>
      </c>
      <c r="O94">
        <f>TEXT(A94,"yyyy-mm")</f>
        <v/>
      </c>
    </row>
    <row r="95">
      <c r="A95" s="2" t="n">
        <v>45550</v>
      </c>
      <c r="B95" t="n">
        <v>2024</v>
      </c>
      <c r="C95" t="inlineStr">
        <is>
          <t>September</t>
        </is>
      </c>
      <c r="D95" t="inlineStr">
        <is>
          <t>Smart Camera</t>
        </is>
      </c>
      <c r="E95" t="inlineStr">
        <is>
          <t>Electronics</t>
        </is>
      </c>
      <c r="F95" t="inlineStr">
        <is>
          <t>Emily Dubois</t>
        </is>
      </c>
      <c r="G95" t="inlineStr">
        <is>
          <t>Italy</t>
        </is>
      </c>
      <c r="H95" t="inlineStr">
        <is>
          <t>Marketplace</t>
        </is>
      </c>
      <c r="I95" t="n">
        <v>2</v>
      </c>
      <c r="J95" s="3" t="n">
        <v>589.78</v>
      </c>
      <c r="K95" s="3" t="n">
        <v>0</v>
      </c>
      <c r="L95" s="3" t="n">
        <v>589.78</v>
      </c>
      <c r="M95" s="3" t="n">
        <v>334.8</v>
      </c>
      <c r="N95" s="3" t="n">
        <v>254.98</v>
      </c>
      <c r="O95">
        <f>TEXT(A95,"yyyy-mm")</f>
        <v/>
      </c>
    </row>
    <row r="96">
      <c r="A96" s="2" t="n">
        <v>45550</v>
      </c>
      <c r="B96" t="n">
        <v>2024</v>
      </c>
      <c r="C96" t="inlineStr">
        <is>
          <t>September</t>
        </is>
      </c>
      <c r="D96" t="inlineStr">
        <is>
          <t>Portable Bike Helmet</t>
        </is>
      </c>
      <c r="E96" t="inlineStr">
        <is>
          <t>Sports &amp; Outdoors</t>
        </is>
      </c>
      <c r="F96" t="inlineStr">
        <is>
          <t>Emily Dubois</t>
        </is>
      </c>
      <c r="G96" t="inlineStr">
        <is>
          <t>Italy</t>
        </is>
      </c>
      <c r="H96" t="inlineStr">
        <is>
          <t>Marketplace</t>
        </is>
      </c>
      <c r="I96" t="n">
        <v>3</v>
      </c>
      <c r="J96" s="3" t="n">
        <v>897.12</v>
      </c>
      <c r="K96" s="3" t="n">
        <v>179.42</v>
      </c>
      <c r="L96" s="3" t="n">
        <v>717.7</v>
      </c>
      <c r="M96" s="3" t="n">
        <v>496.11</v>
      </c>
      <c r="N96" s="3" t="n">
        <v>221.59</v>
      </c>
      <c r="O96">
        <f>TEXT(A96,"yyyy-mm")</f>
        <v/>
      </c>
    </row>
    <row r="97">
      <c r="A97" s="2" t="n">
        <v>45550</v>
      </c>
      <c r="B97" t="n">
        <v>2024</v>
      </c>
      <c r="C97" t="inlineStr">
        <is>
          <t>September</t>
        </is>
      </c>
      <c r="D97" t="inlineStr">
        <is>
          <t>Smart Jeans</t>
        </is>
      </c>
      <c r="E97" t="inlineStr">
        <is>
          <t>Clothing</t>
        </is>
      </c>
      <c r="F97" t="inlineStr">
        <is>
          <t>Paul Nowak</t>
        </is>
      </c>
      <c r="G97" t="inlineStr">
        <is>
          <t>France</t>
        </is>
      </c>
      <c r="H97" t="inlineStr">
        <is>
          <t>Mobile App</t>
        </is>
      </c>
      <c r="I97" t="n">
        <v>4</v>
      </c>
      <c r="J97" s="3" t="n">
        <v>1197.92</v>
      </c>
      <c r="K97" s="3" t="n">
        <v>0</v>
      </c>
      <c r="L97" s="3" t="n">
        <v>1197.92</v>
      </c>
      <c r="M97" s="3" t="n">
        <v>774.5599999999999</v>
      </c>
      <c r="N97" s="3" t="n">
        <v>423.36</v>
      </c>
      <c r="O97">
        <f>TEXT(A97,"yyyy-mm")</f>
        <v/>
      </c>
    </row>
    <row r="98">
      <c r="A98" s="2" t="n">
        <v>45550</v>
      </c>
      <c r="B98" t="n">
        <v>2024</v>
      </c>
      <c r="C98" t="inlineStr">
        <is>
          <t>September</t>
        </is>
      </c>
      <c r="D98" t="inlineStr">
        <is>
          <t>Eco Drone</t>
        </is>
      </c>
      <c r="E98" t="inlineStr">
        <is>
          <t>Toys &amp; Games</t>
        </is>
      </c>
      <c r="F98" t="inlineStr">
        <is>
          <t>Paul Nowak</t>
        </is>
      </c>
      <c r="G98" t="inlineStr">
        <is>
          <t>France</t>
        </is>
      </c>
      <c r="H98" t="inlineStr">
        <is>
          <t>Mobile App</t>
        </is>
      </c>
      <c r="I98" t="n">
        <v>4</v>
      </c>
      <c r="J98" s="3" t="n">
        <v>805</v>
      </c>
      <c r="K98" s="3" t="n">
        <v>120.75</v>
      </c>
      <c r="L98" s="3" t="n">
        <v>684.25</v>
      </c>
      <c r="M98" s="3" t="n">
        <v>518.36</v>
      </c>
      <c r="N98" s="3" t="n">
        <v>165.89</v>
      </c>
      <c r="O98">
        <f>TEXT(A98,"yyyy-mm")</f>
        <v/>
      </c>
    </row>
    <row r="99">
      <c r="A99" s="2" t="n">
        <v>45550</v>
      </c>
      <c r="B99" t="n">
        <v>2024</v>
      </c>
      <c r="C99" t="inlineStr">
        <is>
          <t>September</t>
        </is>
      </c>
      <c r="D99" t="inlineStr">
        <is>
          <t>Wireless Coffee Beans</t>
        </is>
      </c>
      <c r="E99" t="inlineStr">
        <is>
          <t>Grocery</t>
        </is>
      </c>
      <c r="F99" t="inlineStr">
        <is>
          <t>Paul Nowak</t>
        </is>
      </c>
      <c r="G99" t="inlineStr">
        <is>
          <t>France</t>
        </is>
      </c>
      <c r="H99" t="inlineStr">
        <is>
          <t>Mobile App</t>
        </is>
      </c>
      <c r="I99" t="n">
        <v>5</v>
      </c>
      <c r="J99" s="3" t="n">
        <v>575.6</v>
      </c>
      <c r="K99" s="3" t="n">
        <v>0</v>
      </c>
      <c r="L99" s="3" t="n">
        <v>575.6</v>
      </c>
      <c r="M99" s="3" t="n">
        <v>396.85</v>
      </c>
      <c r="N99" s="3" t="n">
        <v>178.75</v>
      </c>
      <c r="O99">
        <f>TEXT(A99,"yyyy-mm")</f>
        <v/>
      </c>
    </row>
    <row r="100">
      <c r="A100" s="2" t="n">
        <v>45550</v>
      </c>
      <c r="B100" t="n">
        <v>2024</v>
      </c>
      <c r="C100" t="inlineStr">
        <is>
          <t>September</t>
        </is>
      </c>
      <c r="D100" t="inlineStr">
        <is>
          <t>Classic Bike Helmet</t>
        </is>
      </c>
      <c r="E100" t="inlineStr">
        <is>
          <t>Sports &amp; Outdoors</t>
        </is>
      </c>
      <c r="F100" t="inlineStr">
        <is>
          <t>Olivia Nowak</t>
        </is>
      </c>
      <c r="G100" t="inlineStr">
        <is>
          <t>Germany</t>
        </is>
      </c>
      <c r="H100" t="inlineStr">
        <is>
          <t>Web Store</t>
        </is>
      </c>
      <c r="I100" t="n">
        <v>2</v>
      </c>
      <c r="J100" s="3" t="n">
        <v>443.92</v>
      </c>
      <c r="K100" s="3" t="n">
        <v>0</v>
      </c>
      <c r="L100" s="3" t="n">
        <v>443.92</v>
      </c>
      <c r="M100" s="3" t="n">
        <v>307.62</v>
      </c>
      <c r="N100" s="3" t="n">
        <v>136.3</v>
      </c>
      <c r="O100">
        <f>TEXT(A100,"yyyy-mm")</f>
        <v/>
      </c>
    </row>
    <row r="101">
      <c r="A101" s="2" t="n">
        <v>45550</v>
      </c>
      <c r="B101" t="n">
        <v>2024</v>
      </c>
      <c r="C101" t="inlineStr">
        <is>
          <t>September</t>
        </is>
      </c>
      <c r="D101" t="inlineStr">
        <is>
          <t>Smart Puzzle</t>
        </is>
      </c>
      <c r="E101" t="inlineStr">
        <is>
          <t>Toys &amp; Games</t>
        </is>
      </c>
      <c r="F101" t="inlineStr">
        <is>
          <t>Paul Brown</t>
        </is>
      </c>
      <c r="G101" t="inlineStr">
        <is>
          <t>United Kingdom</t>
        </is>
      </c>
      <c r="H101" t="inlineStr">
        <is>
          <t>Retail Store</t>
        </is>
      </c>
      <c r="I101" t="n">
        <v>4</v>
      </c>
      <c r="J101" s="3" t="n">
        <v>1067.04</v>
      </c>
      <c r="K101" s="3" t="n">
        <v>160.06</v>
      </c>
      <c r="L101" s="3" t="n">
        <v>906.98</v>
      </c>
      <c r="M101" s="3" t="n">
        <v>771.04</v>
      </c>
      <c r="N101" s="3" t="n">
        <v>135.94</v>
      </c>
      <c r="O101">
        <f>TEXT(A101,"yyyy-mm")</f>
        <v/>
      </c>
    </row>
    <row r="102">
      <c r="A102" s="2" t="n">
        <v>45551</v>
      </c>
      <c r="B102" t="n">
        <v>2024</v>
      </c>
      <c r="C102" t="inlineStr">
        <is>
          <t>September</t>
        </is>
      </c>
      <c r="D102" t="inlineStr">
        <is>
          <t>Deluxe Smartwatch</t>
        </is>
      </c>
      <c r="E102" t="inlineStr">
        <is>
          <t>Electronics</t>
        </is>
      </c>
      <c r="F102" t="inlineStr">
        <is>
          <t>Maria Bianchi</t>
        </is>
      </c>
      <c r="G102" t="inlineStr">
        <is>
          <t>France</t>
        </is>
      </c>
      <c r="H102" t="inlineStr">
        <is>
          <t>Mobile App</t>
        </is>
      </c>
      <c r="I102" t="n">
        <v>4</v>
      </c>
      <c r="J102" s="3" t="n">
        <v>614.96</v>
      </c>
      <c r="K102" s="3" t="n">
        <v>0</v>
      </c>
      <c r="L102" s="3" t="n">
        <v>614.96</v>
      </c>
      <c r="M102" s="3" t="n">
        <v>490.88</v>
      </c>
      <c r="N102" s="3" t="n">
        <v>124.08</v>
      </c>
      <c r="O102">
        <f>TEXT(A102,"yyyy-mm")</f>
        <v/>
      </c>
    </row>
    <row r="103">
      <c r="A103" s="2" t="n">
        <v>45551</v>
      </c>
      <c r="B103" t="n">
        <v>2024</v>
      </c>
      <c r="C103" t="inlineStr">
        <is>
          <t>September</t>
        </is>
      </c>
      <c r="D103" t="inlineStr">
        <is>
          <t>Portable Speaker</t>
        </is>
      </c>
      <c r="E103" t="inlineStr">
        <is>
          <t>Electronics</t>
        </is>
      </c>
      <c r="F103" t="inlineStr">
        <is>
          <t>Maria Bianchi</t>
        </is>
      </c>
      <c r="G103" t="inlineStr">
        <is>
          <t>France</t>
        </is>
      </c>
      <c r="H103" t="inlineStr">
        <is>
          <t>Mobile App</t>
        </is>
      </c>
      <c r="I103" t="n">
        <v>5</v>
      </c>
      <c r="J103" s="3" t="n">
        <v>1597.75</v>
      </c>
      <c r="K103" s="3" t="n">
        <v>159.78</v>
      </c>
      <c r="L103" s="3" t="n">
        <v>1437.98</v>
      </c>
      <c r="M103" s="3" t="n">
        <v>874.15</v>
      </c>
      <c r="N103" s="3" t="n">
        <v>563.8200000000001</v>
      </c>
      <c r="O103">
        <f>TEXT(A103,"yyyy-mm")</f>
        <v/>
      </c>
    </row>
    <row r="104">
      <c r="A104" s="2" t="n">
        <v>45551</v>
      </c>
      <c r="B104" t="n">
        <v>2024</v>
      </c>
      <c r="C104" t="inlineStr">
        <is>
          <t>September</t>
        </is>
      </c>
      <c r="D104" t="inlineStr">
        <is>
          <t>Deluxe Toolset</t>
        </is>
      </c>
      <c r="E104" t="inlineStr">
        <is>
          <t>Home &amp; Garden</t>
        </is>
      </c>
      <c r="F104" t="inlineStr">
        <is>
          <t>Maria Bianchi</t>
        </is>
      </c>
      <c r="G104" t="inlineStr">
        <is>
          <t>France</t>
        </is>
      </c>
      <c r="H104" t="inlineStr">
        <is>
          <t>Mobile App</t>
        </is>
      </c>
      <c r="I104" t="n">
        <v>5</v>
      </c>
      <c r="J104" s="3" t="n">
        <v>345.8</v>
      </c>
      <c r="K104" s="3" t="n">
        <v>34.58</v>
      </c>
      <c r="L104" s="3" t="n">
        <v>311.22</v>
      </c>
      <c r="M104" s="3" t="n">
        <v>238.55</v>
      </c>
      <c r="N104" s="3" t="n">
        <v>72.67</v>
      </c>
      <c r="O104">
        <f>TEXT(A104,"yyyy-mm")</f>
        <v/>
      </c>
    </row>
    <row r="105">
      <c r="A105" s="2" t="n">
        <v>45551</v>
      </c>
      <c r="B105" t="n">
        <v>2024</v>
      </c>
      <c r="C105" t="inlineStr">
        <is>
          <t>September</t>
        </is>
      </c>
      <c r="D105" t="inlineStr">
        <is>
          <t>Essential Jacket</t>
        </is>
      </c>
      <c r="E105" t="inlineStr">
        <is>
          <t>Clothing</t>
        </is>
      </c>
      <c r="F105" t="inlineStr">
        <is>
          <t>James Kowalski</t>
        </is>
      </c>
      <c r="G105" t="inlineStr">
        <is>
          <t>Poland</t>
        </is>
      </c>
      <c r="H105" t="inlineStr">
        <is>
          <t>Mobile App</t>
        </is>
      </c>
      <c r="I105" t="n">
        <v>4</v>
      </c>
      <c r="J105" s="3" t="n">
        <v>610.12</v>
      </c>
      <c r="K105" s="3" t="n">
        <v>0</v>
      </c>
      <c r="L105" s="3" t="n">
        <v>610.12</v>
      </c>
      <c r="M105" s="3" t="n">
        <v>341.4</v>
      </c>
      <c r="N105" s="3" t="n">
        <v>268.72</v>
      </c>
      <c r="O105">
        <f>TEXT(A105,"yyyy-mm")</f>
        <v/>
      </c>
    </row>
    <row r="106">
      <c r="A106" s="2" t="n">
        <v>45552</v>
      </c>
      <c r="B106" t="n">
        <v>2024</v>
      </c>
      <c r="C106" t="inlineStr">
        <is>
          <t>September</t>
        </is>
      </c>
      <c r="D106" t="inlineStr">
        <is>
          <t>Premium Cookbook</t>
        </is>
      </c>
      <c r="E106" t="inlineStr">
        <is>
          <t>Books</t>
        </is>
      </c>
      <c r="F106" t="inlineStr">
        <is>
          <t>Mark Zielinski</t>
        </is>
      </c>
      <c r="G106" t="inlineStr">
        <is>
          <t>United Kingdom</t>
        </is>
      </c>
      <c r="H106" t="inlineStr">
        <is>
          <t>Marketplace</t>
        </is>
      </c>
      <c r="I106" t="n">
        <v>4</v>
      </c>
      <c r="J106" s="3" t="n">
        <v>510.36</v>
      </c>
      <c r="K106" s="3" t="n">
        <v>51.04</v>
      </c>
      <c r="L106" s="3" t="n">
        <v>459.32</v>
      </c>
      <c r="M106" s="3" t="n">
        <v>379.92</v>
      </c>
      <c r="N106" s="3" t="n">
        <v>79.40000000000001</v>
      </c>
      <c r="O106">
        <f>TEXT(A106,"yyyy-mm")</f>
        <v/>
      </c>
    </row>
    <row r="107">
      <c r="A107" s="2" t="n">
        <v>45552</v>
      </c>
      <c r="B107" t="n">
        <v>2024</v>
      </c>
      <c r="C107" t="inlineStr">
        <is>
          <t>September</t>
        </is>
      </c>
      <c r="D107" t="inlineStr">
        <is>
          <t>Premium Tent</t>
        </is>
      </c>
      <c r="E107" t="inlineStr">
        <is>
          <t>Sports &amp; Outdoors</t>
        </is>
      </c>
      <c r="F107" t="inlineStr">
        <is>
          <t>David Nowak</t>
        </is>
      </c>
      <c r="G107" t="inlineStr">
        <is>
          <t>United Kingdom</t>
        </is>
      </c>
      <c r="H107" t="inlineStr">
        <is>
          <t>Retail Store</t>
        </is>
      </c>
      <c r="I107" t="n">
        <v>4</v>
      </c>
      <c r="J107" s="3" t="n">
        <v>554.16</v>
      </c>
      <c r="K107" s="3" t="n">
        <v>55.42</v>
      </c>
      <c r="L107" s="3" t="n">
        <v>498.74</v>
      </c>
      <c r="M107" s="3" t="n">
        <v>385.6</v>
      </c>
      <c r="N107" s="3" t="n">
        <v>113.14</v>
      </c>
      <c r="O107">
        <f>TEXT(A107,"yyyy-mm")</f>
        <v/>
      </c>
    </row>
    <row r="108">
      <c r="A108" s="2" t="n">
        <v>45552</v>
      </c>
      <c r="B108" t="n">
        <v>2024</v>
      </c>
      <c r="C108" t="inlineStr">
        <is>
          <t>September</t>
        </is>
      </c>
      <c r="D108" t="inlineStr">
        <is>
          <t>Deluxe Puzzle</t>
        </is>
      </c>
      <c r="E108" t="inlineStr">
        <is>
          <t>Toys &amp; Games</t>
        </is>
      </c>
      <c r="F108" t="inlineStr">
        <is>
          <t>David Nowak</t>
        </is>
      </c>
      <c r="G108" t="inlineStr">
        <is>
          <t>United Kingdom</t>
        </is>
      </c>
      <c r="H108" t="inlineStr">
        <is>
          <t>Retail Store</t>
        </is>
      </c>
      <c r="I108" t="n">
        <v>3</v>
      </c>
      <c r="J108" s="3" t="n">
        <v>647.16</v>
      </c>
      <c r="K108" s="3" t="n">
        <v>32.36</v>
      </c>
      <c r="L108" s="3" t="n">
        <v>614.8</v>
      </c>
      <c r="M108" s="3" t="n">
        <v>333.51</v>
      </c>
      <c r="N108" s="3" t="n">
        <v>281.29</v>
      </c>
      <c r="O108">
        <f>TEXT(A108,"yyyy-mm")</f>
        <v/>
      </c>
    </row>
    <row r="109">
      <c r="A109" s="2" t="n">
        <v>45552</v>
      </c>
      <c r="B109" t="n">
        <v>2024</v>
      </c>
      <c r="C109" t="inlineStr">
        <is>
          <t>September</t>
        </is>
      </c>
      <c r="D109" t="inlineStr">
        <is>
          <t>Smart Coffee Beans</t>
        </is>
      </c>
      <c r="E109" t="inlineStr">
        <is>
          <t>Grocery</t>
        </is>
      </c>
      <c r="F109" t="inlineStr">
        <is>
          <t>Olivia Weber</t>
        </is>
      </c>
      <c r="G109" t="inlineStr">
        <is>
          <t>United States</t>
        </is>
      </c>
      <c r="H109" t="inlineStr">
        <is>
          <t>Retail Store</t>
        </is>
      </c>
      <c r="I109" t="n">
        <v>5</v>
      </c>
      <c r="J109" s="3" t="n">
        <v>555.45</v>
      </c>
      <c r="K109" s="3" t="n">
        <v>83.31999999999999</v>
      </c>
      <c r="L109" s="3" t="n">
        <v>472.13</v>
      </c>
      <c r="M109" s="3" t="n">
        <v>364.25</v>
      </c>
      <c r="N109" s="3" t="n">
        <v>107.88</v>
      </c>
      <c r="O109">
        <f>TEXT(A109,"yyyy-mm")</f>
        <v/>
      </c>
    </row>
    <row r="110">
      <c r="A110" s="2" t="n">
        <v>45552</v>
      </c>
      <c r="B110" t="n">
        <v>2024</v>
      </c>
      <c r="C110" t="inlineStr">
        <is>
          <t>September</t>
        </is>
      </c>
      <c r="D110" t="inlineStr">
        <is>
          <t>Eco Biography</t>
        </is>
      </c>
      <c r="E110" t="inlineStr">
        <is>
          <t>Books</t>
        </is>
      </c>
      <c r="F110" t="inlineStr">
        <is>
          <t>Mark Zielinski</t>
        </is>
      </c>
      <c r="G110" t="inlineStr">
        <is>
          <t>United Kingdom</t>
        </is>
      </c>
      <c r="H110" t="inlineStr">
        <is>
          <t>Marketplace</t>
        </is>
      </c>
      <c r="I110" t="n">
        <v>4</v>
      </c>
      <c r="J110" s="3" t="n">
        <v>473.72</v>
      </c>
      <c r="K110" s="3" t="n">
        <v>71.06</v>
      </c>
      <c r="L110" s="3" t="n">
        <v>402.66</v>
      </c>
      <c r="M110" s="3" t="n">
        <v>284.08</v>
      </c>
      <c r="N110" s="3" t="n">
        <v>118.58</v>
      </c>
      <c r="O110">
        <f>TEXT(A110,"yyyy-mm")</f>
        <v/>
      </c>
    </row>
    <row r="111">
      <c r="A111" s="2" t="n">
        <v>45552</v>
      </c>
      <c r="B111" t="n">
        <v>2024</v>
      </c>
      <c r="C111" t="inlineStr">
        <is>
          <t>September</t>
        </is>
      </c>
      <c r="D111" t="inlineStr">
        <is>
          <t>Eco Tent</t>
        </is>
      </c>
      <c r="E111" t="inlineStr">
        <is>
          <t>Sports &amp; Outdoors</t>
        </is>
      </c>
      <c r="F111" t="inlineStr">
        <is>
          <t>Mark Zielinski</t>
        </is>
      </c>
      <c r="G111" t="inlineStr">
        <is>
          <t>United Kingdom</t>
        </is>
      </c>
      <c r="H111" t="inlineStr">
        <is>
          <t>Marketplace</t>
        </is>
      </c>
      <c r="I111" t="n">
        <v>1</v>
      </c>
      <c r="J111" s="3" t="n">
        <v>237.62</v>
      </c>
      <c r="K111" s="3" t="n">
        <v>0</v>
      </c>
      <c r="L111" s="3" t="n">
        <v>237.62</v>
      </c>
      <c r="M111" s="3" t="n">
        <v>135.03</v>
      </c>
      <c r="N111" s="3" t="n">
        <v>102.59</v>
      </c>
      <c r="O111">
        <f>TEXT(A111,"yyyy-mm")</f>
        <v/>
      </c>
    </row>
    <row r="112">
      <c r="A112" s="2" t="n">
        <v>45552</v>
      </c>
      <c r="B112" t="n">
        <v>2024</v>
      </c>
      <c r="C112" t="inlineStr">
        <is>
          <t>September</t>
        </is>
      </c>
      <c r="D112" t="inlineStr">
        <is>
          <t>Eco Sweater</t>
        </is>
      </c>
      <c r="E112" t="inlineStr">
        <is>
          <t>Clothing</t>
        </is>
      </c>
      <c r="F112" t="inlineStr">
        <is>
          <t>Olivia Weber</t>
        </is>
      </c>
      <c r="G112" t="inlineStr">
        <is>
          <t>United States</t>
        </is>
      </c>
      <c r="H112" t="inlineStr">
        <is>
          <t>Retail Store</t>
        </is>
      </c>
      <c r="I112" t="n">
        <v>5</v>
      </c>
      <c r="J112" s="3" t="n">
        <v>780.85</v>
      </c>
      <c r="K112" s="3" t="n">
        <v>117.13</v>
      </c>
      <c r="L112" s="3" t="n">
        <v>663.72</v>
      </c>
      <c r="M112" s="3" t="n">
        <v>521.15</v>
      </c>
      <c r="N112" s="3" t="n">
        <v>142.57</v>
      </c>
      <c r="O112">
        <f>TEXT(A112,"yyyy-mm")</f>
        <v/>
      </c>
    </row>
    <row r="113">
      <c r="A113" s="2" t="n">
        <v>45552</v>
      </c>
      <c r="B113" t="n">
        <v>2024</v>
      </c>
      <c r="C113" t="inlineStr">
        <is>
          <t>September</t>
        </is>
      </c>
      <c r="D113" t="inlineStr">
        <is>
          <t>Premium Tent</t>
        </is>
      </c>
      <c r="E113" t="inlineStr">
        <is>
          <t>Sports &amp; Outdoors</t>
        </is>
      </c>
      <c r="F113" t="inlineStr">
        <is>
          <t>Mark Zielinski</t>
        </is>
      </c>
      <c r="G113" t="inlineStr">
        <is>
          <t>United Kingdom</t>
        </is>
      </c>
      <c r="H113" t="inlineStr">
        <is>
          <t>Marketplace</t>
        </is>
      </c>
      <c r="I113" t="n">
        <v>3</v>
      </c>
      <c r="J113" s="3" t="n">
        <v>775.41</v>
      </c>
      <c r="K113" s="3" t="n">
        <v>0</v>
      </c>
      <c r="L113" s="3" t="n">
        <v>775.41</v>
      </c>
      <c r="M113" s="3" t="n">
        <v>495.93</v>
      </c>
      <c r="N113" s="3" t="n">
        <v>279.48</v>
      </c>
      <c r="O113">
        <f>TEXT(A113,"yyyy-mm")</f>
        <v/>
      </c>
    </row>
    <row r="114">
      <c r="A114" s="2" t="n">
        <v>45553</v>
      </c>
      <c r="B114" t="n">
        <v>2024</v>
      </c>
      <c r="C114" t="inlineStr">
        <is>
          <t>September</t>
        </is>
      </c>
      <c r="D114" t="inlineStr">
        <is>
          <t>Smart Charger</t>
        </is>
      </c>
      <c r="E114" t="inlineStr">
        <is>
          <t>Electronics</t>
        </is>
      </c>
      <c r="F114" t="inlineStr">
        <is>
          <t>Thomas Schmidt</t>
        </is>
      </c>
      <c r="G114" t="inlineStr">
        <is>
          <t>United Kingdom</t>
        </is>
      </c>
      <c r="H114" t="inlineStr">
        <is>
          <t>Mobile App</t>
        </is>
      </c>
      <c r="I114" t="n">
        <v>3</v>
      </c>
      <c r="J114" s="3" t="n">
        <v>115.35</v>
      </c>
      <c r="K114" s="3" t="n">
        <v>0</v>
      </c>
      <c r="L114" s="3" t="n">
        <v>115.35</v>
      </c>
      <c r="M114" s="3" t="n">
        <v>82.92</v>
      </c>
      <c r="N114" s="3" t="n">
        <v>32.43</v>
      </c>
      <c r="O114">
        <f>TEXT(A114,"yyyy-mm")</f>
        <v/>
      </c>
    </row>
    <row r="115">
      <c r="A115" s="2" t="n">
        <v>45553</v>
      </c>
      <c r="B115" t="n">
        <v>2024</v>
      </c>
      <c r="C115" t="inlineStr">
        <is>
          <t>September</t>
        </is>
      </c>
      <c r="D115" t="inlineStr">
        <is>
          <t>Smart Board Game</t>
        </is>
      </c>
      <c r="E115" t="inlineStr">
        <is>
          <t>Toys &amp; Games</t>
        </is>
      </c>
      <c r="F115" t="inlineStr">
        <is>
          <t>Thomas Schmidt</t>
        </is>
      </c>
      <c r="G115" t="inlineStr">
        <is>
          <t>United Kingdom</t>
        </is>
      </c>
      <c r="H115" t="inlineStr">
        <is>
          <t>Mobile App</t>
        </is>
      </c>
      <c r="I115" t="n">
        <v>2</v>
      </c>
      <c r="J115" s="3" t="n">
        <v>261.28</v>
      </c>
      <c r="K115" s="3" t="n">
        <v>52.26</v>
      </c>
      <c r="L115" s="3" t="n">
        <v>209.02</v>
      </c>
      <c r="M115" s="3" t="n">
        <v>183.44</v>
      </c>
      <c r="N115" s="3" t="n">
        <v>25.58</v>
      </c>
      <c r="O115">
        <f>TEXT(A115,"yyyy-mm")</f>
        <v/>
      </c>
    </row>
    <row r="116">
      <c r="A116" s="2" t="n">
        <v>45553</v>
      </c>
      <c r="B116" t="n">
        <v>2024</v>
      </c>
      <c r="C116" t="inlineStr">
        <is>
          <t>September</t>
        </is>
      </c>
      <c r="D116" t="inlineStr">
        <is>
          <t>Wireless Coffee Beans</t>
        </is>
      </c>
      <c r="E116" t="inlineStr">
        <is>
          <t>Grocery</t>
        </is>
      </c>
      <c r="F116" t="inlineStr">
        <is>
          <t>Thomas Schmidt</t>
        </is>
      </c>
      <c r="G116" t="inlineStr">
        <is>
          <t>United Kingdom</t>
        </is>
      </c>
      <c r="H116" t="inlineStr">
        <is>
          <t>Mobile App</t>
        </is>
      </c>
      <c r="I116" t="n">
        <v>2</v>
      </c>
      <c r="J116" s="3" t="n">
        <v>240.54</v>
      </c>
      <c r="K116" s="3" t="n">
        <v>36.08</v>
      </c>
      <c r="L116" s="3" t="n">
        <v>204.46</v>
      </c>
      <c r="M116" s="3" t="n">
        <v>158.74</v>
      </c>
      <c r="N116" s="3" t="n">
        <v>45.72</v>
      </c>
      <c r="O116">
        <f>TEXT(A116,"yyyy-mm")</f>
        <v/>
      </c>
    </row>
    <row r="117">
      <c r="A117" s="2" t="n">
        <v>45553</v>
      </c>
      <c r="B117" t="n">
        <v>2024</v>
      </c>
      <c r="C117" t="inlineStr">
        <is>
          <t>September</t>
        </is>
      </c>
      <c r="D117" t="inlineStr">
        <is>
          <t>Classic Tea Set</t>
        </is>
      </c>
      <c r="E117" t="inlineStr">
        <is>
          <t>Grocery</t>
        </is>
      </c>
      <c r="F117" t="inlineStr">
        <is>
          <t>Michael Smith</t>
        </is>
      </c>
      <c r="G117" t="inlineStr">
        <is>
          <t>Spain</t>
        </is>
      </c>
      <c r="H117" t="inlineStr">
        <is>
          <t>Web Store</t>
        </is>
      </c>
      <c r="I117" t="n">
        <v>5</v>
      </c>
      <c r="J117" s="3" t="n">
        <v>947.8</v>
      </c>
      <c r="K117" s="3" t="n">
        <v>0</v>
      </c>
      <c r="L117" s="3" t="n">
        <v>947.8</v>
      </c>
      <c r="M117" s="3" t="n">
        <v>627</v>
      </c>
      <c r="N117" s="3" t="n">
        <v>320.8</v>
      </c>
      <c r="O117">
        <f>TEXT(A117,"yyyy-mm")</f>
        <v/>
      </c>
    </row>
    <row r="118">
      <c r="A118" s="2" t="n">
        <v>45553</v>
      </c>
      <c r="B118" t="n">
        <v>2024</v>
      </c>
      <c r="C118" t="inlineStr">
        <is>
          <t>September</t>
        </is>
      </c>
      <c r="D118" t="inlineStr">
        <is>
          <t>Eco Tent</t>
        </is>
      </c>
      <c r="E118" t="inlineStr">
        <is>
          <t>Sports &amp; Outdoors</t>
        </is>
      </c>
      <c r="F118" t="inlineStr">
        <is>
          <t>John Conti</t>
        </is>
      </c>
      <c r="G118" t="inlineStr">
        <is>
          <t>Germany</t>
        </is>
      </c>
      <c r="H118" t="inlineStr">
        <is>
          <t>Web Store</t>
        </is>
      </c>
      <c r="I118" t="n">
        <v>2</v>
      </c>
      <c r="J118" s="3" t="n">
        <v>477.68</v>
      </c>
      <c r="K118" s="3" t="n">
        <v>0</v>
      </c>
      <c r="L118" s="3" t="n">
        <v>477.68</v>
      </c>
      <c r="M118" s="3" t="n">
        <v>270.06</v>
      </c>
      <c r="N118" s="3" t="n">
        <v>207.62</v>
      </c>
      <c r="O118">
        <f>TEXT(A118,"yyyy-mm")</f>
        <v/>
      </c>
    </row>
    <row r="119">
      <c r="A119" s="2" t="n">
        <v>45553</v>
      </c>
      <c r="B119" t="n">
        <v>2024</v>
      </c>
      <c r="C119" t="inlineStr">
        <is>
          <t>September</t>
        </is>
      </c>
      <c r="D119" t="inlineStr">
        <is>
          <t>Classic Sunscreen</t>
        </is>
      </c>
      <c r="E119" t="inlineStr">
        <is>
          <t>Beauty &amp; Health</t>
        </is>
      </c>
      <c r="F119" t="inlineStr">
        <is>
          <t>James Kowalski</t>
        </is>
      </c>
      <c r="G119" t="inlineStr">
        <is>
          <t>Poland</t>
        </is>
      </c>
      <c r="H119" t="inlineStr">
        <is>
          <t>Mobile App</t>
        </is>
      </c>
      <c r="I119" t="n">
        <v>3</v>
      </c>
      <c r="J119" s="3" t="n">
        <v>430.23</v>
      </c>
      <c r="K119" s="3" t="n">
        <v>43.02</v>
      </c>
      <c r="L119" s="3" t="n">
        <v>387.21</v>
      </c>
      <c r="M119" s="3" t="n">
        <v>281.07</v>
      </c>
      <c r="N119" s="3" t="n">
        <v>106.14</v>
      </c>
      <c r="O119">
        <f>TEXT(A119,"yyyy-mm")</f>
        <v/>
      </c>
    </row>
    <row r="120">
      <c r="A120" s="2" t="n">
        <v>45553</v>
      </c>
      <c r="B120" t="n">
        <v>2024</v>
      </c>
      <c r="C120" t="inlineStr">
        <is>
          <t>September</t>
        </is>
      </c>
      <c r="D120" t="inlineStr">
        <is>
          <t>Ultra Backpack</t>
        </is>
      </c>
      <c r="E120" t="inlineStr">
        <is>
          <t>Sports &amp; Outdoors</t>
        </is>
      </c>
      <c r="F120" t="inlineStr">
        <is>
          <t>James Kowalski</t>
        </is>
      </c>
      <c r="G120" t="inlineStr">
        <is>
          <t>Poland</t>
        </is>
      </c>
      <c r="H120" t="inlineStr">
        <is>
          <t>Mobile App</t>
        </is>
      </c>
      <c r="I120" t="n">
        <v>1</v>
      </c>
      <c r="J120" s="3" t="n">
        <v>307.2</v>
      </c>
      <c r="K120" s="3" t="n">
        <v>0</v>
      </c>
      <c r="L120" s="3" t="n">
        <v>307.2</v>
      </c>
      <c r="M120" s="3" t="n">
        <v>173.69</v>
      </c>
      <c r="N120" s="3" t="n">
        <v>133.51</v>
      </c>
      <c r="O120">
        <f>TEXT(A120,"yyyy-mm")</f>
        <v/>
      </c>
    </row>
    <row r="121">
      <c r="A121" s="2" t="n">
        <v>45553</v>
      </c>
      <c r="B121" t="n">
        <v>2024</v>
      </c>
      <c r="C121" t="inlineStr">
        <is>
          <t>September</t>
        </is>
      </c>
      <c r="D121" t="inlineStr">
        <is>
          <t>Eco Drone</t>
        </is>
      </c>
      <c r="E121" t="inlineStr">
        <is>
          <t>Toys &amp; Games</t>
        </is>
      </c>
      <c r="F121" t="inlineStr">
        <is>
          <t>Michael Smith</t>
        </is>
      </c>
      <c r="G121" t="inlineStr">
        <is>
          <t>Spain</t>
        </is>
      </c>
      <c r="H121" t="inlineStr">
        <is>
          <t>Web Store</t>
        </is>
      </c>
      <c r="I121" t="n">
        <v>2</v>
      </c>
      <c r="J121" s="3" t="n">
        <v>418.14</v>
      </c>
      <c r="K121" s="3" t="n">
        <v>0</v>
      </c>
      <c r="L121" s="3" t="n">
        <v>418.14</v>
      </c>
      <c r="M121" s="3" t="n">
        <v>259.18</v>
      </c>
      <c r="N121" s="3" t="n">
        <v>158.96</v>
      </c>
      <c r="O121">
        <f>TEXT(A121,"yyyy-mm")</f>
        <v/>
      </c>
    </row>
    <row r="122">
      <c r="A122" s="2" t="n">
        <v>45553</v>
      </c>
      <c r="B122" t="n">
        <v>2024</v>
      </c>
      <c r="C122" t="inlineStr">
        <is>
          <t>September</t>
        </is>
      </c>
      <c r="D122" t="inlineStr">
        <is>
          <t>Classic Tent</t>
        </is>
      </c>
      <c r="E122" t="inlineStr">
        <is>
          <t>Sports &amp; Outdoors</t>
        </is>
      </c>
      <c r="F122" t="inlineStr">
        <is>
          <t>John Conti</t>
        </is>
      </c>
      <c r="G122" t="inlineStr">
        <is>
          <t>Germany</t>
        </is>
      </c>
      <c r="H122" t="inlineStr">
        <is>
          <t>Web Store</t>
        </is>
      </c>
      <c r="I122" t="n">
        <v>2</v>
      </c>
      <c r="J122" s="3" t="n">
        <v>396.04</v>
      </c>
      <c r="K122" s="3" t="n">
        <v>0</v>
      </c>
      <c r="L122" s="3" t="n">
        <v>396.04</v>
      </c>
      <c r="M122" s="3" t="n">
        <v>236.04</v>
      </c>
      <c r="N122" s="3" t="n">
        <v>160</v>
      </c>
      <c r="O122">
        <f>TEXT(A122,"yyyy-mm")</f>
        <v/>
      </c>
    </row>
    <row r="123">
      <c r="A123" s="2" t="n">
        <v>45553</v>
      </c>
      <c r="B123" t="n">
        <v>2024</v>
      </c>
      <c r="C123" t="inlineStr">
        <is>
          <t>September</t>
        </is>
      </c>
      <c r="D123" t="inlineStr">
        <is>
          <t>Essential Toolset</t>
        </is>
      </c>
      <c r="E123" t="inlineStr">
        <is>
          <t>Home &amp; Garden</t>
        </is>
      </c>
      <c r="F123" t="inlineStr">
        <is>
          <t>James Kowalski</t>
        </is>
      </c>
      <c r="G123" t="inlineStr">
        <is>
          <t>Poland</t>
        </is>
      </c>
      <c r="H123" t="inlineStr">
        <is>
          <t>Mobile App</t>
        </is>
      </c>
      <c r="I123" t="n">
        <v>3</v>
      </c>
      <c r="J123" s="3" t="n">
        <v>634.89</v>
      </c>
      <c r="K123" s="3" t="n">
        <v>0</v>
      </c>
      <c r="L123" s="3" t="n">
        <v>634.89</v>
      </c>
      <c r="M123" s="3" t="n">
        <v>451.59</v>
      </c>
      <c r="N123" s="3" t="n">
        <v>183.3</v>
      </c>
      <c r="O123">
        <f>TEXT(A123,"yyyy-mm")</f>
        <v/>
      </c>
    </row>
    <row r="124">
      <c r="A124" s="2" t="n">
        <v>45553</v>
      </c>
      <c r="B124" t="n">
        <v>2024</v>
      </c>
      <c r="C124" t="inlineStr">
        <is>
          <t>September</t>
        </is>
      </c>
      <c r="D124" t="inlineStr">
        <is>
          <t>Essential Toolset</t>
        </is>
      </c>
      <c r="E124" t="inlineStr">
        <is>
          <t>Home &amp; Garden</t>
        </is>
      </c>
      <c r="F124" t="inlineStr">
        <is>
          <t>John Conti</t>
        </is>
      </c>
      <c r="G124" t="inlineStr">
        <is>
          <t>Germany</t>
        </is>
      </c>
      <c r="H124" t="inlineStr">
        <is>
          <t>Web Store</t>
        </is>
      </c>
      <c r="I124" t="n">
        <v>4</v>
      </c>
      <c r="J124" s="3" t="n">
        <v>823.36</v>
      </c>
      <c r="K124" s="3" t="n">
        <v>0</v>
      </c>
      <c r="L124" s="3" t="n">
        <v>823.36</v>
      </c>
      <c r="M124" s="3" t="n">
        <v>602.12</v>
      </c>
      <c r="N124" s="3" t="n">
        <v>221.24</v>
      </c>
      <c r="O124">
        <f>TEXT(A124,"yyyy-mm")</f>
        <v/>
      </c>
    </row>
    <row r="125">
      <c r="A125" s="2" t="n">
        <v>45553</v>
      </c>
      <c r="B125" t="n">
        <v>2024</v>
      </c>
      <c r="C125" t="inlineStr">
        <is>
          <t>September</t>
        </is>
      </c>
      <c r="D125" t="inlineStr">
        <is>
          <t>Wireless Cookbook</t>
        </is>
      </c>
      <c r="E125" t="inlineStr">
        <is>
          <t>Books</t>
        </is>
      </c>
      <c r="F125" t="inlineStr">
        <is>
          <t>James Kowalski</t>
        </is>
      </c>
      <c r="G125" t="inlineStr">
        <is>
          <t>Poland</t>
        </is>
      </c>
      <c r="H125" t="inlineStr">
        <is>
          <t>Mobile App</t>
        </is>
      </c>
      <c r="I125" t="n">
        <v>1</v>
      </c>
      <c r="J125" s="3" t="n">
        <v>74.33</v>
      </c>
      <c r="K125" s="3" t="n">
        <v>7.43</v>
      </c>
      <c r="L125" s="3" t="n">
        <v>66.90000000000001</v>
      </c>
      <c r="M125" s="3" t="n">
        <v>56.61</v>
      </c>
      <c r="N125" s="3" t="n">
        <v>10.29</v>
      </c>
      <c r="O125">
        <f>TEXT(A125,"yyyy-mm")</f>
        <v/>
      </c>
    </row>
    <row r="126">
      <c r="A126" s="2" t="n">
        <v>45556</v>
      </c>
      <c r="B126" t="n">
        <v>2024</v>
      </c>
      <c r="C126" t="inlineStr">
        <is>
          <t>September</t>
        </is>
      </c>
      <c r="D126" t="inlineStr">
        <is>
          <t>Ultra Backpack</t>
        </is>
      </c>
      <c r="E126" t="inlineStr">
        <is>
          <t>Sports &amp; Outdoors</t>
        </is>
      </c>
      <c r="F126" t="inlineStr">
        <is>
          <t>Olivia Brown</t>
        </is>
      </c>
      <c r="G126" t="inlineStr">
        <is>
          <t>United States</t>
        </is>
      </c>
      <c r="H126" t="inlineStr">
        <is>
          <t>Web Store</t>
        </is>
      </c>
      <c r="I126" t="n">
        <v>1</v>
      </c>
      <c r="J126" s="3" t="n">
        <v>315.9</v>
      </c>
      <c r="K126" s="3" t="n">
        <v>31.59</v>
      </c>
      <c r="L126" s="3" t="n">
        <v>284.31</v>
      </c>
      <c r="M126" s="3" t="n">
        <v>173.69</v>
      </c>
      <c r="N126" s="3" t="n">
        <v>110.62</v>
      </c>
      <c r="O126">
        <f>TEXT(A126,"yyyy-mm")</f>
        <v/>
      </c>
    </row>
    <row r="127">
      <c r="A127" s="2" t="n">
        <v>45556</v>
      </c>
      <c r="B127" t="n">
        <v>2024</v>
      </c>
      <c r="C127" t="inlineStr">
        <is>
          <t>September</t>
        </is>
      </c>
      <c r="D127" t="inlineStr">
        <is>
          <t>Ultra Vitamins</t>
        </is>
      </c>
      <c r="E127" t="inlineStr">
        <is>
          <t>Beauty &amp; Health</t>
        </is>
      </c>
      <c r="F127" t="inlineStr">
        <is>
          <t>Olivia Brown</t>
        </is>
      </c>
      <c r="G127" t="inlineStr">
        <is>
          <t>United States</t>
        </is>
      </c>
      <c r="H127" t="inlineStr">
        <is>
          <t>Web Store</t>
        </is>
      </c>
      <c r="I127" t="n">
        <v>5</v>
      </c>
      <c r="J127" s="3" t="n">
        <v>1003.95</v>
      </c>
      <c r="K127" s="3" t="n">
        <v>0</v>
      </c>
      <c r="L127" s="3" t="n">
        <v>1003.95</v>
      </c>
      <c r="M127" s="3" t="n">
        <v>630.5</v>
      </c>
      <c r="N127" s="3" t="n">
        <v>373.45</v>
      </c>
      <c r="O127">
        <f>TEXT(A127,"yyyy-mm")</f>
        <v/>
      </c>
    </row>
    <row r="128">
      <c r="A128" s="2" t="n">
        <v>45556</v>
      </c>
      <c r="B128" t="n">
        <v>2024</v>
      </c>
      <c r="C128" t="inlineStr">
        <is>
          <t>September</t>
        </is>
      </c>
      <c r="D128" t="inlineStr">
        <is>
          <t>Classic Coffee Beans</t>
        </is>
      </c>
      <c r="E128" t="inlineStr">
        <is>
          <t>Grocery</t>
        </is>
      </c>
      <c r="F128" t="inlineStr">
        <is>
          <t>Olivia Brown</t>
        </is>
      </c>
      <c r="G128" t="inlineStr">
        <is>
          <t>United States</t>
        </is>
      </c>
      <c r="H128" t="inlineStr">
        <is>
          <t>Web Store</t>
        </is>
      </c>
      <c r="I128" t="n">
        <v>3</v>
      </c>
      <c r="J128" s="3" t="n">
        <v>928.59</v>
      </c>
      <c r="K128" s="3" t="n">
        <v>0</v>
      </c>
      <c r="L128" s="3" t="n">
        <v>928.59</v>
      </c>
      <c r="M128" s="3" t="n">
        <v>584.28</v>
      </c>
      <c r="N128" s="3" t="n">
        <v>344.31</v>
      </c>
      <c r="O128">
        <f>TEXT(A128,"yyyy-mm")</f>
        <v/>
      </c>
    </row>
    <row r="129">
      <c r="A129" s="2" t="n">
        <v>45556</v>
      </c>
      <c r="B129" t="n">
        <v>2024</v>
      </c>
      <c r="C129" t="inlineStr">
        <is>
          <t>September</t>
        </is>
      </c>
      <c r="D129" t="inlineStr">
        <is>
          <t>Essential Vitamins</t>
        </is>
      </c>
      <c r="E129" t="inlineStr">
        <is>
          <t>Beauty &amp; Health</t>
        </is>
      </c>
      <c r="F129" t="inlineStr">
        <is>
          <t>Olivia Brown</t>
        </is>
      </c>
      <c r="G129" t="inlineStr">
        <is>
          <t>United States</t>
        </is>
      </c>
      <c r="H129" t="inlineStr">
        <is>
          <t>Web Store</t>
        </is>
      </c>
      <c r="I129" t="n">
        <v>1</v>
      </c>
      <c r="J129" s="3" t="n">
        <v>176.75</v>
      </c>
      <c r="K129" s="3" t="n">
        <v>35.35</v>
      </c>
      <c r="L129" s="3" t="n">
        <v>141.4</v>
      </c>
      <c r="M129" s="3" t="n">
        <v>110.3</v>
      </c>
      <c r="N129" s="3" t="n">
        <v>31.1</v>
      </c>
      <c r="O129">
        <f>TEXT(A129,"yyyy-mm")</f>
        <v/>
      </c>
    </row>
    <row r="130">
      <c r="A130" s="2" t="n">
        <v>45556</v>
      </c>
      <c r="B130" t="n">
        <v>2024</v>
      </c>
      <c r="C130" t="inlineStr">
        <is>
          <t>September</t>
        </is>
      </c>
      <c r="D130" t="inlineStr">
        <is>
          <t>Deluxe Headphones</t>
        </is>
      </c>
      <c r="E130" t="inlineStr">
        <is>
          <t>Electronics</t>
        </is>
      </c>
      <c r="F130" t="inlineStr">
        <is>
          <t>Peter Schmidt</t>
        </is>
      </c>
      <c r="G130" t="inlineStr">
        <is>
          <t>United Kingdom</t>
        </is>
      </c>
      <c r="H130" t="inlineStr">
        <is>
          <t>Marketplace</t>
        </is>
      </c>
      <c r="I130" t="n">
        <v>1</v>
      </c>
      <c r="J130" s="3" t="n">
        <v>73.93000000000001</v>
      </c>
      <c r="K130" s="3" t="n">
        <v>0</v>
      </c>
      <c r="L130" s="3" t="n">
        <v>73.93000000000001</v>
      </c>
      <c r="M130" s="3" t="n">
        <v>52.5</v>
      </c>
      <c r="N130" s="3" t="n">
        <v>21.43</v>
      </c>
      <c r="O130">
        <f>TEXT(A130,"yyyy-mm")</f>
        <v/>
      </c>
    </row>
    <row r="131">
      <c r="A131" s="2" t="n">
        <v>45556</v>
      </c>
      <c r="B131" t="n">
        <v>2024</v>
      </c>
      <c r="C131" t="inlineStr">
        <is>
          <t>September</t>
        </is>
      </c>
      <c r="D131" t="inlineStr">
        <is>
          <t>Premium Tent</t>
        </is>
      </c>
      <c r="E131" t="inlineStr">
        <is>
          <t>Sports &amp; Outdoors</t>
        </is>
      </c>
      <c r="F131" t="inlineStr">
        <is>
          <t>Peter Schmidt</t>
        </is>
      </c>
      <c r="G131" t="inlineStr">
        <is>
          <t>United Kingdom</t>
        </is>
      </c>
      <c r="H131" t="inlineStr">
        <is>
          <t>Marketplace</t>
        </is>
      </c>
      <c r="I131" t="n">
        <v>5</v>
      </c>
      <c r="J131" s="3" t="n">
        <v>1253</v>
      </c>
      <c r="K131" s="3" t="n">
        <v>0</v>
      </c>
      <c r="L131" s="3" t="n">
        <v>1253</v>
      </c>
      <c r="M131" s="3" t="n">
        <v>695.2</v>
      </c>
      <c r="N131" s="3" t="n">
        <v>557.8</v>
      </c>
      <c r="O131">
        <f>TEXT(A131,"yyyy-mm")</f>
        <v/>
      </c>
    </row>
    <row r="132">
      <c r="A132" s="2" t="n">
        <v>45557</v>
      </c>
      <c r="B132" t="n">
        <v>2024</v>
      </c>
      <c r="C132" t="inlineStr">
        <is>
          <t>September</t>
        </is>
      </c>
      <c r="D132" t="inlineStr">
        <is>
          <t>Smart Puzzle</t>
        </is>
      </c>
      <c r="E132" t="inlineStr">
        <is>
          <t>Toys &amp; Games</t>
        </is>
      </c>
      <c r="F132" t="inlineStr">
        <is>
          <t>John Fischer</t>
        </is>
      </c>
      <c r="G132" t="inlineStr">
        <is>
          <t>Netherlands</t>
        </is>
      </c>
      <c r="H132" t="inlineStr">
        <is>
          <t>Marketplace</t>
        </is>
      </c>
      <c r="I132" t="n">
        <v>5</v>
      </c>
      <c r="J132" s="3" t="n">
        <v>1379.55</v>
      </c>
      <c r="K132" s="3" t="n">
        <v>0</v>
      </c>
      <c r="L132" s="3" t="n">
        <v>1379.55</v>
      </c>
      <c r="M132" s="3" t="n">
        <v>963.8</v>
      </c>
      <c r="N132" s="3" t="n">
        <v>415.75</v>
      </c>
      <c r="O132">
        <f>TEXT(A132,"yyyy-mm")</f>
        <v/>
      </c>
    </row>
    <row r="133">
      <c r="A133" s="2" t="n">
        <v>45558</v>
      </c>
      <c r="B133" t="n">
        <v>2024</v>
      </c>
      <c r="C133" t="inlineStr">
        <is>
          <t>September</t>
        </is>
      </c>
      <c r="D133" t="inlineStr">
        <is>
          <t>Classic Charger</t>
        </is>
      </c>
      <c r="E133" t="inlineStr">
        <is>
          <t>Electronics</t>
        </is>
      </c>
      <c r="F133" t="inlineStr">
        <is>
          <t>David Johnson</t>
        </is>
      </c>
      <c r="G133" t="inlineStr">
        <is>
          <t>Spain</t>
        </is>
      </c>
      <c r="H133" t="inlineStr">
        <is>
          <t>Retail Store</t>
        </is>
      </c>
      <c r="I133" t="n">
        <v>4</v>
      </c>
      <c r="J133" s="3" t="n">
        <v>387.28</v>
      </c>
      <c r="K133" s="3" t="n">
        <v>38.73</v>
      </c>
      <c r="L133" s="3" t="n">
        <v>348.55</v>
      </c>
      <c r="M133" s="3" t="n">
        <v>248.84</v>
      </c>
      <c r="N133" s="3" t="n">
        <v>99.70999999999999</v>
      </c>
      <c r="O133">
        <f>TEXT(A133,"yyyy-mm")</f>
        <v/>
      </c>
    </row>
    <row r="134">
      <c r="A134" s="2" t="n">
        <v>45558</v>
      </c>
      <c r="B134" t="n">
        <v>2024</v>
      </c>
      <c r="C134" t="inlineStr">
        <is>
          <t>September</t>
        </is>
      </c>
      <c r="D134" t="inlineStr">
        <is>
          <t>Compact Pasta</t>
        </is>
      </c>
      <c r="E134" t="inlineStr">
        <is>
          <t>Grocery</t>
        </is>
      </c>
      <c r="F134" t="inlineStr">
        <is>
          <t>David Johnson</t>
        </is>
      </c>
      <c r="G134" t="inlineStr">
        <is>
          <t>Spain</t>
        </is>
      </c>
      <c r="H134" t="inlineStr">
        <is>
          <t>Retail Store</t>
        </is>
      </c>
      <c r="I134" t="n">
        <v>3</v>
      </c>
      <c r="J134" s="3" t="n">
        <v>938.1</v>
      </c>
      <c r="K134" s="3" t="n">
        <v>46.9</v>
      </c>
      <c r="L134" s="3" t="n">
        <v>891.2</v>
      </c>
      <c r="M134" s="3" t="n">
        <v>598.2</v>
      </c>
      <c r="N134" s="3" t="n">
        <v>292.99</v>
      </c>
      <c r="O134">
        <f>TEXT(A134,"yyyy-mm")</f>
        <v/>
      </c>
    </row>
    <row r="135">
      <c r="A135" s="2" t="n">
        <v>45558</v>
      </c>
      <c r="B135" t="n">
        <v>2024</v>
      </c>
      <c r="C135" t="inlineStr">
        <is>
          <t>September</t>
        </is>
      </c>
      <c r="D135" t="inlineStr">
        <is>
          <t>Eco Backpack</t>
        </is>
      </c>
      <c r="E135" t="inlineStr">
        <is>
          <t>Sports &amp; Outdoors</t>
        </is>
      </c>
      <c r="F135" t="inlineStr">
        <is>
          <t>David Johnson</t>
        </is>
      </c>
      <c r="G135" t="inlineStr">
        <is>
          <t>Spain</t>
        </is>
      </c>
      <c r="H135" t="inlineStr">
        <is>
          <t>Retail Store</t>
        </is>
      </c>
      <c r="I135" t="n">
        <v>2</v>
      </c>
      <c r="J135" s="3" t="n">
        <v>531.9400000000001</v>
      </c>
      <c r="K135" s="3" t="n">
        <v>53.19</v>
      </c>
      <c r="L135" s="3" t="n">
        <v>478.75</v>
      </c>
      <c r="M135" s="3" t="n">
        <v>293.16</v>
      </c>
      <c r="N135" s="3" t="n">
        <v>185.59</v>
      </c>
      <c r="O135">
        <f>TEXT(A135,"yyyy-mm")</f>
        <v/>
      </c>
    </row>
    <row r="136">
      <c r="A136" s="2" t="n">
        <v>45558</v>
      </c>
      <c r="B136" t="n">
        <v>2024</v>
      </c>
      <c r="C136" t="inlineStr">
        <is>
          <t>September</t>
        </is>
      </c>
      <c r="D136" t="inlineStr">
        <is>
          <t>Ultra Vitamins</t>
        </is>
      </c>
      <c r="E136" t="inlineStr">
        <is>
          <t>Beauty &amp; Health</t>
        </is>
      </c>
      <c r="F136" t="inlineStr">
        <is>
          <t>David Johnson</t>
        </is>
      </c>
      <c r="G136" t="inlineStr">
        <is>
          <t>Spain</t>
        </is>
      </c>
      <c r="H136" t="inlineStr">
        <is>
          <t>Retail Store</t>
        </is>
      </c>
      <c r="I136" t="n">
        <v>3</v>
      </c>
      <c r="J136" s="3" t="n">
        <v>619.05</v>
      </c>
      <c r="K136" s="3" t="n">
        <v>30.95</v>
      </c>
      <c r="L136" s="3" t="n">
        <v>588.1</v>
      </c>
      <c r="M136" s="3" t="n">
        <v>378.3</v>
      </c>
      <c r="N136" s="3" t="n">
        <v>209.8</v>
      </c>
      <c r="O136">
        <f>TEXT(A136,"yyyy-mm")</f>
        <v/>
      </c>
    </row>
    <row r="137">
      <c r="A137" s="2" t="n">
        <v>45558</v>
      </c>
      <c r="B137" t="n">
        <v>2024</v>
      </c>
      <c r="C137" t="inlineStr">
        <is>
          <t>September</t>
        </is>
      </c>
      <c r="D137" t="inlineStr">
        <is>
          <t>Portable Speaker</t>
        </is>
      </c>
      <c r="E137" t="inlineStr">
        <is>
          <t>Electronics</t>
        </is>
      </c>
      <c r="F137" t="inlineStr">
        <is>
          <t>Michael Johnson</t>
        </is>
      </c>
      <c r="G137" t="inlineStr">
        <is>
          <t>Germany</t>
        </is>
      </c>
      <c r="H137" t="inlineStr">
        <is>
          <t>Mobile App</t>
        </is>
      </c>
      <c r="I137" t="n">
        <v>3</v>
      </c>
      <c r="J137" s="3" t="n">
        <v>967.89</v>
      </c>
      <c r="K137" s="3" t="n">
        <v>0</v>
      </c>
      <c r="L137" s="3" t="n">
        <v>967.89</v>
      </c>
      <c r="M137" s="3" t="n">
        <v>524.49</v>
      </c>
      <c r="N137" s="3" t="n">
        <v>443.4</v>
      </c>
      <c r="O137">
        <f>TEXT(A137,"yyyy-mm")</f>
        <v/>
      </c>
    </row>
    <row r="138">
      <c r="A138" s="2" t="n">
        <v>45558</v>
      </c>
      <c r="B138" t="n">
        <v>2024</v>
      </c>
      <c r="C138" t="inlineStr">
        <is>
          <t>September</t>
        </is>
      </c>
      <c r="D138" t="inlineStr">
        <is>
          <t>Smart Puzzle</t>
        </is>
      </c>
      <c r="E138" t="inlineStr">
        <is>
          <t>Toys &amp; Games</t>
        </is>
      </c>
      <c r="F138" t="inlineStr">
        <is>
          <t>Michael Johnson</t>
        </is>
      </c>
      <c r="G138" t="inlineStr">
        <is>
          <t>Germany</t>
        </is>
      </c>
      <c r="H138" t="inlineStr">
        <is>
          <t>Mobile App</t>
        </is>
      </c>
      <c r="I138" t="n">
        <v>1</v>
      </c>
      <c r="J138" s="3" t="n">
        <v>264.5</v>
      </c>
      <c r="K138" s="3" t="n">
        <v>0</v>
      </c>
      <c r="L138" s="3" t="n">
        <v>264.5</v>
      </c>
      <c r="M138" s="3" t="n">
        <v>192.76</v>
      </c>
      <c r="N138" s="3" t="n">
        <v>71.73999999999999</v>
      </c>
      <c r="O138">
        <f>TEXT(A138,"yyyy-mm")</f>
        <v/>
      </c>
    </row>
    <row r="139">
      <c r="A139" s="2" t="n">
        <v>45558</v>
      </c>
      <c r="B139" t="n">
        <v>2024</v>
      </c>
      <c r="C139" t="inlineStr">
        <is>
          <t>September</t>
        </is>
      </c>
      <c r="D139" t="inlineStr">
        <is>
          <t>Essential Cushion</t>
        </is>
      </c>
      <c r="E139" t="inlineStr">
        <is>
          <t>Home &amp; Garden</t>
        </is>
      </c>
      <c r="F139" t="inlineStr">
        <is>
          <t>Michael Johnson</t>
        </is>
      </c>
      <c r="G139" t="inlineStr">
        <is>
          <t>Germany</t>
        </is>
      </c>
      <c r="H139" t="inlineStr">
        <is>
          <t>Mobile App</t>
        </is>
      </c>
      <c r="I139" t="n">
        <v>3</v>
      </c>
      <c r="J139" s="3" t="n">
        <v>131.1</v>
      </c>
      <c r="K139" s="3" t="n">
        <v>0</v>
      </c>
      <c r="L139" s="3" t="n">
        <v>131.1</v>
      </c>
      <c r="M139" s="3" t="n">
        <v>91.65000000000001</v>
      </c>
      <c r="N139" s="3" t="n">
        <v>39.45</v>
      </c>
      <c r="O139">
        <f>TEXT(A139,"yyyy-mm")</f>
        <v/>
      </c>
    </row>
    <row r="140">
      <c r="A140" s="2" t="n">
        <v>45559</v>
      </c>
      <c r="B140" t="n">
        <v>2024</v>
      </c>
      <c r="C140" t="inlineStr">
        <is>
          <t>September</t>
        </is>
      </c>
      <c r="D140" t="inlineStr">
        <is>
          <t>Deluxe Puzzle</t>
        </is>
      </c>
      <c r="E140" t="inlineStr">
        <is>
          <t>Toys &amp; Games</t>
        </is>
      </c>
      <c r="F140" t="inlineStr">
        <is>
          <t>Peter Conti</t>
        </is>
      </c>
      <c r="G140" t="inlineStr">
        <is>
          <t>Spain</t>
        </is>
      </c>
      <c r="H140" t="inlineStr">
        <is>
          <t>Marketplace</t>
        </is>
      </c>
      <c r="I140" t="n">
        <v>1</v>
      </c>
      <c r="J140" s="3" t="n">
        <v>217.02</v>
      </c>
      <c r="K140" s="3" t="n">
        <v>43.4</v>
      </c>
      <c r="L140" s="3" t="n">
        <v>173.62</v>
      </c>
      <c r="M140" s="3" t="n">
        <v>111.17</v>
      </c>
      <c r="N140" s="3" t="n">
        <v>62.45</v>
      </c>
      <c r="O140">
        <f>TEXT(A140,"yyyy-mm")</f>
        <v/>
      </c>
    </row>
    <row r="141">
      <c r="A141" s="2" t="n">
        <v>45559</v>
      </c>
      <c r="B141" t="n">
        <v>2024</v>
      </c>
      <c r="C141" t="inlineStr">
        <is>
          <t>September</t>
        </is>
      </c>
      <c r="D141" t="inlineStr">
        <is>
          <t>Smart Coffee Beans</t>
        </is>
      </c>
      <c r="E141" t="inlineStr">
        <is>
          <t>Grocery</t>
        </is>
      </c>
      <c r="F141" t="inlineStr">
        <is>
          <t>Peter Conti</t>
        </is>
      </c>
      <c r="G141" t="inlineStr">
        <is>
          <t>Spain</t>
        </is>
      </c>
      <c r="H141" t="inlineStr">
        <is>
          <t>Marketplace</t>
        </is>
      </c>
      <c r="I141" t="n">
        <v>3</v>
      </c>
      <c r="J141" s="3" t="n">
        <v>342.9</v>
      </c>
      <c r="K141" s="3" t="n">
        <v>0</v>
      </c>
      <c r="L141" s="3" t="n">
        <v>342.9</v>
      </c>
      <c r="M141" s="3" t="n">
        <v>218.55</v>
      </c>
      <c r="N141" s="3" t="n">
        <v>124.35</v>
      </c>
      <c r="O141">
        <f>TEXT(A141,"yyyy-mm")</f>
        <v/>
      </c>
    </row>
    <row r="142">
      <c r="A142" s="2" t="n">
        <v>45559</v>
      </c>
      <c r="B142" t="n">
        <v>2024</v>
      </c>
      <c r="C142" t="inlineStr">
        <is>
          <t>September</t>
        </is>
      </c>
      <c r="D142" t="inlineStr">
        <is>
          <t>Deluxe Notebook</t>
        </is>
      </c>
      <c r="E142" t="inlineStr">
        <is>
          <t>Books</t>
        </is>
      </c>
      <c r="F142" t="inlineStr">
        <is>
          <t>Daniel Lopez</t>
        </is>
      </c>
      <c r="G142" t="inlineStr">
        <is>
          <t>Italy</t>
        </is>
      </c>
      <c r="H142" t="inlineStr">
        <is>
          <t>Marketplace</t>
        </is>
      </c>
      <c r="I142" t="n">
        <v>5</v>
      </c>
      <c r="J142" s="3" t="n">
        <v>1048.15</v>
      </c>
      <c r="K142" s="3" t="n">
        <v>0</v>
      </c>
      <c r="L142" s="3" t="n">
        <v>1048.15</v>
      </c>
      <c r="M142" s="3" t="n">
        <v>753.8</v>
      </c>
      <c r="N142" s="3" t="n">
        <v>294.35</v>
      </c>
      <c r="O142">
        <f>TEXT(A142,"yyyy-mm")</f>
        <v/>
      </c>
    </row>
    <row r="143">
      <c r="A143" s="2" t="n">
        <v>45559</v>
      </c>
      <c r="B143" t="n">
        <v>2024</v>
      </c>
      <c r="C143" t="inlineStr">
        <is>
          <t>September</t>
        </is>
      </c>
      <c r="D143" t="inlineStr">
        <is>
          <t>Compact Biography</t>
        </is>
      </c>
      <c r="E143" t="inlineStr">
        <is>
          <t>Books</t>
        </is>
      </c>
      <c r="F143" t="inlineStr">
        <is>
          <t>Daniel Lopez</t>
        </is>
      </c>
      <c r="G143" t="inlineStr">
        <is>
          <t>Italy</t>
        </is>
      </c>
      <c r="H143" t="inlineStr">
        <is>
          <t>Marketplace</t>
        </is>
      </c>
      <c r="I143" t="n">
        <v>3</v>
      </c>
      <c r="J143" s="3" t="n">
        <v>795.0599999999999</v>
      </c>
      <c r="K143" s="3" t="n">
        <v>79.51000000000001</v>
      </c>
      <c r="L143" s="3" t="n">
        <v>715.55</v>
      </c>
      <c r="M143" s="3" t="n">
        <v>420.99</v>
      </c>
      <c r="N143" s="3" t="n">
        <v>294.56</v>
      </c>
      <c r="O143">
        <f>TEXT(A143,"yyyy-mm")</f>
        <v/>
      </c>
    </row>
    <row r="144">
      <c r="A144" s="2" t="n">
        <v>45559</v>
      </c>
      <c r="B144" t="n">
        <v>2024</v>
      </c>
      <c r="C144" t="inlineStr">
        <is>
          <t>September</t>
        </is>
      </c>
      <c r="D144" t="inlineStr">
        <is>
          <t>Eco Backpack</t>
        </is>
      </c>
      <c r="E144" t="inlineStr">
        <is>
          <t>Sports &amp; Outdoors</t>
        </is>
      </c>
      <c r="F144" t="inlineStr">
        <is>
          <t>Clara Johnson</t>
        </is>
      </c>
      <c r="G144" t="inlineStr">
        <is>
          <t>United Kingdom</t>
        </is>
      </c>
      <c r="H144" t="inlineStr">
        <is>
          <t>Mobile App</t>
        </is>
      </c>
      <c r="I144" t="n">
        <v>1</v>
      </c>
      <c r="J144" s="3" t="n">
        <v>252.72</v>
      </c>
      <c r="K144" s="3" t="n">
        <v>25.27</v>
      </c>
      <c r="L144" s="3" t="n">
        <v>227.45</v>
      </c>
      <c r="M144" s="3" t="n">
        <v>146.58</v>
      </c>
      <c r="N144" s="3" t="n">
        <v>80.87</v>
      </c>
      <c r="O144">
        <f>TEXT(A144,"yyyy-mm")</f>
        <v/>
      </c>
    </row>
    <row r="145">
      <c r="A145" s="2" t="n">
        <v>45559</v>
      </c>
      <c r="B145" t="n">
        <v>2024</v>
      </c>
      <c r="C145" t="inlineStr">
        <is>
          <t>September</t>
        </is>
      </c>
      <c r="D145" t="inlineStr">
        <is>
          <t>Smart Olive Oil</t>
        </is>
      </c>
      <c r="E145" t="inlineStr">
        <is>
          <t>Grocery</t>
        </is>
      </c>
      <c r="F145" t="inlineStr">
        <is>
          <t>Julia Johnson</t>
        </is>
      </c>
      <c r="G145" t="inlineStr">
        <is>
          <t>Poland</t>
        </is>
      </c>
      <c r="H145" t="inlineStr">
        <is>
          <t>Mobile App</t>
        </is>
      </c>
      <c r="I145" t="n">
        <v>3</v>
      </c>
      <c r="J145" s="3" t="n">
        <v>485.97</v>
      </c>
      <c r="K145" s="3" t="n">
        <v>24.3</v>
      </c>
      <c r="L145" s="3" t="n">
        <v>461.67</v>
      </c>
      <c r="M145" s="3" t="n">
        <v>330.06</v>
      </c>
      <c r="N145" s="3" t="n">
        <v>131.61</v>
      </c>
      <c r="O145">
        <f>TEXT(A145,"yyyy-mm")</f>
        <v/>
      </c>
    </row>
    <row r="146">
      <c r="A146" s="2" t="n">
        <v>45559</v>
      </c>
      <c r="B146" t="n">
        <v>2024</v>
      </c>
      <c r="C146" t="inlineStr">
        <is>
          <t>September</t>
        </is>
      </c>
      <c r="D146" t="inlineStr">
        <is>
          <t>Eco Backpack</t>
        </is>
      </c>
      <c r="E146" t="inlineStr">
        <is>
          <t>Sports &amp; Outdoors</t>
        </is>
      </c>
      <c r="F146" t="inlineStr">
        <is>
          <t>Julia Johnson</t>
        </is>
      </c>
      <c r="G146" t="inlineStr">
        <is>
          <t>Poland</t>
        </is>
      </c>
      <c r="H146" t="inlineStr">
        <is>
          <t>Mobile App</t>
        </is>
      </c>
      <c r="I146" t="n">
        <v>5</v>
      </c>
      <c r="J146" s="3" t="n">
        <v>1332.95</v>
      </c>
      <c r="K146" s="3" t="n">
        <v>266.59</v>
      </c>
      <c r="L146" s="3" t="n">
        <v>1066.36</v>
      </c>
      <c r="M146" s="3" t="n">
        <v>732.9</v>
      </c>
      <c r="N146" s="3" t="n">
        <v>333.46</v>
      </c>
      <c r="O146">
        <f>TEXT(A146,"yyyy-mm")</f>
        <v/>
      </c>
    </row>
    <row r="147">
      <c r="A147" s="2" t="n">
        <v>45559</v>
      </c>
      <c r="B147" t="n">
        <v>2024</v>
      </c>
      <c r="C147" t="inlineStr">
        <is>
          <t>September</t>
        </is>
      </c>
      <c r="D147" t="inlineStr">
        <is>
          <t>Premium Water Bottle</t>
        </is>
      </c>
      <c r="E147" t="inlineStr">
        <is>
          <t>Sports &amp; Outdoors</t>
        </is>
      </c>
      <c r="F147" t="inlineStr">
        <is>
          <t>Daniel Lopez</t>
        </is>
      </c>
      <c r="G147" t="inlineStr">
        <is>
          <t>Italy</t>
        </is>
      </c>
      <c r="H147" t="inlineStr">
        <is>
          <t>Marketplace</t>
        </is>
      </c>
      <c r="I147" t="n">
        <v>4</v>
      </c>
      <c r="J147" s="3" t="n">
        <v>481.88</v>
      </c>
      <c r="K147" s="3" t="n">
        <v>48.19</v>
      </c>
      <c r="L147" s="3" t="n">
        <v>433.69</v>
      </c>
      <c r="M147" s="3" t="n">
        <v>358.48</v>
      </c>
      <c r="N147" s="3" t="n">
        <v>75.20999999999999</v>
      </c>
      <c r="O147">
        <f>TEXT(A147,"yyyy-mm")</f>
        <v/>
      </c>
    </row>
    <row r="148">
      <c r="A148" s="2" t="n">
        <v>45559</v>
      </c>
      <c r="B148" t="n">
        <v>2024</v>
      </c>
      <c r="C148" t="inlineStr">
        <is>
          <t>September</t>
        </is>
      </c>
      <c r="D148" t="inlineStr">
        <is>
          <t>Classic Yoga Mat</t>
        </is>
      </c>
      <c r="E148" t="inlineStr">
        <is>
          <t>Sports &amp; Outdoors</t>
        </is>
      </c>
      <c r="F148" t="inlineStr">
        <is>
          <t>Daniel Lopez</t>
        </is>
      </c>
      <c r="G148" t="inlineStr">
        <is>
          <t>Italy</t>
        </is>
      </c>
      <c r="H148" t="inlineStr">
        <is>
          <t>Marketplace</t>
        </is>
      </c>
      <c r="I148" t="n">
        <v>3</v>
      </c>
      <c r="J148" s="3" t="n">
        <v>973.4400000000001</v>
      </c>
      <c r="K148" s="3" t="n">
        <v>0</v>
      </c>
      <c r="L148" s="3" t="n">
        <v>973.4400000000001</v>
      </c>
      <c r="M148" s="3" t="n">
        <v>587.1</v>
      </c>
      <c r="N148" s="3" t="n">
        <v>386.34</v>
      </c>
      <c r="O148">
        <f>TEXT(A148,"yyyy-mm")</f>
        <v/>
      </c>
    </row>
    <row r="149">
      <c r="A149" s="2" t="n">
        <v>45559</v>
      </c>
      <c r="B149" t="n">
        <v>2024</v>
      </c>
      <c r="C149" t="inlineStr">
        <is>
          <t>September</t>
        </is>
      </c>
      <c r="D149" t="inlineStr">
        <is>
          <t>Premium Rug</t>
        </is>
      </c>
      <c r="E149" t="inlineStr">
        <is>
          <t>Home &amp; Garden</t>
        </is>
      </c>
      <c r="F149" t="inlineStr">
        <is>
          <t>Emma Schmidt</t>
        </is>
      </c>
      <c r="G149" t="inlineStr">
        <is>
          <t>France</t>
        </is>
      </c>
      <c r="H149" t="inlineStr">
        <is>
          <t>Marketplace</t>
        </is>
      </c>
      <c r="I149" t="n">
        <v>1</v>
      </c>
      <c r="J149" s="3" t="n">
        <v>184.01</v>
      </c>
      <c r="K149" s="3" t="n">
        <v>36.8</v>
      </c>
      <c r="L149" s="3" t="n">
        <v>147.21</v>
      </c>
      <c r="M149" s="3" t="n">
        <v>111.19</v>
      </c>
      <c r="N149" s="3" t="n">
        <v>36.02</v>
      </c>
      <c r="O149">
        <f>TEXT(A149,"yyyy-mm")</f>
        <v/>
      </c>
    </row>
    <row r="150">
      <c r="A150" s="2" t="n">
        <v>45559</v>
      </c>
      <c r="B150" t="n">
        <v>2024</v>
      </c>
      <c r="C150" t="inlineStr">
        <is>
          <t>September</t>
        </is>
      </c>
      <c r="D150" t="inlineStr">
        <is>
          <t>Premium Cookbook</t>
        </is>
      </c>
      <c r="E150" t="inlineStr">
        <is>
          <t>Books</t>
        </is>
      </c>
      <c r="F150" t="inlineStr">
        <is>
          <t>Julia Johnson</t>
        </is>
      </c>
      <c r="G150" t="inlineStr">
        <is>
          <t>Poland</t>
        </is>
      </c>
      <c r="H150" t="inlineStr">
        <is>
          <t>Mobile App</t>
        </is>
      </c>
      <c r="I150" t="n">
        <v>3</v>
      </c>
      <c r="J150" s="3" t="n">
        <v>371.88</v>
      </c>
      <c r="K150" s="3" t="n">
        <v>74.38</v>
      </c>
      <c r="L150" s="3" t="n">
        <v>297.5</v>
      </c>
      <c r="M150" s="3" t="n">
        <v>284.94</v>
      </c>
      <c r="N150" s="3" t="n">
        <v>12.56</v>
      </c>
      <c r="O150">
        <f>TEXT(A150,"yyyy-mm")</f>
        <v/>
      </c>
    </row>
    <row r="151">
      <c r="A151" s="2" t="n">
        <v>45559</v>
      </c>
      <c r="B151" t="n">
        <v>2024</v>
      </c>
      <c r="C151" t="inlineStr">
        <is>
          <t>September</t>
        </is>
      </c>
      <c r="D151" t="inlineStr">
        <is>
          <t>Classic Bike Helmet</t>
        </is>
      </c>
      <c r="E151" t="inlineStr">
        <is>
          <t>Sports &amp; Outdoors</t>
        </is>
      </c>
      <c r="F151" t="inlineStr">
        <is>
          <t>Emma Schmidt</t>
        </is>
      </c>
      <c r="G151" t="inlineStr">
        <is>
          <t>France</t>
        </is>
      </c>
      <c r="H151" t="inlineStr">
        <is>
          <t>Marketplace</t>
        </is>
      </c>
      <c r="I151" t="n">
        <v>5</v>
      </c>
      <c r="J151" s="3" t="n">
        <v>1041.7</v>
      </c>
      <c r="K151" s="3" t="n">
        <v>0</v>
      </c>
      <c r="L151" s="3" t="n">
        <v>1041.7</v>
      </c>
      <c r="M151" s="3" t="n">
        <v>769.05</v>
      </c>
      <c r="N151" s="3" t="n">
        <v>272.65</v>
      </c>
      <c r="O151">
        <f>TEXT(A151,"yyyy-mm")</f>
        <v/>
      </c>
    </row>
    <row r="152">
      <c r="A152" s="2" t="n">
        <v>45559</v>
      </c>
      <c r="B152" t="n">
        <v>2024</v>
      </c>
      <c r="C152" t="inlineStr">
        <is>
          <t>September</t>
        </is>
      </c>
      <c r="D152" t="inlineStr">
        <is>
          <t>Classic Coffee Beans</t>
        </is>
      </c>
      <c r="E152" t="inlineStr">
        <is>
          <t>Grocery</t>
        </is>
      </c>
      <c r="F152" t="inlineStr">
        <is>
          <t>Emma Schmidt</t>
        </is>
      </c>
      <c r="G152" t="inlineStr">
        <is>
          <t>France</t>
        </is>
      </c>
      <c r="H152" t="inlineStr">
        <is>
          <t>Marketplace</t>
        </is>
      </c>
      <c r="I152" t="n">
        <v>4</v>
      </c>
      <c r="J152" s="3" t="n">
        <v>1353.56</v>
      </c>
      <c r="K152" s="3" t="n">
        <v>0</v>
      </c>
      <c r="L152" s="3" t="n">
        <v>1353.56</v>
      </c>
      <c r="M152" s="3" t="n">
        <v>779.04</v>
      </c>
      <c r="N152" s="3" t="n">
        <v>574.52</v>
      </c>
      <c r="O152">
        <f>TEXT(A152,"yyyy-mm")</f>
        <v/>
      </c>
    </row>
    <row r="153">
      <c r="A153" s="2" t="n">
        <v>45559</v>
      </c>
      <c r="B153" t="n">
        <v>2024</v>
      </c>
      <c r="C153" t="inlineStr">
        <is>
          <t>September</t>
        </is>
      </c>
      <c r="D153" t="inlineStr">
        <is>
          <t>Premium Water Bottle</t>
        </is>
      </c>
      <c r="E153" t="inlineStr">
        <is>
          <t>Sports &amp; Outdoors</t>
        </is>
      </c>
      <c r="F153" t="inlineStr">
        <is>
          <t>Julia Johnson</t>
        </is>
      </c>
      <c r="G153" t="inlineStr">
        <is>
          <t>Poland</t>
        </is>
      </c>
      <c r="H153" t="inlineStr">
        <is>
          <t>Mobile App</t>
        </is>
      </c>
      <c r="I153" t="n">
        <v>3</v>
      </c>
      <c r="J153" s="3" t="n">
        <v>88.11</v>
      </c>
      <c r="K153" s="3" t="n">
        <v>13.22</v>
      </c>
      <c r="L153" s="3" t="n">
        <v>74.89</v>
      </c>
      <c r="M153" s="3" t="n">
        <v>49.89</v>
      </c>
      <c r="N153" s="3" t="n">
        <v>25</v>
      </c>
      <c r="O153">
        <f>TEXT(A153,"yyyy-mm")</f>
        <v/>
      </c>
    </row>
    <row r="154">
      <c r="A154" s="2" t="n">
        <v>45560</v>
      </c>
      <c r="B154" t="n">
        <v>2024</v>
      </c>
      <c r="C154" t="inlineStr">
        <is>
          <t>September</t>
        </is>
      </c>
      <c r="D154" t="inlineStr">
        <is>
          <t>Premium Water Bottle</t>
        </is>
      </c>
      <c r="E154" t="inlineStr">
        <is>
          <t>Sports &amp; Outdoors</t>
        </is>
      </c>
      <c r="F154" t="inlineStr">
        <is>
          <t>Julia Dubois</t>
        </is>
      </c>
      <c r="G154" t="inlineStr">
        <is>
          <t>United States</t>
        </is>
      </c>
      <c r="H154" t="inlineStr">
        <is>
          <t>Mobile App</t>
        </is>
      </c>
      <c r="I154" t="n">
        <v>2</v>
      </c>
      <c r="J154" s="3" t="n">
        <v>57.66</v>
      </c>
      <c r="K154" s="3" t="n">
        <v>11.53</v>
      </c>
      <c r="L154" s="3" t="n">
        <v>46.13</v>
      </c>
      <c r="M154" s="3" t="n">
        <v>33.26</v>
      </c>
      <c r="N154" s="3" t="n">
        <v>12.87</v>
      </c>
      <c r="O154">
        <f>TEXT(A154,"yyyy-mm")</f>
        <v/>
      </c>
    </row>
    <row r="155">
      <c r="A155" s="2" t="n">
        <v>45560</v>
      </c>
      <c r="B155" t="n">
        <v>2024</v>
      </c>
      <c r="C155" t="inlineStr">
        <is>
          <t>September</t>
        </is>
      </c>
      <c r="D155" t="inlineStr">
        <is>
          <t>Classic Tent</t>
        </is>
      </c>
      <c r="E155" t="inlineStr">
        <is>
          <t>Sports &amp; Outdoors</t>
        </is>
      </c>
      <c r="F155" t="inlineStr">
        <is>
          <t>Julia Dubois</t>
        </is>
      </c>
      <c r="G155" t="inlineStr">
        <is>
          <t>United States</t>
        </is>
      </c>
      <c r="H155" t="inlineStr">
        <is>
          <t>Mobile App</t>
        </is>
      </c>
      <c r="I155" t="n">
        <v>2</v>
      </c>
      <c r="J155" s="3" t="n">
        <v>392.1</v>
      </c>
      <c r="K155" s="3" t="n">
        <v>39.21</v>
      </c>
      <c r="L155" s="3" t="n">
        <v>352.89</v>
      </c>
      <c r="M155" s="3" t="n">
        <v>236.04</v>
      </c>
      <c r="N155" s="3" t="n">
        <v>116.85</v>
      </c>
      <c r="O155">
        <f>TEXT(A155,"yyyy-mm")</f>
        <v/>
      </c>
    </row>
    <row r="156">
      <c r="A156" s="2" t="n">
        <v>45560</v>
      </c>
      <c r="B156" t="n">
        <v>2024</v>
      </c>
      <c r="C156" t="inlineStr">
        <is>
          <t>September</t>
        </is>
      </c>
      <c r="D156" t="inlineStr">
        <is>
          <t>Deluxe Toothbrush</t>
        </is>
      </c>
      <c r="E156" t="inlineStr">
        <is>
          <t>Beauty &amp; Health</t>
        </is>
      </c>
      <c r="F156" t="inlineStr">
        <is>
          <t>Laura Muller</t>
        </is>
      </c>
      <c r="G156" t="inlineStr">
        <is>
          <t>Italy</t>
        </is>
      </c>
      <c r="H156" t="inlineStr">
        <is>
          <t>Web Store</t>
        </is>
      </c>
      <c r="I156" t="n">
        <v>2</v>
      </c>
      <c r="J156" s="3" t="n">
        <v>630.9400000000001</v>
      </c>
      <c r="K156" s="3" t="n">
        <v>31.55</v>
      </c>
      <c r="L156" s="3" t="n">
        <v>599.39</v>
      </c>
      <c r="M156" s="3" t="n">
        <v>349.14</v>
      </c>
      <c r="N156" s="3" t="n">
        <v>250.25</v>
      </c>
      <c r="O156">
        <f>TEXT(A156,"yyyy-mm")</f>
        <v/>
      </c>
    </row>
    <row r="157">
      <c r="A157" s="2" t="n">
        <v>45560</v>
      </c>
      <c r="B157" t="n">
        <v>2024</v>
      </c>
      <c r="C157" t="inlineStr">
        <is>
          <t>September</t>
        </is>
      </c>
      <c r="D157" t="inlineStr">
        <is>
          <t>Eco Backpack</t>
        </is>
      </c>
      <c r="E157" t="inlineStr">
        <is>
          <t>Sports &amp; Outdoors</t>
        </is>
      </c>
      <c r="F157" t="inlineStr">
        <is>
          <t>Laura Muller</t>
        </is>
      </c>
      <c r="G157" t="inlineStr">
        <is>
          <t>Italy</t>
        </is>
      </c>
      <c r="H157" t="inlineStr">
        <is>
          <t>Web Store</t>
        </is>
      </c>
      <c r="I157" t="n">
        <v>1</v>
      </c>
      <c r="J157" s="3" t="n">
        <v>258.88</v>
      </c>
      <c r="K157" s="3" t="n">
        <v>38.83</v>
      </c>
      <c r="L157" s="3" t="n">
        <v>220.05</v>
      </c>
      <c r="M157" s="3" t="n">
        <v>146.58</v>
      </c>
      <c r="N157" s="3" t="n">
        <v>73.47</v>
      </c>
      <c r="O157">
        <f>TEXT(A157,"yyyy-mm")</f>
        <v/>
      </c>
    </row>
    <row r="158">
      <c r="A158" s="2" t="n">
        <v>45560</v>
      </c>
      <c r="B158" t="n">
        <v>2024</v>
      </c>
      <c r="C158" t="inlineStr">
        <is>
          <t>September</t>
        </is>
      </c>
      <c r="D158" t="inlineStr">
        <is>
          <t>Smart Camera</t>
        </is>
      </c>
      <c r="E158" t="inlineStr">
        <is>
          <t>Electronics</t>
        </is>
      </c>
      <c r="F158" t="inlineStr">
        <is>
          <t>Laura Muller</t>
        </is>
      </c>
      <c r="G158" t="inlineStr">
        <is>
          <t>Italy</t>
        </is>
      </c>
      <c r="H158" t="inlineStr">
        <is>
          <t>Web Store</t>
        </is>
      </c>
      <c r="I158" t="n">
        <v>4</v>
      </c>
      <c r="J158" s="3" t="n">
        <v>501.52</v>
      </c>
      <c r="K158" s="3" t="n">
        <v>50.15</v>
      </c>
      <c r="L158" s="3" t="n">
        <v>451.37</v>
      </c>
      <c r="M158" s="3" t="n">
        <v>342.32</v>
      </c>
      <c r="N158" s="3" t="n">
        <v>109.05</v>
      </c>
      <c r="O158">
        <f>TEXT(A158,"yyyy-mm")</f>
        <v/>
      </c>
    </row>
    <row r="159">
      <c r="A159" s="2" t="n">
        <v>45560</v>
      </c>
      <c r="B159" t="n">
        <v>2024</v>
      </c>
      <c r="C159" t="inlineStr">
        <is>
          <t>September</t>
        </is>
      </c>
      <c r="D159" t="inlineStr">
        <is>
          <t>Premium Rug</t>
        </is>
      </c>
      <c r="E159" t="inlineStr">
        <is>
          <t>Home &amp; Garden</t>
        </is>
      </c>
      <c r="F159" t="inlineStr">
        <is>
          <t>Laura Muller</t>
        </is>
      </c>
      <c r="G159" t="inlineStr">
        <is>
          <t>Italy</t>
        </is>
      </c>
      <c r="H159" t="inlineStr">
        <is>
          <t>Web Store</t>
        </is>
      </c>
      <c r="I159" t="n">
        <v>2</v>
      </c>
      <c r="J159" s="3" t="n">
        <v>381.88</v>
      </c>
      <c r="K159" s="3" t="n">
        <v>0</v>
      </c>
      <c r="L159" s="3" t="n">
        <v>381.88</v>
      </c>
      <c r="M159" s="3" t="n">
        <v>222.38</v>
      </c>
      <c r="N159" s="3" t="n">
        <v>159.5</v>
      </c>
      <c r="O159">
        <f>TEXT(A159,"yyyy-mm")</f>
        <v/>
      </c>
    </row>
    <row r="160">
      <c r="A160" s="2" t="n">
        <v>45560</v>
      </c>
      <c r="B160" t="n">
        <v>2024</v>
      </c>
      <c r="C160" t="inlineStr">
        <is>
          <t>September</t>
        </is>
      </c>
      <c r="D160" t="inlineStr">
        <is>
          <t>Portable Notebook</t>
        </is>
      </c>
      <c r="E160" t="inlineStr">
        <is>
          <t>Books</t>
        </is>
      </c>
      <c r="F160" t="inlineStr">
        <is>
          <t>Clara Garcia</t>
        </is>
      </c>
      <c r="G160" t="inlineStr">
        <is>
          <t>France</t>
        </is>
      </c>
      <c r="H160" t="inlineStr">
        <is>
          <t>Marketplace</t>
        </is>
      </c>
      <c r="I160" t="n">
        <v>4</v>
      </c>
      <c r="J160" s="3" t="n">
        <v>490.2</v>
      </c>
      <c r="K160" s="3" t="n">
        <v>49.02</v>
      </c>
      <c r="L160" s="3" t="n">
        <v>441.18</v>
      </c>
      <c r="M160" s="3" t="n">
        <v>285.12</v>
      </c>
      <c r="N160" s="3" t="n">
        <v>156.06</v>
      </c>
      <c r="O160">
        <f>TEXT(A160,"yyyy-mm")</f>
        <v/>
      </c>
    </row>
    <row r="161">
      <c r="A161" s="2" t="n">
        <v>45560</v>
      </c>
      <c r="B161" t="n">
        <v>2024</v>
      </c>
      <c r="C161" t="inlineStr">
        <is>
          <t>September</t>
        </is>
      </c>
      <c r="D161" t="inlineStr">
        <is>
          <t>Classic Charger</t>
        </is>
      </c>
      <c r="E161" t="inlineStr">
        <is>
          <t>Electronics</t>
        </is>
      </c>
      <c r="F161" t="inlineStr">
        <is>
          <t>Clara Garcia</t>
        </is>
      </c>
      <c r="G161" t="inlineStr">
        <is>
          <t>France</t>
        </is>
      </c>
      <c r="H161" t="inlineStr">
        <is>
          <t>Marketplace</t>
        </is>
      </c>
      <c r="I161" t="n">
        <v>4</v>
      </c>
      <c r="J161" s="3" t="n">
        <v>397.48</v>
      </c>
      <c r="K161" s="3" t="n">
        <v>39.75</v>
      </c>
      <c r="L161" s="3" t="n">
        <v>357.73</v>
      </c>
      <c r="M161" s="3" t="n">
        <v>248.84</v>
      </c>
      <c r="N161" s="3" t="n">
        <v>108.89</v>
      </c>
      <c r="O161">
        <f>TEXT(A161,"yyyy-mm")</f>
        <v/>
      </c>
    </row>
    <row r="162">
      <c r="A162" s="2" t="n">
        <v>45560</v>
      </c>
      <c r="B162" t="n">
        <v>2024</v>
      </c>
      <c r="C162" t="inlineStr">
        <is>
          <t>September</t>
        </is>
      </c>
      <c r="D162" t="inlineStr">
        <is>
          <t>Portable Puzzle</t>
        </is>
      </c>
      <c r="E162" t="inlineStr">
        <is>
          <t>Toys &amp; Games</t>
        </is>
      </c>
      <c r="F162" t="inlineStr">
        <is>
          <t>Paul Muller</t>
        </is>
      </c>
      <c r="G162" t="inlineStr">
        <is>
          <t>United States</t>
        </is>
      </c>
      <c r="H162" t="inlineStr">
        <is>
          <t>Web Store</t>
        </is>
      </c>
      <c r="I162" t="n">
        <v>5</v>
      </c>
      <c r="J162" s="3" t="n">
        <v>1560.1</v>
      </c>
      <c r="K162" s="3" t="n">
        <v>312.02</v>
      </c>
      <c r="L162" s="3" t="n">
        <v>1248.08</v>
      </c>
      <c r="M162" s="3" t="n">
        <v>868.3</v>
      </c>
      <c r="N162" s="3" t="n">
        <v>379.78</v>
      </c>
      <c r="O162">
        <f>TEXT(A162,"yyyy-mm")</f>
        <v/>
      </c>
    </row>
    <row r="163">
      <c r="A163" s="2" t="n">
        <v>45560</v>
      </c>
      <c r="B163" t="n">
        <v>2024</v>
      </c>
      <c r="C163" t="inlineStr">
        <is>
          <t>September</t>
        </is>
      </c>
      <c r="D163" t="inlineStr">
        <is>
          <t>Eco Biography</t>
        </is>
      </c>
      <c r="E163" t="inlineStr">
        <is>
          <t>Books</t>
        </is>
      </c>
      <c r="F163" t="inlineStr">
        <is>
          <t>Clara Garcia</t>
        </is>
      </c>
      <c r="G163" t="inlineStr">
        <is>
          <t>France</t>
        </is>
      </c>
      <c r="H163" t="inlineStr">
        <is>
          <t>Marketplace</t>
        </is>
      </c>
      <c r="I163" t="n">
        <v>4</v>
      </c>
      <c r="J163" s="3" t="n">
        <v>493.04</v>
      </c>
      <c r="K163" s="3" t="n">
        <v>24.65</v>
      </c>
      <c r="L163" s="3" t="n">
        <v>468.39</v>
      </c>
      <c r="M163" s="3" t="n">
        <v>284.08</v>
      </c>
      <c r="N163" s="3" t="n">
        <v>184.31</v>
      </c>
      <c r="O163">
        <f>TEXT(A163,"yyyy-mm")</f>
        <v/>
      </c>
    </row>
    <row r="164">
      <c r="A164" s="2" t="n">
        <v>45560</v>
      </c>
      <c r="B164" t="n">
        <v>2024</v>
      </c>
      <c r="C164" t="inlineStr">
        <is>
          <t>September</t>
        </is>
      </c>
      <c r="D164" t="inlineStr">
        <is>
          <t>Eco Sweater</t>
        </is>
      </c>
      <c r="E164" t="inlineStr">
        <is>
          <t>Clothing</t>
        </is>
      </c>
      <c r="F164" t="inlineStr">
        <is>
          <t>Clara Garcia</t>
        </is>
      </c>
      <c r="G164" t="inlineStr">
        <is>
          <t>France</t>
        </is>
      </c>
      <c r="H164" t="inlineStr">
        <is>
          <t>Marketplace</t>
        </is>
      </c>
      <c r="I164" t="n">
        <v>4</v>
      </c>
      <c r="J164" s="3" t="n">
        <v>584.72</v>
      </c>
      <c r="K164" s="3" t="n">
        <v>87.70999999999999</v>
      </c>
      <c r="L164" s="3" t="n">
        <v>497.01</v>
      </c>
      <c r="M164" s="3" t="n">
        <v>416.92</v>
      </c>
      <c r="N164" s="3" t="n">
        <v>80.09</v>
      </c>
      <c r="O164">
        <f>TEXT(A164,"yyyy-mm")</f>
        <v/>
      </c>
    </row>
    <row r="165">
      <c r="A165" s="2" t="n">
        <v>45560</v>
      </c>
      <c r="B165" t="n">
        <v>2024</v>
      </c>
      <c r="C165" t="inlineStr">
        <is>
          <t>September</t>
        </is>
      </c>
      <c r="D165" t="inlineStr">
        <is>
          <t>Premium Tent</t>
        </is>
      </c>
      <c r="E165" t="inlineStr">
        <is>
          <t>Sports &amp; Outdoors</t>
        </is>
      </c>
      <c r="F165" t="inlineStr">
        <is>
          <t>Paul Muller</t>
        </is>
      </c>
      <c r="G165" t="inlineStr">
        <is>
          <t>United States</t>
        </is>
      </c>
      <c r="H165" t="inlineStr">
        <is>
          <t>Web Store</t>
        </is>
      </c>
      <c r="I165" t="n">
        <v>5</v>
      </c>
      <c r="J165" s="3" t="n">
        <v>737.7</v>
      </c>
      <c r="K165" s="3" t="n">
        <v>36.88</v>
      </c>
      <c r="L165" s="3" t="n">
        <v>700.8200000000001</v>
      </c>
      <c r="M165" s="3" t="n">
        <v>482</v>
      </c>
      <c r="N165" s="3" t="n">
        <v>218.81</v>
      </c>
      <c r="O165">
        <f>TEXT(A165,"yyyy-mm")</f>
        <v/>
      </c>
    </row>
    <row r="166">
      <c r="A166" s="2" t="n">
        <v>45561</v>
      </c>
      <c r="B166" t="n">
        <v>2024</v>
      </c>
      <c r="C166" t="inlineStr">
        <is>
          <t>September</t>
        </is>
      </c>
      <c r="D166" t="inlineStr">
        <is>
          <t>Ultra Toolset</t>
        </is>
      </c>
      <c r="E166" t="inlineStr">
        <is>
          <t>Home &amp; Garden</t>
        </is>
      </c>
      <c r="F166" t="inlineStr">
        <is>
          <t>Robert Smith</t>
        </is>
      </c>
      <c r="G166" t="inlineStr">
        <is>
          <t>Spain</t>
        </is>
      </c>
      <c r="H166" t="inlineStr">
        <is>
          <t>Web Store</t>
        </is>
      </c>
      <c r="I166" t="n">
        <v>4</v>
      </c>
      <c r="J166" s="3" t="n">
        <v>1381.08</v>
      </c>
      <c r="K166" s="3" t="n">
        <v>0</v>
      </c>
      <c r="L166" s="3" t="n">
        <v>1381.08</v>
      </c>
      <c r="M166" s="3" t="n">
        <v>761.6</v>
      </c>
      <c r="N166" s="3" t="n">
        <v>619.48</v>
      </c>
      <c r="O166">
        <f>TEXT(A166,"yyyy-mm")</f>
        <v/>
      </c>
    </row>
    <row r="167">
      <c r="A167" s="2" t="n">
        <v>45561</v>
      </c>
      <c r="B167" t="n">
        <v>2024</v>
      </c>
      <c r="C167" t="inlineStr">
        <is>
          <t>September</t>
        </is>
      </c>
      <c r="D167" t="inlineStr">
        <is>
          <t>Eco Planter</t>
        </is>
      </c>
      <c r="E167" t="inlineStr">
        <is>
          <t>Home &amp; Garden</t>
        </is>
      </c>
      <c r="F167" t="inlineStr">
        <is>
          <t>Robert Smith</t>
        </is>
      </c>
      <c r="G167" t="inlineStr">
        <is>
          <t>Spain</t>
        </is>
      </c>
      <c r="H167" t="inlineStr">
        <is>
          <t>Web Store</t>
        </is>
      </c>
      <c r="I167" t="n">
        <v>5</v>
      </c>
      <c r="J167" s="3" t="n">
        <v>944.95</v>
      </c>
      <c r="K167" s="3" t="n">
        <v>0</v>
      </c>
      <c r="L167" s="3" t="n">
        <v>944.95</v>
      </c>
      <c r="M167" s="3" t="n">
        <v>562.05</v>
      </c>
      <c r="N167" s="3" t="n">
        <v>382.9</v>
      </c>
      <c r="O167">
        <f>TEXT(A167,"yyyy-mm")</f>
        <v/>
      </c>
    </row>
    <row r="168">
      <c r="A168" s="2" t="n">
        <v>45561</v>
      </c>
      <c r="B168" t="n">
        <v>2024</v>
      </c>
      <c r="C168" t="inlineStr">
        <is>
          <t>September</t>
        </is>
      </c>
      <c r="D168" t="inlineStr">
        <is>
          <t>Deluxe Headphones</t>
        </is>
      </c>
      <c r="E168" t="inlineStr">
        <is>
          <t>Electronics</t>
        </is>
      </c>
      <c r="F168" t="inlineStr">
        <is>
          <t>Robert Smith</t>
        </is>
      </c>
      <c r="G168" t="inlineStr">
        <is>
          <t>Spain</t>
        </is>
      </c>
      <c r="H168" t="inlineStr">
        <is>
          <t>Web Store</t>
        </is>
      </c>
      <c r="I168" t="n">
        <v>1</v>
      </c>
      <c r="J168" s="3" t="n">
        <v>73.23999999999999</v>
      </c>
      <c r="K168" s="3" t="n">
        <v>10.99</v>
      </c>
      <c r="L168" s="3" t="n">
        <v>62.25</v>
      </c>
      <c r="M168" s="3" t="n">
        <v>52.5</v>
      </c>
      <c r="N168" s="3" t="n">
        <v>9.75</v>
      </c>
      <c r="O168">
        <f>TEXT(A168,"yyyy-mm")</f>
        <v/>
      </c>
    </row>
    <row r="169">
      <c r="A169" s="2" t="n">
        <v>45561</v>
      </c>
      <c r="B169" t="n">
        <v>2024</v>
      </c>
      <c r="C169" t="inlineStr">
        <is>
          <t>September</t>
        </is>
      </c>
      <c r="D169" t="inlineStr">
        <is>
          <t>Wireless Coffee Beans</t>
        </is>
      </c>
      <c r="E169" t="inlineStr">
        <is>
          <t>Grocery</t>
        </is>
      </c>
      <c r="F169" t="inlineStr">
        <is>
          <t>Robert Smith</t>
        </is>
      </c>
      <c r="G169" t="inlineStr">
        <is>
          <t>Spain</t>
        </is>
      </c>
      <c r="H169" t="inlineStr">
        <is>
          <t>Web Store</t>
        </is>
      </c>
      <c r="I169" t="n">
        <v>3</v>
      </c>
      <c r="J169" s="3" t="n">
        <v>351.99</v>
      </c>
      <c r="K169" s="3" t="n">
        <v>0</v>
      </c>
      <c r="L169" s="3" t="n">
        <v>351.99</v>
      </c>
      <c r="M169" s="3" t="n">
        <v>238.11</v>
      </c>
      <c r="N169" s="3" t="n">
        <v>113.88</v>
      </c>
      <c r="O169">
        <f>TEXT(A169,"yyyy-mm")</f>
        <v/>
      </c>
    </row>
    <row r="170">
      <c r="A170" s="2" t="n">
        <v>45561</v>
      </c>
      <c r="B170" t="n">
        <v>2024</v>
      </c>
      <c r="C170" t="inlineStr">
        <is>
          <t>September</t>
        </is>
      </c>
      <c r="D170" t="inlineStr">
        <is>
          <t>Essential Toolset</t>
        </is>
      </c>
      <c r="E170" t="inlineStr">
        <is>
          <t>Home &amp; Garden</t>
        </is>
      </c>
      <c r="F170" t="inlineStr">
        <is>
          <t>Clara Martin</t>
        </is>
      </c>
      <c r="G170" t="inlineStr">
        <is>
          <t>United States</t>
        </is>
      </c>
      <c r="H170" t="inlineStr">
        <is>
          <t>Mobile App</t>
        </is>
      </c>
      <c r="I170" t="n">
        <v>2</v>
      </c>
      <c r="J170" s="3" t="n">
        <v>420.22</v>
      </c>
      <c r="K170" s="3" t="n">
        <v>0</v>
      </c>
      <c r="L170" s="3" t="n">
        <v>420.22</v>
      </c>
      <c r="M170" s="3" t="n">
        <v>301.06</v>
      </c>
      <c r="N170" s="3" t="n">
        <v>119.16</v>
      </c>
      <c r="O170">
        <f>TEXT(A170,"yyyy-mm")</f>
        <v/>
      </c>
    </row>
    <row r="171">
      <c r="A171" s="2" t="n">
        <v>45561</v>
      </c>
      <c r="B171" t="n">
        <v>2024</v>
      </c>
      <c r="C171" t="inlineStr">
        <is>
          <t>September</t>
        </is>
      </c>
      <c r="D171" t="inlineStr">
        <is>
          <t>Smart Camera</t>
        </is>
      </c>
      <c r="E171" t="inlineStr">
        <is>
          <t>Electronics</t>
        </is>
      </c>
      <c r="F171" t="inlineStr">
        <is>
          <t>Clara Martin</t>
        </is>
      </c>
      <c r="G171" t="inlineStr">
        <is>
          <t>United States</t>
        </is>
      </c>
      <c r="H171" t="inlineStr">
        <is>
          <t>Mobile App</t>
        </is>
      </c>
      <c r="I171" t="n">
        <v>5</v>
      </c>
      <c r="J171" s="3" t="n">
        <v>1576.25</v>
      </c>
      <c r="K171" s="3" t="n">
        <v>236.44</v>
      </c>
      <c r="L171" s="3" t="n">
        <v>1339.81</v>
      </c>
      <c r="M171" s="3" t="n">
        <v>837</v>
      </c>
      <c r="N171" s="3" t="n">
        <v>502.81</v>
      </c>
      <c r="O171">
        <f>TEXT(A171,"yyyy-mm")</f>
        <v/>
      </c>
    </row>
    <row r="172">
      <c r="A172" s="2" t="n">
        <v>45561</v>
      </c>
      <c r="B172" t="n">
        <v>2024</v>
      </c>
      <c r="C172" t="inlineStr">
        <is>
          <t>September</t>
        </is>
      </c>
      <c r="D172" t="inlineStr">
        <is>
          <t>Smart Puzzle</t>
        </is>
      </c>
      <c r="E172" t="inlineStr">
        <is>
          <t>Toys &amp; Games</t>
        </is>
      </c>
      <c r="F172" t="inlineStr">
        <is>
          <t>Clara Martin</t>
        </is>
      </c>
      <c r="G172" t="inlineStr">
        <is>
          <t>United States</t>
        </is>
      </c>
      <c r="H172" t="inlineStr">
        <is>
          <t>Mobile App</t>
        </is>
      </c>
      <c r="I172" t="n">
        <v>5</v>
      </c>
      <c r="J172" s="3" t="n">
        <v>1349.2</v>
      </c>
      <c r="K172" s="3" t="n">
        <v>0</v>
      </c>
      <c r="L172" s="3" t="n">
        <v>1349.2</v>
      </c>
      <c r="M172" s="3" t="n">
        <v>963.8</v>
      </c>
      <c r="N172" s="3" t="n">
        <v>385.4</v>
      </c>
      <c r="O172">
        <f>TEXT(A172,"yyyy-mm")</f>
        <v/>
      </c>
    </row>
    <row r="173">
      <c r="A173" s="2" t="n">
        <v>45561</v>
      </c>
      <c r="B173" t="n">
        <v>2024</v>
      </c>
      <c r="C173" t="inlineStr">
        <is>
          <t>September</t>
        </is>
      </c>
      <c r="D173" t="inlineStr">
        <is>
          <t>Smart Camera</t>
        </is>
      </c>
      <c r="E173" t="inlineStr">
        <is>
          <t>Electronics</t>
        </is>
      </c>
      <c r="F173" t="inlineStr">
        <is>
          <t>James Weber</t>
        </is>
      </c>
      <c r="G173" t="inlineStr">
        <is>
          <t>United States</t>
        </is>
      </c>
      <c r="H173" t="inlineStr">
        <is>
          <t>Retail Store</t>
        </is>
      </c>
      <c r="I173" t="n">
        <v>1</v>
      </c>
      <c r="J173" s="3" t="n">
        <v>323.01</v>
      </c>
      <c r="K173" s="3" t="n">
        <v>0</v>
      </c>
      <c r="L173" s="3" t="n">
        <v>323.01</v>
      </c>
      <c r="M173" s="3" t="n">
        <v>167.4</v>
      </c>
      <c r="N173" s="3" t="n">
        <v>155.61</v>
      </c>
      <c r="O173">
        <f>TEXT(A173,"yyyy-mm")</f>
        <v/>
      </c>
    </row>
    <row r="174">
      <c r="A174" s="2" t="n">
        <v>45561</v>
      </c>
      <c r="B174" t="n">
        <v>2024</v>
      </c>
      <c r="C174" t="inlineStr">
        <is>
          <t>September</t>
        </is>
      </c>
      <c r="D174" t="inlineStr">
        <is>
          <t>Smart Sweater</t>
        </is>
      </c>
      <c r="E174" t="inlineStr">
        <is>
          <t>Clothing</t>
        </is>
      </c>
      <c r="F174" t="inlineStr">
        <is>
          <t>James Weber</t>
        </is>
      </c>
      <c r="G174" t="inlineStr">
        <is>
          <t>United States</t>
        </is>
      </c>
      <c r="H174" t="inlineStr">
        <is>
          <t>Retail Store</t>
        </is>
      </c>
      <c r="I174" t="n">
        <v>5</v>
      </c>
      <c r="J174" s="3" t="n">
        <v>689.3</v>
      </c>
      <c r="K174" s="3" t="n">
        <v>0</v>
      </c>
      <c r="L174" s="3" t="n">
        <v>689.3</v>
      </c>
      <c r="M174" s="3" t="n">
        <v>386.75</v>
      </c>
      <c r="N174" s="3" t="n">
        <v>302.55</v>
      </c>
      <c r="O174">
        <f>TEXT(A174,"yyyy-mm")</f>
        <v/>
      </c>
    </row>
    <row r="175">
      <c r="A175" s="2" t="n">
        <v>45563</v>
      </c>
      <c r="B175" t="n">
        <v>2024</v>
      </c>
      <c r="C175" t="inlineStr">
        <is>
          <t>September</t>
        </is>
      </c>
      <c r="D175" t="inlineStr">
        <is>
          <t>Ultra Toolset</t>
        </is>
      </c>
      <c r="E175" t="inlineStr">
        <is>
          <t>Home &amp; Garden</t>
        </is>
      </c>
      <c r="F175" t="inlineStr">
        <is>
          <t>Anna Bianchi</t>
        </is>
      </c>
      <c r="G175" t="inlineStr">
        <is>
          <t>Italy</t>
        </is>
      </c>
      <c r="H175" t="inlineStr">
        <is>
          <t>Web Store</t>
        </is>
      </c>
      <c r="I175" t="n">
        <v>5</v>
      </c>
      <c r="J175" s="3" t="n">
        <v>1886.15</v>
      </c>
      <c r="K175" s="3" t="n">
        <v>0</v>
      </c>
      <c r="L175" s="3" t="n">
        <v>1886.15</v>
      </c>
      <c r="M175" s="3" t="n">
        <v>952</v>
      </c>
      <c r="N175" s="3" t="n">
        <v>934.15</v>
      </c>
      <c r="O175">
        <f>TEXT(A175,"yyyy-mm")</f>
        <v/>
      </c>
    </row>
    <row r="176">
      <c r="A176" s="2" t="n">
        <v>45563</v>
      </c>
      <c r="B176" t="n">
        <v>2024</v>
      </c>
      <c r="C176" t="inlineStr">
        <is>
          <t>September</t>
        </is>
      </c>
      <c r="D176" t="inlineStr">
        <is>
          <t>Essential Pasta</t>
        </is>
      </c>
      <c r="E176" t="inlineStr">
        <is>
          <t>Grocery</t>
        </is>
      </c>
      <c r="F176" t="inlineStr">
        <is>
          <t>Anna Bianchi</t>
        </is>
      </c>
      <c r="G176" t="inlineStr">
        <is>
          <t>Italy</t>
        </is>
      </c>
      <c r="H176" t="inlineStr">
        <is>
          <t>Web Store</t>
        </is>
      </c>
      <c r="I176" t="n">
        <v>3</v>
      </c>
      <c r="J176" s="3" t="n">
        <v>162.3</v>
      </c>
      <c r="K176" s="3" t="n">
        <v>0</v>
      </c>
      <c r="L176" s="3" t="n">
        <v>162.3</v>
      </c>
      <c r="M176" s="3" t="n">
        <v>107.43</v>
      </c>
      <c r="N176" s="3" t="n">
        <v>54.87</v>
      </c>
      <c r="O176">
        <f>TEXT(A176,"yyyy-mm")</f>
        <v/>
      </c>
    </row>
    <row r="177">
      <c r="A177" s="2" t="n">
        <v>45563</v>
      </c>
      <c r="B177" t="n">
        <v>2024</v>
      </c>
      <c r="C177" t="inlineStr">
        <is>
          <t>September</t>
        </is>
      </c>
      <c r="D177" t="inlineStr">
        <is>
          <t>Compact Jacket</t>
        </is>
      </c>
      <c r="E177" t="inlineStr">
        <is>
          <t>Clothing</t>
        </is>
      </c>
      <c r="F177" t="inlineStr">
        <is>
          <t>Anna Bianchi</t>
        </is>
      </c>
      <c r="G177" t="inlineStr">
        <is>
          <t>Italy</t>
        </is>
      </c>
      <c r="H177" t="inlineStr">
        <is>
          <t>Web Store</t>
        </is>
      </c>
      <c r="I177" t="n">
        <v>4</v>
      </c>
      <c r="J177" s="3" t="n">
        <v>153.64</v>
      </c>
      <c r="K177" s="3" t="n">
        <v>23.05</v>
      </c>
      <c r="L177" s="3" t="n">
        <v>130.59</v>
      </c>
      <c r="M177" s="3" t="n">
        <v>81.59999999999999</v>
      </c>
      <c r="N177" s="3" t="n">
        <v>48.99</v>
      </c>
      <c r="O177">
        <f>TEXT(A177,"yyyy-mm")</f>
        <v/>
      </c>
    </row>
    <row r="178">
      <c r="A178" s="2" t="n">
        <v>45563</v>
      </c>
      <c r="B178" t="n">
        <v>2024</v>
      </c>
      <c r="C178" t="inlineStr">
        <is>
          <t>September</t>
        </is>
      </c>
      <c r="D178" t="inlineStr">
        <is>
          <t>Compact Jacket</t>
        </is>
      </c>
      <c r="E178" t="inlineStr">
        <is>
          <t>Clothing</t>
        </is>
      </c>
      <c r="F178" t="inlineStr">
        <is>
          <t>David Nowak</t>
        </is>
      </c>
      <c r="G178" t="inlineStr">
        <is>
          <t>Spain</t>
        </is>
      </c>
      <c r="H178" t="inlineStr">
        <is>
          <t>Web Store</t>
        </is>
      </c>
      <c r="I178" t="n">
        <v>5</v>
      </c>
      <c r="J178" s="3" t="n">
        <v>182.5</v>
      </c>
      <c r="K178" s="3" t="n">
        <v>0</v>
      </c>
      <c r="L178" s="3" t="n">
        <v>182.5</v>
      </c>
      <c r="M178" s="3" t="n">
        <v>102</v>
      </c>
      <c r="N178" s="3" t="n">
        <v>80.5</v>
      </c>
      <c r="O178">
        <f>TEXT(A178,"yyyy-mm")</f>
        <v/>
      </c>
    </row>
    <row r="179">
      <c r="A179" s="2" t="n">
        <v>45563</v>
      </c>
      <c r="B179" t="n">
        <v>2024</v>
      </c>
      <c r="C179" t="inlineStr">
        <is>
          <t>September</t>
        </is>
      </c>
      <c r="D179" t="inlineStr">
        <is>
          <t>Portable Bike Helmet</t>
        </is>
      </c>
      <c r="E179" t="inlineStr">
        <is>
          <t>Sports &amp; Outdoors</t>
        </is>
      </c>
      <c r="F179" t="inlineStr">
        <is>
          <t>David Nowak</t>
        </is>
      </c>
      <c r="G179" t="inlineStr">
        <is>
          <t>Spain</t>
        </is>
      </c>
      <c r="H179" t="inlineStr">
        <is>
          <t>Web Store</t>
        </is>
      </c>
      <c r="I179" t="n">
        <v>5</v>
      </c>
      <c r="J179" s="3" t="n">
        <v>1617.35</v>
      </c>
      <c r="K179" s="3" t="n">
        <v>0</v>
      </c>
      <c r="L179" s="3" t="n">
        <v>1617.35</v>
      </c>
      <c r="M179" s="3" t="n">
        <v>826.85</v>
      </c>
      <c r="N179" s="3" t="n">
        <v>790.5</v>
      </c>
      <c r="O179">
        <f>TEXT(A179,"yyyy-mm")</f>
        <v/>
      </c>
    </row>
    <row r="180">
      <c r="A180" s="2" t="n">
        <v>45563</v>
      </c>
      <c r="B180" t="n">
        <v>2024</v>
      </c>
      <c r="C180" t="inlineStr">
        <is>
          <t>September</t>
        </is>
      </c>
      <c r="D180" t="inlineStr">
        <is>
          <t>Wireless Backpack</t>
        </is>
      </c>
      <c r="E180" t="inlineStr">
        <is>
          <t>Sports &amp; Outdoors</t>
        </is>
      </c>
      <c r="F180" t="inlineStr">
        <is>
          <t>Thomas Kowalski</t>
        </is>
      </c>
      <c r="G180" t="inlineStr">
        <is>
          <t>Poland</t>
        </is>
      </c>
      <c r="H180" t="inlineStr">
        <is>
          <t>Marketplace</t>
        </is>
      </c>
      <c r="I180" t="n">
        <v>2</v>
      </c>
      <c r="J180" s="3" t="n">
        <v>102.92</v>
      </c>
      <c r="K180" s="3" t="n">
        <v>0</v>
      </c>
      <c r="L180" s="3" t="n">
        <v>102.92</v>
      </c>
      <c r="M180" s="3" t="n">
        <v>56.2</v>
      </c>
      <c r="N180" s="3" t="n">
        <v>46.72</v>
      </c>
      <c r="O180">
        <f>TEXT(A180,"yyyy-mm")</f>
        <v/>
      </c>
    </row>
    <row r="181">
      <c r="A181" s="2" t="n">
        <v>45563</v>
      </c>
      <c r="B181" t="n">
        <v>2024</v>
      </c>
      <c r="C181" t="inlineStr">
        <is>
          <t>September</t>
        </is>
      </c>
      <c r="D181" t="inlineStr">
        <is>
          <t>Deluxe Notebook</t>
        </is>
      </c>
      <c r="E181" t="inlineStr">
        <is>
          <t>Books</t>
        </is>
      </c>
      <c r="F181" t="inlineStr">
        <is>
          <t>Thomas Kowalski</t>
        </is>
      </c>
      <c r="G181" t="inlineStr">
        <is>
          <t>Poland</t>
        </is>
      </c>
      <c r="H181" t="inlineStr">
        <is>
          <t>Marketplace</t>
        </is>
      </c>
      <c r="I181" t="n">
        <v>5</v>
      </c>
      <c r="J181" s="3" t="n">
        <v>1046.35</v>
      </c>
      <c r="K181" s="3" t="n">
        <v>104.64</v>
      </c>
      <c r="L181" s="3" t="n">
        <v>941.72</v>
      </c>
      <c r="M181" s="3" t="n">
        <v>753.8</v>
      </c>
      <c r="N181" s="3" t="n">
        <v>187.92</v>
      </c>
      <c r="O181">
        <f>TEXT(A181,"yyyy-mm")</f>
        <v/>
      </c>
    </row>
    <row r="182">
      <c r="A182" s="2" t="n">
        <v>45563</v>
      </c>
      <c r="B182" t="n">
        <v>2024</v>
      </c>
      <c r="C182" t="inlineStr">
        <is>
          <t>September</t>
        </is>
      </c>
      <c r="D182" t="inlineStr">
        <is>
          <t>Portable Toolset</t>
        </is>
      </c>
      <c r="E182" t="inlineStr">
        <is>
          <t>Home &amp; Garden</t>
        </is>
      </c>
      <c r="F182" t="inlineStr">
        <is>
          <t>Thomas Kowalski</t>
        </is>
      </c>
      <c r="G182" t="inlineStr">
        <is>
          <t>Poland</t>
        </is>
      </c>
      <c r="H182" t="inlineStr">
        <is>
          <t>Marketplace</t>
        </is>
      </c>
      <c r="I182" t="n">
        <v>5</v>
      </c>
      <c r="J182" s="3" t="n">
        <v>702.85</v>
      </c>
      <c r="K182" s="3" t="n">
        <v>0</v>
      </c>
      <c r="L182" s="3" t="n">
        <v>702.85</v>
      </c>
      <c r="M182" s="3" t="n">
        <v>464.25</v>
      </c>
      <c r="N182" s="3" t="n">
        <v>238.6</v>
      </c>
      <c r="O182">
        <f>TEXT(A182,"yyyy-mm")</f>
        <v/>
      </c>
    </row>
    <row r="183">
      <c r="A183" s="2" t="n">
        <v>45563</v>
      </c>
      <c r="B183" t="n">
        <v>2024</v>
      </c>
      <c r="C183" t="inlineStr">
        <is>
          <t>September</t>
        </is>
      </c>
      <c r="D183" t="inlineStr">
        <is>
          <t>Wireless Drone</t>
        </is>
      </c>
      <c r="E183" t="inlineStr">
        <is>
          <t>Toys &amp; Games</t>
        </is>
      </c>
      <c r="F183" t="inlineStr">
        <is>
          <t>James Nowak</t>
        </is>
      </c>
      <c r="G183" t="inlineStr">
        <is>
          <t>France</t>
        </is>
      </c>
      <c r="H183" t="inlineStr">
        <is>
          <t>Web Store</t>
        </is>
      </c>
      <c r="I183" t="n">
        <v>4</v>
      </c>
      <c r="J183" s="3" t="n">
        <v>899</v>
      </c>
      <c r="K183" s="3" t="n">
        <v>134.85</v>
      </c>
      <c r="L183" s="3" t="n">
        <v>764.15</v>
      </c>
      <c r="M183" s="3" t="n">
        <v>525.16</v>
      </c>
      <c r="N183" s="3" t="n">
        <v>238.99</v>
      </c>
      <c r="O183">
        <f>TEXT(A183,"yyyy-mm")</f>
        <v/>
      </c>
    </row>
    <row r="184">
      <c r="A184" s="2" t="n">
        <v>45563</v>
      </c>
      <c r="B184" t="n">
        <v>2024</v>
      </c>
      <c r="C184" t="inlineStr">
        <is>
          <t>September</t>
        </is>
      </c>
      <c r="D184" t="inlineStr">
        <is>
          <t>Wireless Coffee Beans</t>
        </is>
      </c>
      <c r="E184" t="inlineStr">
        <is>
          <t>Grocery</t>
        </is>
      </c>
      <c r="F184" t="inlineStr">
        <is>
          <t>James Nowak</t>
        </is>
      </c>
      <c r="G184" t="inlineStr">
        <is>
          <t>France</t>
        </is>
      </c>
      <c r="H184" t="inlineStr">
        <is>
          <t>Web Store</t>
        </is>
      </c>
      <c r="I184" t="n">
        <v>1</v>
      </c>
      <c r="J184" s="3" t="n">
        <v>216.92</v>
      </c>
      <c r="K184" s="3" t="n">
        <v>0</v>
      </c>
      <c r="L184" s="3" t="n">
        <v>216.92</v>
      </c>
      <c r="M184" s="3" t="n">
        <v>130.13</v>
      </c>
      <c r="N184" s="3" t="n">
        <v>86.79000000000001</v>
      </c>
      <c r="O184">
        <f>TEXT(A184,"yyyy-mm")</f>
        <v/>
      </c>
    </row>
    <row r="185">
      <c r="A185" s="2" t="n">
        <v>45564</v>
      </c>
      <c r="B185" t="n">
        <v>2024</v>
      </c>
      <c r="C185" t="inlineStr">
        <is>
          <t>September</t>
        </is>
      </c>
      <c r="D185" t="inlineStr">
        <is>
          <t>Premium Cookbook</t>
        </is>
      </c>
      <c r="E185" t="inlineStr">
        <is>
          <t>Books</t>
        </is>
      </c>
      <c r="F185" t="inlineStr">
        <is>
          <t>Julia Nowak</t>
        </is>
      </c>
      <c r="G185" t="inlineStr">
        <is>
          <t>Poland</t>
        </is>
      </c>
      <c r="H185" t="inlineStr">
        <is>
          <t>Marketplace</t>
        </is>
      </c>
      <c r="I185" t="n">
        <v>3</v>
      </c>
      <c r="J185" s="3" t="n">
        <v>373.44</v>
      </c>
      <c r="K185" s="3" t="n">
        <v>0</v>
      </c>
      <c r="L185" s="3" t="n">
        <v>373.44</v>
      </c>
      <c r="M185" s="3" t="n">
        <v>284.94</v>
      </c>
      <c r="N185" s="3" t="n">
        <v>88.5</v>
      </c>
      <c r="O185">
        <f>TEXT(A185,"yyyy-mm")</f>
        <v/>
      </c>
    </row>
    <row r="186">
      <c r="A186" s="2" t="n">
        <v>45564</v>
      </c>
      <c r="B186" t="n">
        <v>2024</v>
      </c>
      <c r="C186" t="inlineStr">
        <is>
          <t>September</t>
        </is>
      </c>
      <c r="D186" t="inlineStr">
        <is>
          <t>Portable Notebook</t>
        </is>
      </c>
      <c r="E186" t="inlineStr">
        <is>
          <t>Books</t>
        </is>
      </c>
      <c r="F186" t="inlineStr">
        <is>
          <t>Julia Nowak</t>
        </is>
      </c>
      <c r="G186" t="inlineStr">
        <is>
          <t>Poland</t>
        </is>
      </c>
      <c r="H186" t="inlineStr">
        <is>
          <t>Marketplace</t>
        </is>
      </c>
      <c r="I186" t="n">
        <v>4</v>
      </c>
      <c r="J186" s="3" t="n">
        <v>526</v>
      </c>
      <c r="K186" s="3" t="n">
        <v>26.3</v>
      </c>
      <c r="L186" s="3" t="n">
        <v>499.7</v>
      </c>
      <c r="M186" s="3" t="n">
        <v>285.12</v>
      </c>
      <c r="N186" s="3" t="n">
        <v>214.58</v>
      </c>
      <c r="O186">
        <f>TEXT(A186,"yyyy-mm")</f>
        <v/>
      </c>
    </row>
    <row r="187">
      <c r="A187" s="2" t="n">
        <v>45564</v>
      </c>
      <c r="B187" t="n">
        <v>2024</v>
      </c>
      <c r="C187" t="inlineStr">
        <is>
          <t>September</t>
        </is>
      </c>
      <c r="D187" t="inlineStr">
        <is>
          <t>Smart Camera</t>
        </is>
      </c>
      <c r="E187" t="inlineStr">
        <is>
          <t>Electronics</t>
        </is>
      </c>
      <c r="F187" t="inlineStr">
        <is>
          <t>James Nowak</t>
        </is>
      </c>
      <c r="G187" t="inlineStr">
        <is>
          <t>France</t>
        </is>
      </c>
      <c r="H187" t="inlineStr">
        <is>
          <t>Marketplace</t>
        </is>
      </c>
      <c r="I187" t="n">
        <v>3</v>
      </c>
      <c r="J187" s="3" t="n">
        <v>929.91</v>
      </c>
      <c r="K187" s="3" t="n">
        <v>0</v>
      </c>
      <c r="L187" s="3" t="n">
        <v>929.91</v>
      </c>
      <c r="M187" s="3" t="n">
        <v>502.2</v>
      </c>
      <c r="N187" s="3" t="n">
        <v>427.71</v>
      </c>
      <c r="O187">
        <f>TEXT(A187,"yyyy-mm")</f>
        <v/>
      </c>
    </row>
    <row r="188">
      <c r="A188" s="2" t="n">
        <v>45564</v>
      </c>
      <c r="B188" t="n">
        <v>2024</v>
      </c>
      <c r="C188" t="inlineStr">
        <is>
          <t>September</t>
        </is>
      </c>
      <c r="D188" t="inlineStr">
        <is>
          <t>Compact Biography</t>
        </is>
      </c>
      <c r="E188" t="inlineStr">
        <is>
          <t>Books</t>
        </is>
      </c>
      <c r="F188" t="inlineStr">
        <is>
          <t>James Nowak</t>
        </is>
      </c>
      <c r="G188" t="inlineStr">
        <is>
          <t>France</t>
        </is>
      </c>
      <c r="H188" t="inlineStr">
        <is>
          <t>Marketplace</t>
        </is>
      </c>
      <c r="I188" t="n">
        <v>4</v>
      </c>
      <c r="J188" s="3" t="n">
        <v>1036.6</v>
      </c>
      <c r="K188" s="3" t="n">
        <v>0</v>
      </c>
      <c r="L188" s="3" t="n">
        <v>1036.6</v>
      </c>
      <c r="M188" s="3" t="n">
        <v>561.3200000000001</v>
      </c>
      <c r="N188" s="3" t="n">
        <v>475.28</v>
      </c>
      <c r="O188">
        <f>TEXT(A188,"yyyy-mm")</f>
        <v/>
      </c>
    </row>
    <row r="189">
      <c r="A189" s="2" t="n">
        <v>45565</v>
      </c>
      <c r="B189" t="n">
        <v>2024</v>
      </c>
      <c r="C189" t="inlineStr">
        <is>
          <t>September</t>
        </is>
      </c>
      <c r="D189" t="inlineStr">
        <is>
          <t>Classic Bike Helmet</t>
        </is>
      </c>
      <c r="E189" t="inlineStr">
        <is>
          <t>Sports &amp; Outdoors</t>
        </is>
      </c>
      <c r="F189" t="inlineStr">
        <is>
          <t>Anna Martin</t>
        </is>
      </c>
      <c r="G189" t="inlineStr">
        <is>
          <t>France</t>
        </is>
      </c>
      <c r="H189" t="inlineStr">
        <is>
          <t>Marketplace</t>
        </is>
      </c>
      <c r="I189" t="n">
        <v>3</v>
      </c>
      <c r="J189" s="3" t="n">
        <v>638.55</v>
      </c>
      <c r="K189" s="3" t="n">
        <v>95.78</v>
      </c>
      <c r="L189" s="3" t="n">
        <v>542.77</v>
      </c>
      <c r="M189" s="3" t="n">
        <v>461.43</v>
      </c>
      <c r="N189" s="3" t="n">
        <v>81.34</v>
      </c>
      <c r="O189">
        <f>TEXT(A189,"yyyy-mm")</f>
        <v/>
      </c>
    </row>
    <row r="190">
      <c r="A190" s="2" t="n">
        <v>45566</v>
      </c>
      <c r="B190" t="n">
        <v>2024</v>
      </c>
      <c r="C190" t="inlineStr">
        <is>
          <t>October</t>
        </is>
      </c>
      <c r="D190" t="inlineStr">
        <is>
          <t>Essential Charger</t>
        </is>
      </c>
      <c r="E190" t="inlineStr">
        <is>
          <t>Electronics</t>
        </is>
      </c>
      <c r="F190" t="inlineStr">
        <is>
          <t>Thomas Muller</t>
        </is>
      </c>
      <c r="G190" t="inlineStr">
        <is>
          <t>Italy</t>
        </is>
      </c>
      <c r="H190" t="inlineStr">
        <is>
          <t>Mobile App</t>
        </is>
      </c>
      <c r="I190" t="n">
        <v>4</v>
      </c>
      <c r="J190" s="3" t="n">
        <v>178.72</v>
      </c>
      <c r="K190" s="3" t="n">
        <v>0</v>
      </c>
      <c r="L190" s="3" t="n">
        <v>178.72</v>
      </c>
      <c r="M190" s="3" t="n">
        <v>116.4</v>
      </c>
      <c r="N190" s="3" t="n">
        <v>62.32</v>
      </c>
      <c r="O190">
        <f>TEXT(A190,"yyyy-mm")</f>
        <v/>
      </c>
    </row>
    <row r="191">
      <c r="A191" s="2" t="n">
        <v>45566</v>
      </c>
      <c r="B191" t="n">
        <v>2024</v>
      </c>
      <c r="C191" t="inlineStr">
        <is>
          <t>October</t>
        </is>
      </c>
      <c r="D191" t="inlineStr">
        <is>
          <t>Deluxe Smartwatch</t>
        </is>
      </c>
      <c r="E191" t="inlineStr">
        <is>
          <t>Electronics</t>
        </is>
      </c>
      <c r="F191" t="inlineStr">
        <is>
          <t>Thomas Muller</t>
        </is>
      </c>
      <c r="G191" t="inlineStr">
        <is>
          <t>Italy</t>
        </is>
      </c>
      <c r="H191" t="inlineStr">
        <is>
          <t>Mobile App</t>
        </is>
      </c>
      <c r="I191" t="n">
        <v>4</v>
      </c>
      <c r="J191" s="3" t="n">
        <v>626.3200000000001</v>
      </c>
      <c r="K191" s="3" t="n">
        <v>93.95</v>
      </c>
      <c r="L191" s="3" t="n">
        <v>532.37</v>
      </c>
      <c r="M191" s="3" t="n">
        <v>490.88</v>
      </c>
      <c r="N191" s="3" t="n">
        <v>41.49</v>
      </c>
      <c r="O191">
        <f>TEXT(A191,"yyyy-mm")</f>
        <v/>
      </c>
    </row>
    <row r="192">
      <c r="A192" s="2" t="n">
        <v>45566</v>
      </c>
      <c r="B192" t="n">
        <v>2024</v>
      </c>
      <c r="C192" t="inlineStr">
        <is>
          <t>October</t>
        </is>
      </c>
      <c r="D192" t="inlineStr">
        <is>
          <t>Premium Tent</t>
        </is>
      </c>
      <c r="E192" t="inlineStr">
        <is>
          <t>Sports &amp; Outdoors</t>
        </is>
      </c>
      <c r="F192" t="inlineStr">
        <is>
          <t>Thomas Muller</t>
        </is>
      </c>
      <c r="G192" t="inlineStr">
        <is>
          <t>Italy</t>
        </is>
      </c>
      <c r="H192" t="inlineStr">
        <is>
          <t>Mobile App</t>
        </is>
      </c>
      <c r="I192" t="n">
        <v>3</v>
      </c>
      <c r="J192" s="3" t="n">
        <v>752.61</v>
      </c>
      <c r="K192" s="3" t="n">
        <v>0</v>
      </c>
      <c r="L192" s="3" t="n">
        <v>752.61</v>
      </c>
      <c r="M192" s="3" t="n">
        <v>417.12</v>
      </c>
      <c r="N192" s="3" t="n">
        <v>335.49</v>
      </c>
      <c r="O192">
        <f>TEXT(A192,"yyyy-mm")</f>
        <v/>
      </c>
    </row>
    <row r="193">
      <c r="A193" s="2" t="n">
        <v>45566</v>
      </c>
      <c r="B193" t="n">
        <v>2024</v>
      </c>
      <c r="C193" t="inlineStr">
        <is>
          <t>October</t>
        </is>
      </c>
      <c r="D193" t="inlineStr">
        <is>
          <t>Essential Toolset</t>
        </is>
      </c>
      <c r="E193" t="inlineStr">
        <is>
          <t>Home &amp; Garden</t>
        </is>
      </c>
      <c r="F193" t="inlineStr">
        <is>
          <t>Thomas Muller</t>
        </is>
      </c>
      <c r="G193" t="inlineStr">
        <is>
          <t>Italy</t>
        </is>
      </c>
      <c r="H193" t="inlineStr">
        <is>
          <t>Mobile App</t>
        </is>
      </c>
      <c r="I193" t="n">
        <v>3</v>
      </c>
      <c r="J193" s="3" t="n">
        <v>607.08</v>
      </c>
      <c r="K193" s="3" t="n">
        <v>0</v>
      </c>
      <c r="L193" s="3" t="n">
        <v>607.08</v>
      </c>
      <c r="M193" s="3" t="n">
        <v>451.59</v>
      </c>
      <c r="N193" s="3" t="n">
        <v>155.49</v>
      </c>
      <c r="O193">
        <f>TEXT(A193,"yyyy-mm")</f>
        <v/>
      </c>
    </row>
    <row r="194">
      <c r="A194" s="2" t="n">
        <v>45566</v>
      </c>
      <c r="B194" t="n">
        <v>2024</v>
      </c>
      <c r="C194" t="inlineStr">
        <is>
          <t>October</t>
        </is>
      </c>
      <c r="D194" t="inlineStr">
        <is>
          <t>Essential Jacket</t>
        </is>
      </c>
      <c r="E194" t="inlineStr">
        <is>
          <t>Clothing</t>
        </is>
      </c>
      <c r="F194" t="inlineStr">
        <is>
          <t>Thomas Lopez</t>
        </is>
      </c>
      <c r="G194" t="inlineStr">
        <is>
          <t>United States</t>
        </is>
      </c>
      <c r="H194" t="inlineStr">
        <is>
          <t>Marketplace</t>
        </is>
      </c>
      <c r="I194" t="n">
        <v>5</v>
      </c>
      <c r="J194" s="3" t="n">
        <v>762.6</v>
      </c>
      <c r="K194" s="3" t="n">
        <v>0</v>
      </c>
      <c r="L194" s="3" t="n">
        <v>762.6</v>
      </c>
      <c r="M194" s="3" t="n">
        <v>426.75</v>
      </c>
      <c r="N194" s="3" t="n">
        <v>335.85</v>
      </c>
      <c r="O194">
        <f>TEXT(A194,"yyyy-mm")</f>
        <v/>
      </c>
    </row>
    <row r="195">
      <c r="A195" s="2" t="n">
        <v>45566</v>
      </c>
      <c r="B195" t="n">
        <v>2024</v>
      </c>
      <c r="C195" t="inlineStr">
        <is>
          <t>October</t>
        </is>
      </c>
      <c r="D195" t="inlineStr">
        <is>
          <t>Classic Charger</t>
        </is>
      </c>
      <c r="E195" t="inlineStr">
        <is>
          <t>Electronics</t>
        </is>
      </c>
      <c r="F195" t="inlineStr">
        <is>
          <t>Thomas Lopez</t>
        </is>
      </c>
      <c r="G195" t="inlineStr">
        <is>
          <t>United States</t>
        </is>
      </c>
      <c r="H195" t="inlineStr">
        <is>
          <t>Marketplace</t>
        </is>
      </c>
      <c r="I195" t="n">
        <v>1</v>
      </c>
      <c r="J195" s="3" t="n">
        <v>92.70999999999999</v>
      </c>
      <c r="K195" s="3" t="n">
        <v>0</v>
      </c>
      <c r="L195" s="3" t="n">
        <v>92.70999999999999</v>
      </c>
      <c r="M195" s="3" t="n">
        <v>62.21</v>
      </c>
      <c r="N195" s="3" t="n">
        <v>30.5</v>
      </c>
      <c r="O195">
        <f>TEXT(A195,"yyyy-mm")</f>
        <v/>
      </c>
    </row>
    <row r="196">
      <c r="A196" s="2" t="n">
        <v>45566</v>
      </c>
      <c r="B196" t="n">
        <v>2024</v>
      </c>
      <c r="C196" t="inlineStr">
        <is>
          <t>October</t>
        </is>
      </c>
      <c r="D196" t="inlineStr">
        <is>
          <t>Essential Notebook</t>
        </is>
      </c>
      <c r="E196" t="inlineStr">
        <is>
          <t>Books</t>
        </is>
      </c>
      <c r="F196" t="inlineStr">
        <is>
          <t>Thomas Lopez</t>
        </is>
      </c>
      <c r="G196" t="inlineStr">
        <is>
          <t>United States</t>
        </is>
      </c>
      <c r="H196" t="inlineStr">
        <is>
          <t>Marketplace</t>
        </is>
      </c>
      <c r="I196" t="n">
        <v>3</v>
      </c>
      <c r="J196" s="3" t="n">
        <v>369.36</v>
      </c>
      <c r="K196" s="3" t="n">
        <v>18.47</v>
      </c>
      <c r="L196" s="3" t="n">
        <v>350.89</v>
      </c>
      <c r="M196" s="3" t="n">
        <v>237.3</v>
      </c>
      <c r="N196" s="3" t="n">
        <v>113.59</v>
      </c>
      <c r="O196">
        <f>TEXT(A196,"yyyy-mm")</f>
        <v/>
      </c>
    </row>
    <row r="197">
      <c r="A197" s="2" t="n">
        <v>45566</v>
      </c>
      <c r="B197" t="n">
        <v>2024</v>
      </c>
      <c r="C197" t="inlineStr">
        <is>
          <t>October</t>
        </is>
      </c>
      <c r="D197" t="inlineStr">
        <is>
          <t>Premium Water Bottle</t>
        </is>
      </c>
      <c r="E197" t="inlineStr">
        <is>
          <t>Sports &amp; Outdoors</t>
        </is>
      </c>
      <c r="F197" t="inlineStr">
        <is>
          <t>Thomas Lopez</t>
        </is>
      </c>
      <c r="G197" t="inlineStr">
        <is>
          <t>United States</t>
        </is>
      </c>
      <c r="H197" t="inlineStr">
        <is>
          <t>Marketplace</t>
        </is>
      </c>
      <c r="I197" t="n">
        <v>5</v>
      </c>
      <c r="J197" s="3" t="n">
        <v>152.95</v>
      </c>
      <c r="K197" s="3" t="n">
        <v>0</v>
      </c>
      <c r="L197" s="3" t="n">
        <v>152.95</v>
      </c>
      <c r="M197" s="3" t="n">
        <v>83.15000000000001</v>
      </c>
      <c r="N197" s="3" t="n">
        <v>69.8</v>
      </c>
      <c r="O197">
        <f>TEXT(A197,"yyyy-mm")</f>
        <v/>
      </c>
    </row>
    <row r="198">
      <c r="A198" s="2" t="n">
        <v>45567</v>
      </c>
      <c r="B198" t="n">
        <v>2024</v>
      </c>
      <c r="C198" t="inlineStr">
        <is>
          <t>October</t>
        </is>
      </c>
      <c r="D198" t="inlineStr">
        <is>
          <t>Deluxe Toolset</t>
        </is>
      </c>
      <c r="E198" t="inlineStr">
        <is>
          <t>Home &amp; Garden</t>
        </is>
      </c>
      <c r="F198" t="inlineStr">
        <is>
          <t>Sophie Martin</t>
        </is>
      </c>
      <c r="G198" t="inlineStr">
        <is>
          <t>Italy</t>
        </is>
      </c>
      <c r="H198" t="inlineStr">
        <is>
          <t>Retail Store</t>
        </is>
      </c>
      <c r="I198" t="n">
        <v>3</v>
      </c>
      <c r="J198" s="3" t="n">
        <v>203.49</v>
      </c>
      <c r="K198" s="3" t="n">
        <v>10.17</v>
      </c>
      <c r="L198" s="3" t="n">
        <v>193.32</v>
      </c>
      <c r="M198" s="3" t="n">
        <v>143.13</v>
      </c>
      <c r="N198" s="3" t="n">
        <v>50.19</v>
      </c>
      <c r="O198">
        <f>TEXT(A198,"yyyy-mm")</f>
        <v/>
      </c>
    </row>
    <row r="199">
      <c r="A199" s="2" t="n">
        <v>45567</v>
      </c>
      <c r="B199" t="n">
        <v>2024</v>
      </c>
      <c r="C199" t="inlineStr">
        <is>
          <t>October</t>
        </is>
      </c>
      <c r="D199" t="inlineStr">
        <is>
          <t>Smart Jeans</t>
        </is>
      </c>
      <c r="E199" t="inlineStr">
        <is>
          <t>Clothing</t>
        </is>
      </c>
      <c r="F199" t="inlineStr">
        <is>
          <t>Sophie Martin</t>
        </is>
      </c>
      <c r="G199" t="inlineStr">
        <is>
          <t>Italy</t>
        </is>
      </c>
      <c r="H199" t="inlineStr">
        <is>
          <t>Retail Store</t>
        </is>
      </c>
      <c r="I199" t="n">
        <v>4</v>
      </c>
      <c r="J199" s="3" t="n">
        <v>1108.12</v>
      </c>
      <c r="K199" s="3" t="n">
        <v>110.81</v>
      </c>
      <c r="L199" s="3" t="n">
        <v>997.3099999999999</v>
      </c>
      <c r="M199" s="3" t="n">
        <v>774.5599999999999</v>
      </c>
      <c r="N199" s="3" t="n">
        <v>222.75</v>
      </c>
      <c r="O199">
        <f>TEXT(A199,"yyyy-mm")</f>
        <v/>
      </c>
    </row>
    <row r="200">
      <c r="A200" s="2" t="n">
        <v>45567</v>
      </c>
      <c r="B200" t="n">
        <v>2024</v>
      </c>
      <c r="C200" t="inlineStr">
        <is>
          <t>October</t>
        </is>
      </c>
      <c r="D200" t="inlineStr">
        <is>
          <t>Wireless Honey</t>
        </is>
      </c>
      <c r="E200" t="inlineStr">
        <is>
          <t>Grocery</t>
        </is>
      </c>
      <c r="F200" t="inlineStr">
        <is>
          <t>Sophie Martin</t>
        </is>
      </c>
      <c r="G200" t="inlineStr">
        <is>
          <t>Italy</t>
        </is>
      </c>
      <c r="H200" t="inlineStr">
        <is>
          <t>Retail Store</t>
        </is>
      </c>
      <c r="I200" t="n">
        <v>4</v>
      </c>
      <c r="J200" s="3" t="n">
        <v>500.2</v>
      </c>
      <c r="K200" s="3" t="n">
        <v>50.02</v>
      </c>
      <c r="L200" s="3" t="n">
        <v>450.18</v>
      </c>
      <c r="M200" s="3" t="n">
        <v>376.28</v>
      </c>
      <c r="N200" s="3" t="n">
        <v>73.90000000000001</v>
      </c>
      <c r="O200">
        <f>TEXT(A200,"yyyy-mm")</f>
        <v/>
      </c>
    </row>
    <row r="201">
      <c r="A201" s="2" t="n">
        <v>45567</v>
      </c>
      <c r="B201" t="n">
        <v>2024</v>
      </c>
      <c r="C201" t="inlineStr">
        <is>
          <t>October</t>
        </is>
      </c>
      <c r="D201" t="inlineStr">
        <is>
          <t>Eco Tent</t>
        </is>
      </c>
      <c r="E201" t="inlineStr">
        <is>
          <t>Sports &amp; Outdoors</t>
        </is>
      </c>
      <c r="F201" t="inlineStr">
        <is>
          <t>Mark Moreau</t>
        </is>
      </c>
      <c r="G201" t="inlineStr">
        <is>
          <t>Italy</t>
        </is>
      </c>
      <c r="H201" t="inlineStr">
        <is>
          <t>Mobile App</t>
        </is>
      </c>
      <c r="I201" t="n">
        <v>5</v>
      </c>
      <c r="J201" s="3" t="n">
        <v>319.35</v>
      </c>
      <c r="K201" s="3" t="n">
        <v>0</v>
      </c>
      <c r="L201" s="3" t="n">
        <v>319.35</v>
      </c>
      <c r="M201" s="3" t="n">
        <v>219.25</v>
      </c>
      <c r="N201" s="3" t="n">
        <v>100.1</v>
      </c>
      <c r="O201">
        <f>TEXT(A201,"yyyy-mm")</f>
        <v/>
      </c>
    </row>
    <row r="202">
      <c r="A202" s="2" t="n">
        <v>45567</v>
      </c>
      <c r="B202" t="n">
        <v>2024</v>
      </c>
      <c r="C202" t="inlineStr">
        <is>
          <t>October</t>
        </is>
      </c>
      <c r="D202" t="inlineStr">
        <is>
          <t>Compact Sunscreen</t>
        </is>
      </c>
      <c r="E202" t="inlineStr">
        <is>
          <t>Beauty &amp; Health</t>
        </is>
      </c>
      <c r="F202" t="inlineStr">
        <is>
          <t>Mark Moreau</t>
        </is>
      </c>
      <c r="G202" t="inlineStr">
        <is>
          <t>Italy</t>
        </is>
      </c>
      <c r="H202" t="inlineStr">
        <is>
          <t>Mobile App</t>
        </is>
      </c>
      <c r="I202" t="n">
        <v>2</v>
      </c>
      <c r="J202" s="3" t="n">
        <v>612.28</v>
      </c>
      <c r="K202" s="3" t="n">
        <v>0</v>
      </c>
      <c r="L202" s="3" t="n">
        <v>612.28</v>
      </c>
      <c r="M202" s="3" t="n">
        <v>355.32</v>
      </c>
      <c r="N202" s="3" t="n">
        <v>256.96</v>
      </c>
      <c r="O202">
        <f>TEXT(A202,"yyyy-mm")</f>
        <v/>
      </c>
    </row>
    <row r="203">
      <c r="A203" s="2" t="n">
        <v>45567</v>
      </c>
      <c r="B203" t="n">
        <v>2024</v>
      </c>
      <c r="C203" t="inlineStr">
        <is>
          <t>October</t>
        </is>
      </c>
      <c r="D203" t="inlineStr">
        <is>
          <t>Deluxe Puzzle</t>
        </is>
      </c>
      <c r="E203" t="inlineStr">
        <is>
          <t>Toys &amp; Games</t>
        </is>
      </c>
      <c r="F203" t="inlineStr">
        <is>
          <t>Thomas Lopez</t>
        </is>
      </c>
      <c r="G203" t="inlineStr">
        <is>
          <t>Spain</t>
        </is>
      </c>
      <c r="H203" t="inlineStr">
        <is>
          <t>Marketplace</t>
        </is>
      </c>
      <c r="I203" t="n">
        <v>2</v>
      </c>
      <c r="J203" s="3" t="n">
        <v>439.32</v>
      </c>
      <c r="K203" s="3" t="n">
        <v>0</v>
      </c>
      <c r="L203" s="3" t="n">
        <v>439.32</v>
      </c>
      <c r="M203" s="3" t="n">
        <v>222.34</v>
      </c>
      <c r="N203" s="3" t="n">
        <v>216.98</v>
      </c>
      <c r="O203">
        <f>TEXT(A203,"yyyy-mm")</f>
        <v/>
      </c>
    </row>
    <row r="204">
      <c r="A204" s="2" t="n">
        <v>45567</v>
      </c>
      <c r="B204" t="n">
        <v>2024</v>
      </c>
      <c r="C204" t="inlineStr">
        <is>
          <t>October</t>
        </is>
      </c>
      <c r="D204" t="inlineStr">
        <is>
          <t>Wireless Drone</t>
        </is>
      </c>
      <c r="E204" t="inlineStr">
        <is>
          <t>Toys &amp; Games</t>
        </is>
      </c>
      <c r="F204" t="inlineStr">
        <is>
          <t>Thomas Lopez</t>
        </is>
      </c>
      <c r="G204" t="inlineStr">
        <is>
          <t>Spain</t>
        </is>
      </c>
      <c r="H204" t="inlineStr">
        <is>
          <t>Marketplace</t>
        </is>
      </c>
      <c r="I204" t="n">
        <v>2</v>
      </c>
      <c r="J204" s="3" t="n">
        <v>461.66</v>
      </c>
      <c r="K204" s="3" t="n">
        <v>0</v>
      </c>
      <c r="L204" s="3" t="n">
        <v>461.66</v>
      </c>
      <c r="M204" s="3" t="n">
        <v>262.58</v>
      </c>
      <c r="N204" s="3" t="n">
        <v>199.08</v>
      </c>
      <c r="O204">
        <f>TEXT(A204,"yyyy-mm")</f>
        <v/>
      </c>
    </row>
    <row r="205">
      <c r="A205" s="2" t="n">
        <v>45567</v>
      </c>
      <c r="B205" t="n">
        <v>2024</v>
      </c>
      <c r="C205" t="inlineStr">
        <is>
          <t>October</t>
        </is>
      </c>
      <c r="D205" t="inlineStr">
        <is>
          <t>Smart Face Cream</t>
        </is>
      </c>
      <c r="E205" t="inlineStr">
        <is>
          <t>Beauty &amp; Health</t>
        </is>
      </c>
      <c r="F205" t="inlineStr">
        <is>
          <t>Peter Garcia</t>
        </is>
      </c>
      <c r="G205" t="inlineStr">
        <is>
          <t>Poland</t>
        </is>
      </c>
      <c r="H205" t="inlineStr">
        <is>
          <t>Web Store</t>
        </is>
      </c>
      <c r="I205" t="n">
        <v>1</v>
      </c>
      <c r="J205" s="3" t="n">
        <v>272.97</v>
      </c>
      <c r="K205" s="3" t="n">
        <v>0</v>
      </c>
      <c r="L205" s="3" t="n">
        <v>272.97</v>
      </c>
      <c r="M205" s="3" t="n">
        <v>193.14</v>
      </c>
      <c r="N205" s="3" t="n">
        <v>79.83</v>
      </c>
      <c r="O205">
        <f>TEXT(A205,"yyyy-mm")</f>
        <v/>
      </c>
    </row>
    <row r="206">
      <c r="A206" s="2" t="n">
        <v>45567</v>
      </c>
      <c r="B206" t="n">
        <v>2024</v>
      </c>
      <c r="C206" t="inlineStr">
        <is>
          <t>October</t>
        </is>
      </c>
      <c r="D206" t="inlineStr">
        <is>
          <t>Smart Sweater</t>
        </is>
      </c>
      <c r="E206" t="inlineStr">
        <is>
          <t>Clothing</t>
        </is>
      </c>
      <c r="F206" t="inlineStr">
        <is>
          <t>Thomas Lopez</t>
        </is>
      </c>
      <c r="G206" t="inlineStr">
        <is>
          <t>United States</t>
        </is>
      </c>
      <c r="H206" t="inlineStr">
        <is>
          <t>Marketplace</t>
        </is>
      </c>
      <c r="I206" t="n">
        <v>4</v>
      </c>
      <c r="J206" s="3" t="n">
        <v>581.04</v>
      </c>
      <c r="K206" s="3" t="n">
        <v>0</v>
      </c>
      <c r="L206" s="3" t="n">
        <v>581.04</v>
      </c>
      <c r="M206" s="3" t="n">
        <v>309.4</v>
      </c>
      <c r="N206" s="3" t="n">
        <v>271.64</v>
      </c>
      <c r="O206">
        <f>TEXT(A206,"yyyy-mm")</f>
        <v/>
      </c>
    </row>
    <row r="207">
      <c r="A207" s="2" t="n">
        <v>45567</v>
      </c>
      <c r="B207" t="n">
        <v>2024</v>
      </c>
      <c r="C207" t="inlineStr">
        <is>
          <t>October</t>
        </is>
      </c>
      <c r="D207" t="inlineStr">
        <is>
          <t>Classic Yoga Mat</t>
        </is>
      </c>
      <c r="E207" t="inlineStr">
        <is>
          <t>Sports &amp; Outdoors</t>
        </is>
      </c>
      <c r="F207" t="inlineStr">
        <is>
          <t>Thomas Lopez</t>
        </is>
      </c>
      <c r="G207" t="inlineStr">
        <is>
          <t>United States</t>
        </is>
      </c>
      <c r="H207" t="inlineStr">
        <is>
          <t>Marketplace</t>
        </is>
      </c>
      <c r="I207" t="n">
        <v>2</v>
      </c>
      <c r="J207" s="3" t="n">
        <v>633.02</v>
      </c>
      <c r="K207" s="3" t="n">
        <v>94.95</v>
      </c>
      <c r="L207" s="3" t="n">
        <v>538.0700000000001</v>
      </c>
      <c r="M207" s="3" t="n">
        <v>391.4</v>
      </c>
      <c r="N207" s="3" t="n">
        <v>146.67</v>
      </c>
      <c r="O207">
        <f>TEXT(A207,"yyyy-mm")</f>
        <v/>
      </c>
    </row>
    <row r="208">
      <c r="A208" s="2" t="n">
        <v>45567</v>
      </c>
      <c r="B208" t="n">
        <v>2024</v>
      </c>
      <c r="C208" t="inlineStr">
        <is>
          <t>October</t>
        </is>
      </c>
      <c r="D208" t="inlineStr">
        <is>
          <t>Smart Charger</t>
        </is>
      </c>
      <c r="E208" t="inlineStr">
        <is>
          <t>Electronics</t>
        </is>
      </c>
      <c r="F208" t="inlineStr">
        <is>
          <t>Thomas Lopez</t>
        </is>
      </c>
      <c r="G208" t="inlineStr">
        <is>
          <t>United States</t>
        </is>
      </c>
      <c r="H208" t="inlineStr">
        <is>
          <t>Marketplace</t>
        </is>
      </c>
      <c r="I208" t="n">
        <v>5</v>
      </c>
      <c r="J208" s="3" t="n">
        <v>208.15</v>
      </c>
      <c r="K208" s="3" t="n">
        <v>0</v>
      </c>
      <c r="L208" s="3" t="n">
        <v>208.15</v>
      </c>
      <c r="M208" s="3" t="n">
        <v>138.2</v>
      </c>
      <c r="N208" s="3" t="n">
        <v>69.95</v>
      </c>
      <c r="O208">
        <f>TEXT(A208,"yyyy-mm")</f>
        <v/>
      </c>
    </row>
    <row r="209">
      <c r="A209" s="2" t="n">
        <v>45567</v>
      </c>
      <c r="B209" t="n">
        <v>2024</v>
      </c>
      <c r="C209" t="inlineStr">
        <is>
          <t>October</t>
        </is>
      </c>
      <c r="D209" t="inlineStr">
        <is>
          <t>Smart Cookbook</t>
        </is>
      </c>
      <c r="E209" t="inlineStr">
        <is>
          <t>Books</t>
        </is>
      </c>
      <c r="F209" t="inlineStr">
        <is>
          <t>Thomas Lopez</t>
        </is>
      </c>
      <c r="G209" t="inlineStr">
        <is>
          <t>United States</t>
        </is>
      </c>
      <c r="H209" t="inlineStr">
        <is>
          <t>Marketplace</t>
        </is>
      </c>
      <c r="I209" t="n">
        <v>1</v>
      </c>
      <c r="J209" s="3" t="n">
        <v>17.64</v>
      </c>
      <c r="K209" s="3" t="n">
        <v>0</v>
      </c>
      <c r="L209" s="3" t="n">
        <v>17.64</v>
      </c>
      <c r="M209" s="3" t="n">
        <v>9.880000000000001</v>
      </c>
      <c r="N209" s="3" t="n">
        <v>7.76</v>
      </c>
      <c r="O209">
        <f>TEXT(A209,"yyyy-mm")</f>
        <v/>
      </c>
    </row>
    <row r="210">
      <c r="A210" s="2" t="n">
        <v>45567</v>
      </c>
      <c r="B210" t="n">
        <v>2024</v>
      </c>
      <c r="C210" t="inlineStr">
        <is>
          <t>October</t>
        </is>
      </c>
      <c r="D210" t="inlineStr">
        <is>
          <t>Eco Tent</t>
        </is>
      </c>
      <c r="E210" t="inlineStr">
        <is>
          <t>Sports &amp; Outdoors</t>
        </is>
      </c>
      <c r="F210" t="inlineStr">
        <is>
          <t>John Wilson</t>
        </is>
      </c>
      <c r="G210" t="inlineStr">
        <is>
          <t>France</t>
        </is>
      </c>
      <c r="H210" t="inlineStr">
        <is>
          <t>Mobile App</t>
        </is>
      </c>
      <c r="I210" t="n">
        <v>3</v>
      </c>
      <c r="J210" s="3" t="n">
        <v>192</v>
      </c>
      <c r="K210" s="3" t="n">
        <v>0</v>
      </c>
      <c r="L210" s="3" t="n">
        <v>192</v>
      </c>
      <c r="M210" s="3" t="n">
        <v>131.55</v>
      </c>
      <c r="N210" s="3" t="n">
        <v>60.45</v>
      </c>
      <c r="O210">
        <f>TEXT(A210,"yyyy-mm")</f>
        <v/>
      </c>
    </row>
    <row r="211">
      <c r="A211" s="2" t="n">
        <v>45567</v>
      </c>
      <c r="B211" t="n">
        <v>2024</v>
      </c>
      <c r="C211" t="inlineStr">
        <is>
          <t>October</t>
        </is>
      </c>
      <c r="D211" t="inlineStr">
        <is>
          <t>Deluxe Scarf</t>
        </is>
      </c>
      <c r="E211" t="inlineStr">
        <is>
          <t>Clothing</t>
        </is>
      </c>
      <c r="F211" t="inlineStr">
        <is>
          <t>James Weber</t>
        </is>
      </c>
      <c r="G211" t="inlineStr">
        <is>
          <t>United States</t>
        </is>
      </c>
      <c r="H211" t="inlineStr">
        <is>
          <t>Marketplace</t>
        </is>
      </c>
      <c r="I211" t="n">
        <v>1</v>
      </c>
      <c r="J211" s="3" t="n">
        <v>190.65</v>
      </c>
      <c r="K211" s="3" t="n">
        <v>38.13</v>
      </c>
      <c r="L211" s="3" t="n">
        <v>152.52</v>
      </c>
      <c r="M211" s="3" t="n">
        <v>108.52</v>
      </c>
      <c r="N211" s="3" t="n">
        <v>44</v>
      </c>
      <c r="O211">
        <f>TEXT(A211,"yyyy-mm")</f>
        <v/>
      </c>
    </row>
    <row r="212">
      <c r="A212" s="2" t="n">
        <v>45567</v>
      </c>
      <c r="B212" t="n">
        <v>2024</v>
      </c>
      <c r="C212" t="inlineStr">
        <is>
          <t>October</t>
        </is>
      </c>
      <c r="D212" t="inlineStr">
        <is>
          <t>Eco Sweater</t>
        </is>
      </c>
      <c r="E212" t="inlineStr">
        <is>
          <t>Clothing</t>
        </is>
      </c>
      <c r="F212" t="inlineStr">
        <is>
          <t>James Weber</t>
        </is>
      </c>
      <c r="G212" t="inlineStr">
        <is>
          <t>United States</t>
        </is>
      </c>
      <c r="H212" t="inlineStr">
        <is>
          <t>Marketplace</t>
        </is>
      </c>
      <c r="I212" t="n">
        <v>5</v>
      </c>
      <c r="J212" s="3" t="n">
        <v>758</v>
      </c>
      <c r="K212" s="3" t="n">
        <v>37.9</v>
      </c>
      <c r="L212" s="3" t="n">
        <v>720.1</v>
      </c>
      <c r="M212" s="3" t="n">
        <v>521.15</v>
      </c>
      <c r="N212" s="3" t="n">
        <v>198.95</v>
      </c>
      <c r="O212">
        <f>TEXT(A212,"yyyy-mm")</f>
        <v/>
      </c>
    </row>
    <row r="213">
      <c r="A213" s="2" t="n">
        <v>45567</v>
      </c>
      <c r="B213" t="n">
        <v>2024</v>
      </c>
      <c r="C213" t="inlineStr">
        <is>
          <t>October</t>
        </is>
      </c>
      <c r="D213" t="inlineStr">
        <is>
          <t>Essential Pasta</t>
        </is>
      </c>
      <c r="E213" t="inlineStr">
        <is>
          <t>Grocery</t>
        </is>
      </c>
      <c r="F213" t="inlineStr">
        <is>
          <t>Mark Bianchi</t>
        </is>
      </c>
      <c r="G213" t="inlineStr">
        <is>
          <t>Spain</t>
        </is>
      </c>
      <c r="H213" t="inlineStr">
        <is>
          <t>Mobile App</t>
        </is>
      </c>
      <c r="I213" t="n">
        <v>3</v>
      </c>
      <c r="J213" s="3" t="n">
        <v>176.28</v>
      </c>
      <c r="K213" s="3" t="n">
        <v>0</v>
      </c>
      <c r="L213" s="3" t="n">
        <v>176.28</v>
      </c>
      <c r="M213" s="3" t="n">
        <v>107.43</v>
      </c>
      <c r="N213" s="3" t="n">
        <v>68.84999999999999</v>
      </c>
      <c r="O213">
        <f>TEXT(A213,"yyyy-mm")</f>
        <v/>
      </c>
    </row>
    <row r="214">
      <c r="A214" s="2" t="n">
        <v>45567</v>
      </c>
      <c r="B214" t="n">
        <v>2024</v>
      </c>
      <c r="C214" t="inlineStr">
        <is>
          <t>October</t>
        </is>
      </c>
      <c r="D214" t="inlineStr">
        <is>
          <t>Deluxe Toolset</t>
        </is>
      </c>
      <c r="E214" t="inlineStr">
        <is>
          <t>Home &amp; Garden</t>
        </is>
      </c>
      <c r="F214" t="inlineStr">
        <is>
          <t>Emily Johnson</t>
        </is>
      </c>
      <c r="G214" t="inlineStr">
        <is>
          <t>Italy</t>
        </is>
      </c>
      <c r="H214" t="inlineStr">
        <is>
          <t>Retail Store</t>
        </is>
      </c>
      <c r="I214" t="n">
        <v>5</v>
      </c>
      <c r="J214" s="3" t="n">
        <v>327.35</v>
      </c>
      <c r="K214" s="3" t="n">
        <v>49.1</v>
      </c>
      <c r="L214" s="3" t="n">
        <v>278.25</v>
      </c>
      <c r="M214" s="3" t="n">
        <v>238.55</v>
      </c>
      <c r="N214" s="3" t="n">
        <v>39.7</v>
      </c>
      <c r="O214">
        <f>TEXT(A214,"yyyy-mm")</f>
        <v/>
      </c>
    </row>
    <row r="215">
      <c r="A215" s="2" t="n">
        <v>45567</v>
      </c>
      <c r="B215" t="n">
        <v>2024</v>
      </c>
      <c r="C215" t="inlineStr">
        <is>
          <t>October</t>
        </is>
      </c>
      <c r="D215" t="inlineStr">
        <is>
          <t>Portable Tea Set</t>
        </is>
      </c>
      <c r="E215" t="inlineStr">
        <is>
          <t>Grocery</t>
        </is>
      </c>
      <c r="F215" t="inlineStr">
        <is>
          <t>Clara Wojcik</t>
        </is>
      </c>
      <c r="G215" t="inlineStr">
        <is>
          <t>Germany</t>
        </is>
      </c>
      <c r="H215" t="inlineStr">
        <is>
          <t>Mobile App</t>
        </is>
      </c>
      <c r="I215" t="n">
        <v>4</v>
      </c>
      <c r="J215" s="3" t="n">
        <v>1122.84</v>
      </c>
      <c r="K215" s="3" t="n">
        <v>0</v>
      </c>
      <c r="L215" s="3" t="n">
        <v>1122.84</v>
      </c>
      <c r="M215" s="3" t="n">
        <v>752.48</v>
      </c>
      <c r="N215" s="3" t="n">
        <v>370.36</v>
      </c>
      <c r="O215">
        <f>TEXT(A215,"yyyy-mm")</f>
        <v/>
      </c>
    </row>
    <row r="216">
      <c r="A216" s="2" t="n">
        <v>45567</v>
      </c>
      <c r="B216" t="n">
        <v>2024</v>
      </c>
      <c r="C216" t="inlineStr">
        <is>
          <t>October</t>
        </is>
      </c>
      <c r="D216" t="inlineStr">
        <is>
          <t>Essential Rug</t>
        </is>
      </c>
      <c r="E216" t="inlineStr">
        <is>
          <t>Home &amp; Garden</t>
        </is>
      </c>
      <c r="F216" t="inlineStr">
        <is>
          <t>Clara Wojcik</t>
        </is>
      </c>
      <c r="G216" t="inlineStr">
        <is>
          <t>Germany</t>
        </is>
      </c>
      <c r="H216" t="inlineStr">
        <is>
          <t>Mobile App</t>
        </is>
      </c>
      <c r="I216" t="n">
        <v>5</v>
      </c>
      <c r="J216" s="3" t="n">
        <v>697.5</v>
      </c>
      <c r="K216" s="3" t="n">
        <v>0</v>
      </c>
      <c r="L216" s="3" t="n">
        <v>697.5</v>
      </c>
      <c r="M216" s="3" t="n">
        <v>381.65</v>
      </c>
      <c r="N216" s="3" t="n">
        <v>315.85</v>
      </c>
      <c r="O216">
        <f>TEXT(A216,"yyyy-mm")</f>
        <v/>
      </c>
    </row>
    <row r="217">
      <c r="A217" s="2" t="n">
        <v>45567</v>
      </c>
      <c r="B217" t="n">
        <v>2024</v>
      </c>
      <c r="C217" t="inlineStr">
        <is>
          <t>October</t>
        </is>
      </c>
      <c r="D217" t="inlineStr">
        <is>
          <t>Eco Planter</t>
        </is>
      </c>
      <c r="E217" t="inlineStr">
        <is>
          <t>Home &amp; Garden</t>
        </is>
      </c>
      <c r="F217" t="inlineStr">
        <is>
          <t>Emily Johnson</t>
        </is>
      </c>
      <c r="G217" t="inlineStr">
        <is>
          <t>Italy</t>
        </is>
      </c>
      <c r="H217" t="inlineStr">
        <is>
          <t>Retail Store</t>
        </is>
      </c>
      <c r="I217" t="n">
        <v>2</v>
      </c>
      <c r="J217" s="3" t="n">
        <v>372.18</v>
      </c>
      <c r="K217" s="3" t="n">
        <v>37.22</v>
      </c>
      <c r="L217" s="3" t="n">
        <v>334.96</v>
      </c>
      <c r="M217" s="3" t="n">
        <v>224.82</v>
      </c>
      <c r="N217" s="3" t="n">
        <v>110.14</v>
      </c>
      <c r="O217">
        <f>TEXT(A217,"yyyy-mm")</f>
        <v/>
      </c>
    </row>
    <row r="218">
      <c r="A218" s="2" t="n">
        <v>45567</v>
      </c>
      <c r="B218" t="n">
        <v>2024</v>
      </c>
      <c r="C218" t="inlineStr">
        <is>
          <t>October</t>
        </is>
      </c>
      <c r="D218" t="inlineStr">
        <is>
          <t>Smart Coffee Beans</t>
        </is>
      </c>
      <c r="E218" t="inlineStr">
        <is>
          <t>Grocery</t>
        </is>
      </c>
      <c r="F218" t="inlineStr">
        <is>
          <t>Emily Johnson</t>
        </is>
      </c>
      <c r="G218" t="inlineStr">
        <is>
          <t>Italy</t>
        </is>
      </c>
      <c r="H218" t="inlineStr">
        <is>
          <t>Retail Store</t>
        </is>
      </c>
      <c r="I218" t="n">
        <v>4</v>
      </c>
      <c r="J218" s="3" t="n">
        <v>438.04</v>
      </c>
      <c r="K218" s="3" t="n">
        <v>0</v>
      </c>
      <c r="L218" s="3" t="n">
        <v>438.04</v>
      </c>
      <c r="M218" s="3" t="n">
        <v>291.4</v>
      </c>
      <c r="N218" s="3" t="n">
        <v>146.64</v>
      </c>
      <c r="O218">
        <f>TEXT(A218,"yyyy-mm")</f>
        <v/>
      </c>
    </row>
    <row r="219">
      <c r="A219" s="2" t="n">
        <v>45568</v>
      </c>
      <c r="B219" t="n">
        <v>2024</v>
      </c>
      <c r="C219" t="inlineStr">
        <is>
          <t>October</t>
        </is>
      </c>
      <c r="D219" t="inlineStr">
        <is>
          <t>Deluxe Notebook</t>
        </is>
      </c>
      <c r="E219" t="inlineStr">
        <is>
          <t>Books</t>
        </is>
      </c>
      <c r="F219" t="inlineStr">
        <is>
          <t>Anna Bianchi</t>
        </is>
      </c>
      <c r="G219" t="inlineStr">
        <is>
          <t>Italy</t>
        </is>
      </c>
      <c r="H219" t="inlineStr">
        <is>
          <t>Marketplace</t>
        </is>
      </c>
      <c r="I219" t="n">
        <v>1</v>
      </c>
      <c r="J219" s="3" t="n">
        <v>210.24</v>
      </c>
      <c r="K219" s="3" t="n">
        <v>21.02</v>
      </c>
      <c r="L219" s="3" t="n">
        <v>189.22</v>
      </c>
      <c r="M219" s="3" t="n">
        <v>150.76</v>
      </c>
      <c r="N219" s="3" t="n">
        <v>38.46</v>
      </c>
      <c r="O219">
        <f>TEXT(A219,"yyyy-mm")</f>
        <v/>
      </c>
    </row>
    <row r="220">
      <c r="A220" s="2" t="n">
        <v>45568</v>
      </c>
      <c r="B220" t="n">
        <v>2024</v>
      </c>
      <c r="C220" t="inlineStr">
        <is>
          <t>October</t>
        </is>
      </c>
      <c r="D220" t="inlineStr">
        <is>
          <t>Eco Tent</t>
        </is>
      </c>
      <c r="E220" t="inlineStr">
        <is>
          <t>Sports &amp; Outdoors</t>
        </is>
      </c>
      <c r="F220" t="inlineStr">
        <is>
          <t>Anna Bianchi</t>
        </is>
      </c>
      <c r="G220" t="inlineStr">
        <is>
          <t>Italy</t>
        </is>
      </c>
      <c r="H220" t="inlineStr">
        <is>
          <t>Marketplace</t>
        </is>
      </c>
      <c r="I220" t="n">
        <v>5</v>
      </c>
      <c r="J220" s="3" t="n">
        <v>1289.1</v>
      </c>
      <c r="K220" s="3" t="n">
        <v>193.36</v>
      </c>
      <c r="L220" s="3" t="n">
        <v>1095.73</v>
      </c>
      <c r="M220" s="3" t="n">
        <v>675.15</v>
      </c>
      <c r="N220" s="3" t="n">
        <v>420.58</v>
      </c>
      <c r="O220">
        <f>TEXT(A220,"yyyy-mm")</f>
        <v/>
      </c>
    </row>
    <row r="221">
      <c r="A221" s="2" t="n">
        <v>45568</v>
      </c>
      <c r="B221" t="n">
        <v>2024</v>
      </c>
      <c r="C221" t="inlineStr">
        <is>
          <t>October</t>
        </is>
      </c>
      <c r="D221" t="inlineStr">
        <is>
          <t>Deluxe Puzzle</t>
        </is>
      </c>
      <c r="E221" t="inlineStr">
        <is>
          <t>Toys &amp; Games</t>
        </is>
      </c>
      <c r="F221" t="inlineStr">
        <is>
          <t>Sophie Wilson</t>
        </is>
      </c>
      <c r="G221" t="inlineStr">
        <is>
          <t>Poland</t>
        </is>
      </c>
      <c r="H221" t="inlineStr">
        <is>
          <t>Web Store</t>
        </is>
      </c>
      <c r="I221" t="n">
        <v>3</v>
      </c>
      <c r="J221" s="3" t="n">
        <v>626.34</v>
      </c>
      <c r="K221" s="3" t="n">
        <v>0</v>
      </c>
      <c r="L221" s="3" t="n">
        <v>626.34</v>
      </c>
      <c r="M221" s="3" t="n">
        <v>333.51</v>
      </c>
      <c r="N221" s="3" t="n">
        <v>292.83</v>
      </c>
      <c r="O221">
        <f>TEXT(A221,"yyyy-mm")</f>
        <v/>
      </c>
    </row>
    <row r="222">
      <c r="A222" s="2" t="n">
        <v>45568</v>
      </c>
      <c r="B222" t="n">
        <v>2024</v>
      </c>
      <c r="C222" t="inlineStr">
        <is>
          <t>October</t>
        </is>
      </c>
      <c r="D222" t="inlineStr">
        <is>
          <t>Classic Yoga Mat</t>
        </is>
      </c>
      <c r="E222" t="inlineStr">
        <is>
          <t>Sports &amp; Outdoors</t>
        </is>
      </c>
      <c r="F222" t="inlineStr">
        <is>
          <t>Sophie Wilson</t>
        </is>
      </c>
      <c r="G222" t="inlineStr">
        <is>
          <t>Poland</t>
        </is>
      </c>
      <c r="H222" t="inlineStr">
        <is>
          <t>Web Store</t>
        </is>
      </c>
      <c r="I222" t="n">
        <v>5</v>
      </c>
      <c r="J222" s="3" t="n">
        <v>1650.95</v>
      </c>
      <c r="K222" s="3" t="n">
        <v>82.55</v>
      </c>
      <c r="L222" s="3" t="n">
        <v>1568.4</v>
      </c>
      <c r="M222" s="3" t="n">
        <v>978.5</v>
      </c>
      <c r="N222" s="3" t="n">
        <v>589.9</v>
      </c>
      <c r="O222">
        <f>TEXT(A222,"yyyy-mm")</f>
        <v/>
      </c>
    </row>
    <row r="223">
      <c r="A223" s="2" t="n">
        <v>45568</v>
      </c>
      <c r="B223" t="n">
        <v>2024</v>
      </c>
      <c r="C223" t="inlineStr">
        <is>
          <t>October</t>
        </is>
      </c>
      <c r="D223" t="inlineStr">
        <is>
          <t>Smart Drone</t>
        </is>
      </c>
      <c r="E223" t="inlineStr">
        <is>
          <t>Toys &amp; Games</t>
        </is>
      </c>
      <c r="F223" t="inlineStr">
        <is>
          <t>Sophie Wilson</t>
        </is>
      </c>
      <c r="G223" t="inlineStr">
        <is>
          <t>Poland</t>
        </is>
      </c>
      <c r="H223" t="inlineStr">
        <is>
          <t>Web Store</t>
        </is>
      </c>
      <c r="I223" t="n">
        <v>1</v>
      </c>
      <c r="J223" s="3" t="n">
        <v>227.23</v>
      </c>
      <c r="K223" s="3" t="n">
        <v>0</v>
      </c>
      <c r="L223" s="3" t="n">
        <v>227.23</v>
      </c>
      <c r="M223" s="3" t="n">
        <v>126.95</v>
      </c>
      <c r="N223" s="3" t="n">
        <v>100.28</v>
      </c>
      <c r="O223">
        <f>TEXT(A223,"yyyy-mm")</f>
        <v/>
      </c>
    </row>
    <row r="224">
      <c r="A224" s="2" t="n">
        <v>45568</v>
      </c>
      <c r="B224" t="n">
        <v>2024</v>
      </c>
      <c r="C224" t="inlineStr">
        <is>
          <t>October</t>
        </is>
      </c>
      <c r="D224" t="inlineStr">
        <is>
          <t>Smart Jeans</t>
        </is>
      </c>
      <c r="E224" t="inlineStr">
        <is>
          <t>Clothing</t>
        </is>
      </c>
      <c r="F224" t="inlineStr">
        <is>
          <t>Michael Nowak</t>
        </is>
      </c>
      <c r="G224" t="inlineStr">
        <is>
          <t>Spain</t>
        </is>
      </c>
      <c r="H224" t="inlineStr">
        <is>
          <t>Marketplace</t>
        </is>
      </c>
      <c r="I224" t="n">
        <v>2</v>
      </c>
      <c r="J224" s="3" t="n">
        <v>557.36</v>
      </c>
      <c r="K224" s="3" t="n">
        <v>0</v>
      </c>
      <c r="L224" s="3" t="n">
        <v>557.36</v>
      </c>
      <c r="M224" s="3" t="n">
        <v>387.28</v>
      </c>
      <c r="N224" s="3" t="n">
        <v>170.08</v>
      </c>
      <c r="O224">
        <f>TEXT(A224,"yyyy-mm")</f>
        <v/>
      </c>
    </row>
    <row r="225">
      <c r="A225" s="2" t="n">
        <v>45568</v>
      </c>
      <c r="B225" t="n">
        <v>2024</v>
      </c>
      <c r="C225" t="inlineStr">
        <is>
          <t>October</t>
        </is>
      </c>
      <c r="D225" t="inlineStr">
        <is>
          <t>Smart Face Cream</t>
        </is>
      </c>
      <c r="E225" t="inlineStr">
        <is>
          <t>Beauty &amp; Health</t>
        </is>
      </c>
      <c r="F225" t="inlineStr">
        <is>
          <t>Michael Nowak</t>
        </is>
      </c>
      <c r="G225" t="inlineStr">
        <is>
          <t>Spain</t>
        </is>
      </c>
      <c r="H225" t="inlineStr">
        <is>
          <t>Marketplace</t>
        </is>
      </c>
      <c r="I225" t="n">
        <v>5</v>
      </c>
      <c r="J225" s="3" t="n">
        <v>1359.4</v>
      </c>
      <c r="K225" s="3" t="n">
        <v>271.88</v>
      </c>
      <c r="L225" s="3" t="n">
        <v>1087.52</v>
      </c>
      <c r="M225" s="3" t="n">
        <v>965.7</v>
      </c>
      <c r="N225" s="3" t="n">
        <v>121.82</v>
      </c>
      <c r="O225">
        <f>TEXT(A225,"yyyy-mm")</f>
        <v/>
      </c>
    </row>
    <row r="226">
      <c r="A226" s="2" t="n">
        <v>45568</v>
      </c>
      <c r="B226" t="n">
        <v>2024</v>
      </c>
      <c r="C226" t="inlineStr">
        <is>
          <t>October</t>
        </is>
      </c>
      <c r="D226" t="inlineStr">
        <is>
          <t>Smart Charger</t>
        </is>
      </c>
      <c r="E226" t="inlineStr">
        <is>
          <t>Electronics</t>
        </is>
      </c>
      <c r="F226" t="inlineStr">
        <is>
          <t>John Wilson</t>
        </is>
      </c>
      <c r="G226" t="inlineStr">
        <is>
          <t>France</t>
        </is>
      </c>
      <c r="H226" t="inlineStr">
        <is>
          <t>Web Store</t>
        </is>
      </c>
      <c r="I226" t="n">
        <v>2</v>
      </c>
      <c r="J226" s="3" t="n">
        <v>530.58</v>
      </c>
      <c r="K226" s="3" t="n">
        <v>0</v>
      </c>
      <c r="L226" s="3" t="n">
        <v>530.58</v>
      </c>
      <c r="M226" s="3" t="n">
        <v>285.04</v>
      </c>
      <c r="N226" s="3" t="n">
        <v>245.54</v>
      </c>
      <c r="O226">
        <f>TEXT(A226,"yyyy-mm")</f>
        <v/>
      </c>
    </row>
    <row r="227">
      <c r="A227" s="2" t="n">
        <v>45568</v>
      </c>
      <c r="B227" t="n">
        <v>2024</v>
      </c>
      <c r="C227" t="inlineStr">
        <is>
          <t>October</t>
        </is>
      </c>
      <c r="D227" t="inlineStr">
        <is>
          <t>Eco Backpack</t>
        </is>
      </c>
      <c r="E227" t="inlineStr">
        <is>
          <t>Sports &amp; Outdoors</t>
        </is>
      </c>
      <c r="F227" t="inlineStr">
        <is>
          <t>John Wilson</t>
        </is>
      </c>
      <c r="G227" t="inlineStr">
        <is>
          <t>France</t>
        </is>
      </c>
      <c r="H227" t="inlineStr">
        <is>
          <t>Web Store</t>
        </is>
      </c>
      <c r="I227" t="n">
        <v>4</v>
      </c>
      <c r="J227" s="3" t="n">
        <v>1079.24</v>
      </c>
      <c r="K227" s="3" t="n">
        <v>0</v>
      </c>
      <c r="L227" s="3" t="n">
        <v>1079.24</v>
      </c>
      <c r="M227" s="3" t="n">
        <v>586.3200000000001</v>
      </c>
      <c r="N227" s="3" t="n">
        <v>492.92</v>
      </c>
      <c r="O227">
        <f>TEXT(A227,"yyyy-mm")</f>
        <v/>
      </c>
    </row>
    <row r="228">
      <c r="A228" s="2" t="n">
        <v>45568</v>
      </c>
      <c r="B228" t="n">
        <v>2024</v>
      </c>
      <c r="C228" t="inlineStr">
        <is>
          <t>October</t>
        </is>
      </c>
      <c r="D228" t="inlineStr">
        <is>
          <t>Wireless Honey</t>
        </is>
      </c>
      <c r="E228" t="inlineStr">
        <is>
          <t>Grocery</t>
        </is>
      </c>
      <c r="F228" t="inlineStr">
        <is>
          <t>Maria Garcia</t>
        </is>
      </c>
      <c r="G228" t="inlineStr">
        <is>
          <t>Italy</t>
        </is>
      </c>
      <c r="H228" t="inlineStr">
        <is>
          <t>Marketplace</t>
        </is>
      </c>
      <c r="I228" t="n">
        <v>4</v>
      </c>
      <c r="J228" s="3" t="n">
        <v>496.16</v>
      </c>
      <c r="K228" s="3" t="n">
        <v>0</v>
      </c>
      <c r="L228" s="3" t="n">
        <v>496.16</v>
      </c>
      <c r="M228" s="3" t="n">
        <v>376.28</v>
      </c>
      <c r="N228" s="3" t="n">
        <v>119.88</v>
      </c>
      <c r="O228">
        <f>TEXT(A228,"yyyy-mm")</f>
        <v/>
      </c>
    </row>
    <row r="229">
      <c r="A229" s="2" t="n">
        <v>45568</v>
      </c>
      <c r="B229" t="n">
        <v>2024</v>
      </c>
      <c r="C229" t="inlineStr">
        <is>
          <t>October</t>
        </is>
      </c>
      <c r="D229" t="inlineStr">
        <is>
          <t>Portable Bike Helmet</t>
        </is>
      </c>
      <c r="E229" t="inlineStr">
        <is>
          <t>Sports &amp; Outdoors</t>
        </is>
      </c>
      <c r="F229" t="inlineStr">
        <is>
          <t>Maria Garcia</t>
        </is>
      </c>
      <c r="G229" t="inlineStr">
        <is>
          <t>Italy</t>
        </is>
      </c>
      <c r="H229" t="inlineStr">
        <is>
          <t>Marketplace</t>
        </is>
      </c>
      <c r="I229" t="n">
        <v>4</v>
      </c>
      <c r="J229" s="3" t="n">
        <v>1290.28</v>
      </c>
      <c r="K229" s="3" t="n">
        <v>0</v>
      </c>
      <c r="L229" s="3" t="n">
        <v>1290.28</v>
      </c>
      <c r="M229" s="3" t="n">
        <v>661.48</v>
      </c>
      <c r="N229" s="3" t="n">
        <v>628.8</v>
      </c>
      <c r="O229">
        <f>TEXT(A229,"yyyy-mm")</f>
        <v/>
      </c>
    </row>
    <row r="230">
      <c r="A230" s="2" t="n">
        <v>45568</v>
      </c>
      <c r="B230" t="n">
        <v>2024</v>
      </c>
      <c r="C230" t="inlineStr">
        <is>
          <t>October</t>
        </is>
      </c>
      <c r="D230" t="inlineStr">
        <is>
          <t>Wireless Coffee Beans</t>
        </is>
      </c>
      <c r="E230" t="inlineStr">
        <is>
          <t>Grocery</t>
        </is>
      </c>
      <c r="F230" t="inlineStr">
        <is>
          <t>Maria Garcia</t>
        </is>
      </c>
      <c r="G230" t="inlineStr">
        <is>
          <t>Italy</t>
        </is>
      </c>
      <c r="H230" t="inlineStr">
        <is>
          <t>Marketplace</t>
        </is>
      </c>
      <c r="I230" t="n">
        <v>3</v>
      </c>
      <c r="J230" s="3" t="n">
        <v>349.5</v>
      </c>
      <c r="K230" s="3" t="n">
        <v>52.42</v>
      </c>
      <c r="L230" s="3" t="n">
        <v>297.08</v>
      </c>
      <c r="M230" s="3" t="n">
        <v>238.11</v>
      </c>
      <c r="N230" s="3" t="n">
        <v>58.96</v>
      </c>
      <c r="O230">
        <f>TEXT(A230,"yyyy-mm")</f>
        <v/>
      </c>
    </row>
    <row r="231">
      <c r="A231" s="2" t="n">
        <v>45568</v>
      </c>
      <c r="B231" t="n">
        <v>2024</v>
      </c>
      <c r="C231" t="inlineStr">
        <is>
          <t>October</t>
        </is>
      </c>
      <c r="D231" t="inlineStr">
        <is>
          <t>Wireless Drone</t>
        </is>
      </c>
      <c r="E231" t="inlineStr">
        <is>
          <t>Toys &amp; Games</t>
        </is>
      </c>
      <c r="F231" t="inlineStr">
        <is>
          <t>Michael Nowak</t>
        </is>
      </c>
      <c r="G231" t="inlineStr">
        <is>
          <t>Spain</t>
        </is>
      </c>
      <c r="H231" t="inlineStr">
        <is>
          <t>Marketplace</t>
        </is>
      </c>
      <c r="I231" t="n">
        <v>5</v>
      </c>
      <c r="J231" s="3" t="n">
        <v>1109.4</v>
      </c>
      <c r="K231" s="3" t="n">
        <v>110.94</v>
      </c>
      <c r="L231" s="3" t="n">
        <v>998.46</v>
      </c>
      <c r="M231" s="3" t="n">
        <v>656.45</v>
      </c>
      <c r="N231" s="3" t="n">
        <v>342.01</v>
      </c>
      <c r="O231">
        <f>TEXT(A231,"yyyy-mm")</f>
        <v/>
      </c>
    </row>
    <row r="232">
      <c r="A232" s="2" t="n">
        <v>45568</v>
      </c>
      <c r="B232" t="n">
        <v>2024</v>
      </c>
      <c r="C232" t="inlineStr">
        <is>
          <t>October</t>
        </is>
      </c>
      <c r="D232" t="inlineStr">
        <is>
          <t>Essential Lamp</t>
        </is>
      </c>
      <c r="E232" t="inlineStr">
        <is>
          <t>Home &amp; Garden</t>
        </is>
      </c>
      <c r="F232" t="inlineStr">
        <is>
          <t>Olivia Conti</t>
        </is>
      </c>
      <c r="G232" t="inlineStr">
        <is>
          <t>France</t>
        </is>
      </c>
      <c r="H232" t="inlineStr">
        <is>
          <t>Retail Store</t>
        </is>
      </c>
      <c r="I232" t="n">
        <v>1</v>
      </c>
      <c r="J232" s="3" t="n">
        <v>68.03</v>
      </c>
      <c r="K232" s="3" t="n">
        <v>6.8</v>
      </c>
      <c r="L232" s="3" t="n">
        <v>61.23</v>
      </c>
      <c r="M232" s="3" t="n">
        <v>45.4</v>
      </c>
      <c r="N232" s="3" t="n">
        <v>15.83</v>
      </c>
      <c r="O232">
        <f>TEXT(A232,"yyyy-mm")</f>
        <v/>
      </c>
    </row>
    <row r="233">
      <c r="A233" s="2" t="n">
        <v>45568</v>
      </c>
      <c r="B233" t="n">
        <v>2024</v>
      </c>
      <c r="C233" t="inlineStr">
        <is>
          <t>October</t>
        </is>
      </c>
      <c r="D233" t="inlineStr">
        <is>
          <t>Eco Biography</t>
        </is>
      </c>
      <c r="E233" t="inlineStr">
        <is>
          <t>Books</t>
        </is>
      </c>
      <c r="F233" t="inlineStr">
        <is>
          <t>Maria Garcia</t>
        </is>
      </c>
      <c r="G233" t="inlineStr">
        <is>
          <t>Italy</t>
        </is>
      </c>
      <c r="H233" t="inlineStr">
        <is>
          <t>Marketplace</t>
        </is>
      </c>
      <c r="I233" t="n">
        <v>3</v>
      </c>
      <c r="J233" s="3" t="n">
        <v>354.45</v>
      </c>
      <c r="K233" s="3" t="n">
        <v>35.45</v>
      </c>
      <c r="L233" s="3" t="n">
        <v>319.01</v>
      </c>
      <c r="M233" s="3" t="n">
        <v>213.06</v>
      </c>
      <c r="N233" s="3" t="n">
        <v>105.95</v>
      </c>
      <c r="O233">
        <f>TEXT(A233,"yyyy-mm")</f>
        <v/>
      </c>
    </row>
    <row r="234">
      <c r="A234" s="2" t="n">
        <v>45568</v>
      </c>
      <c r="B234" t="n">
        <v>2024</v>
      </c>
      <c r="C234" t="inlineStr">
        <is>
          <t>October</t>
        </is>
      </c>
      <c r="D234" t="inlineStr">
        <is>
          <t>Premium Water Bottle</t>
        </is>
      </c>
      <c r="E234" t="inlineStr">
        <is>
          <t>Sports &amp; Outdoors</t>
        </is>
      </c>
      <c r="F234" t="inlineStr">
        <is>
          <t>Michael Nowak</t>
        </is>
      </c>
      <c r="G234" t="inlineStr">
        <is>
          <t>Spain</t>
        </is>
      </c>
      <c r="H234" t="inlineStr">
        <is>
          <t>Marketplace</t>
        </is>
      </c>
      <c r="I234" t="n">
        <v>3</v>
      </c>
      <c r="J234" s="3" t="n">
        <v>379.35</v>
      </c>
      <c r="K234" s="3" t="n">
        <v>37.94</v>
      </c>
      <c r="L234" s="3" t="n">
        <v>341.42</v>
      </c>
      <c r="M234" s="3" t="n">
        <v>268.86</v>
      </c>
      <c r="N234" s="3" t="n">
        <v>72.56</v>
      </c>
      <c r="O234">
        <f>TEXT(A234,"yyyy-mm")</f>
        <v/>
      </c>
    </row>
    <row r="235">
      <c r="A235" s="2" t="n">
        <v>45568</v>
      </c>
      <c r="B235" t="n">
        <v>2024</v>
      </c>
      <c r="C235" t="inlineStr">
        <is>
          <t>October</t>
        </is>
      </c>
      <c r="D235" t="inlineStr">
        <is>
          <t>Wireless Cookbook</t>
        </is>
      </c>
      <c r="E235" t="inlineStr">
        <is>
          <t>Books</t>
        </is>
      </c>
      <c r="F235" t="inlineStr">
        <is>
          <t>Olivia Conti</t>
        </is>
      </c>
      <c r="G235" t="inlineStr">
        <is>
          <t>France</t>
        </is>
      </c>
      <c r="H235" t="inlineStr">
        <is>
          <t>Retail Store</t>
        </is>
      </c>
      <c r="I235" t="n">
        <v>2</v>
      </c>
      <c r="J235" s="3" t="n">
        <v>157.92</v>
      </c>
      <c r="K235" s="3" t="n">
        <v>7.9</v>
      </c>
      <c r="L235" s="3" t="n">
        <v>150.02</v>
      </c>
      <c r="M235" s="3" t="n">
        <v>113.22</v>
      </c>
      <c r="N235" s="3" t="n">
        <v>36.8</v>
      </c>
      <c r="O235">
        <f>TEXT(A235,"yyyy-mm")</f>
        <v/>
      </c>
    </row>
    <row r="236">
      <c r="A236" s="2" t="n">
        <v>45568</v>
      </c>
      <c r="B236" t="n">
        <v>2024</v>
      </c>
      <c r="C236" t="inlineStr">
        <is>
          <t>October</t>
        </is>
      </c>
      <c r="D236" t="inlineStr">
        <is>
          <t>Wireless Drone</t>
        </is>
      </c>
      <c r="E236" t="inlineStr">
        <is>
          <t>Toys &amp; Games</t>
        </is>
      </c>
      <c r="F236" t="inlineStr">
        <is>
          <t>Anna Bianchi</t>
        </is>
      </c>
      <c r="G236" t="inlineStr">
        <is>
          <t>Italy</t>
        </is>
      </c>
      <c r="H236" t="inlineStr">
        <is>
          <t>Marketplace</t>
        </is>
      </c>
      <c r="I236" t="n">
        <v>4</v>
      </c>
      <c r="J236" s="3" t="n">
        <v>926.6</v>
      </c>
      <c r="K236" s="3" t="n">
        <v>46.33</v>
      </c>
      <c r="L236" s="3" t="n">
        <v>880.27</v>
      </c>
      <c r="M236" s="3" t="n">
        <v>525.16</v>
      </c>
      <c r="N236" s="3" t="n">
        <v>355.11</v>
      </c>
      <c r="O236">
        <f>TEXT(A236,"yyyy-mm")</f>
        <v/>
      </c>
    </row>
    <row r="237">
      <c r="A237" s="2" t="n">
        <v>45568</v>
      </c>
      <c r="B237" t="n">
        <v>2024</v>
      </c>
      <c r="C237" t="inlineStr">
        <is>
          <t>October</t>
        </is>
      </c>
      <c r="D237" t="inlineStr">
        <is>
          <t>Deluxe Notebook</t>
        </is>
      </c>
      <c r="E237" t="inlineStr">
        <is>
          <t>Books</t>
        </is>
      </c>
      <c r="F237" t="inlineStr">
        <is>
          <t>Olivia Conti</t>
        </is>
      </c>
      <c r="G237" t="inlineStr">
        <is>
          <t>France</t>
        </is>
      </c>
      <c r="H237" t="inlineStr">
        <is>
          <t>Retail Store</t>
        </is>
      </c>
      <c r="I237" t="n">
        <v>4</v>
      </c>
      <c r="J237" s="3" t="n">
        <v>877.2</v>
      </c>
      <c r="K237" s="3" t="n">
        <v>0</v>
      </c>
      <c r="L237" s="3" t="n">
        <v>877.2</v>
      </c>
      <c r="M237" s="3" t="n">
        <v>603.04</v>
      </c>
      <c r="N237" s="3" t="n">
        <v>274.16</v>
      </c>
      <c r="O237">
        <f>TEXT(A237,"yyyy-mm")</f>
        <v/>
      </c>
    </row>
    <row r="238">
      <c r="A238" s="2" t="n">
        <v>45569</v>
      </c>
      <c r="B238" t="n">
        <v>2024</v>
      </c>
      <c r="C238" t="inlineStr">
        <is>
          <t>October</t>
        </is>
      </c>
      <c r="D238" t="inlineStr">
        <is>
          <t>Compact Jacket</t>
        </is>
      </c>
      <c r="E238" t="inlineStr">
        <is>
          <t>Clothing</t>
        </is>
      </c>
      <c r="F238" t="inlineStr">
        <is>
          <t>Emily Rossi</t>
        </is>
      </c>
      <c r="G238" t="inlineStr">
        <is>
          <t>United Kingdom</t>
        </is>
      </c>
      <c r="H238" t="inlineStr">
        <is>
          <t>Marketplace</t>
        </is>
      </c>
      <c r="I238" t="n">
        <v>1</v>
      </c>
      <c r="J238" s="3" t="n">
        <v>35.84</v>
      </c>
      <c r="K238" s="3" t="n">
        <v>0</v>
      </c>
      <c r="L238" s="3" t="n">
        <v>35.84</v>
      </c>
      <c r="M238" s="3" t="n">
        <v>20.4</v>
      </c>
      <c r="N238" s="3" t="n">
        <v>15.44</v>
      </c>
      <c r="O238">
        <f>TEXT(A238,"yyyy-mm")</f>
        <v/>
      </c>
    </row>
    <row r="239">
      <c r="A239" s="2" t="n">
        <v>45569</v>
      </c>
      <c r="B239" t="n">
        <v>2024</v>
      </c>
      <c r="C239" t="inlineStr">
        <is>
          <t>October</t>
        </is>
      </c>
      <c r="D239" t="inlineStr">
        <is>
          <t>Portable Speaker</t>
        </is>
      </c>
      <c r="E239" t="inlineStr">
        <is>
          <t>Electronics</t>
        </is>
      </c>
      <c r="F239" t="inlineStr">
        <is>
          <t>Emily Rossi</t>
        </is>
      </c>
      <c r="G239" t="inlineStr">
        <is>
          <t>United Kingdom</t>
        </is>
      </c>
      <c r="H239" t="inlineStr">
        <is>
          <t>Marketplace</t>
        </is>
      </c>
      <c r="I239" t="n">
        <v>2</v>
      </c>
      <c r="J239" s="3" t="n">
        <v>680.8</v>
      </c>
      <c r="K239" s="3" t="n">
        <v>0</v>
      </c>
      <c r="L239" s="3" t="n">
        <v>680.8</v>
      </c>
      <c r="M239" s="3" t="n">
        <v>349.66</v>
      </c>
      <c r="N239" s="3" t="n">
        <v>331.14</v>
      </c>
      <c r="O239">
        <f>TEXT(A239,"yyyy-mm")</f>
        <v/>
      </c>
    </row>
    <row r="240">
      <c r="A240" s="2" t="n">
        <v>45569</v>
      </c>
      <c r="B240" t="n">
        <v>2024</v>
      </c>
      <c r="C240" t="inlineStr">
        <is>
          <t>October</t>
        </is>
      </c>
      <c r="D240" t="inlineStr">
        <is>
          <t>Deluxe Toothbrush</t>
        </is>
      </c>
      <c r="E240" t="inlineStr">
        <is>
          <t>Beauty &amp; Health</t>
        </is>
      </c>
      <c r="F240" t="inlineStr">
        <is>
          <t>Julia Brown</t>
        </is>
      </c>
      <c r="G240" t="inlineStr">
        <is>
          <t>United Kingdom</t>
        </is>
      </c>
      <c r="H240" t="inlineStr">
        <is>
          <t>Retail Store</t>
        </is>
      </c>
      <c r="I240" t="n">
        <v>4</v>
      </c>
      <c r="J240" s="3" t="n">
        <v>1307.44</v>
      </c>
      <c r="K240" s="3" t="n">
        <v>0</v>
      </c>
      <c r="L240" s="3" t="n">
        <v>1307.44</v>
      </c>
      <c r="M240" s="3" t="n">
        <v>698.28</v>
      </c>
      <c r="N240" s="3" t="n">
        <v>609.16</v>
      </c>
      <c r="O240">
        <f>TEXT(A240,"yyyy-mm")</f>
        <v/>
      </c>
    </row>
    <row r="241">
      <c r="A241" s="2" t="n">
        <v>45569</v>
      </c>
      <c r="B241" t="n">
        <v>2024</v>
      </c>
      <c r="C241" t="inlineStr">
        <is>
          <t>October</t>
        </is>
      </c>
      <c r="D241" t="inlineStr">
        <is>
          <t>Eco Backpack</t>
        </is>
      </c>
      <c r="E241" t="inlineStr">
        <is>
          <t>Sports &amp; Outdoors</t>
        </is>
      </c>
      <c r="F241" t="inlineStr">
        <is>
          <t>Emily Rossi</t>
        </is>
      </c>
      <c r="G241" t="inlineStr">
        <is>
          <t>United Kingdom</t>
        </is>
      </c>
      <c r="H241" t="inlineStr">
        <is>
          <t>Marketplace</t>
        </is>
      </c>
      <c r="I241" t="n">
        <v>4</v>
      </c>
      <c r="J241" s="3" t="n">
        <v>1039.76</v>
      </c>
      <c r="K241" s="3" t="n">
        <v>0</v>
      </c>
      <c r="L241" s="3" t="n">
        <v>1039.76</v>
      </c>
      <c r="M241" s="3" t="n">
        <v>586.3200000000001</v>
      </c>
      <c r="N241" s="3" t="n">
        <v>453.44</v>
      </c>
      <c r="O241">
        <f>TEXT(A241,"yyyy-mm")</f>
        <v/>
      </c>
    </row>
    <row r="242">
      <c r="A242" s="2" t="n">
        <v>45569</v>
      </c>
      <c r="B242" t="n">
        <v>2024</v>
      </c>
      <c r="C242" t="inlineStr">
        <is>
          <t>October</t>
        </is>
      </c>
      <c r="D242" t="inlineStr">
        <is>
          <t>Smart Charger</t>
        </is>
      </c>
      <c r="E242" t="inlineStr">
        <is>
          <t>Electronics</t>
        </is>
      </c>
      <c r="F242" t="inlineStr">
        <is>
          <t>Emily Rossi</t>
        </is>
      </c>
      <c r="G242" t="inlineStr">
        <is>
          <t>United Kingdom</t>
        </is>
      </c>
      <c r="H242" t="inlineStr">
        <is>
          <t>Marketplace</t>
        </is>
      </c>
      <c r="I242" t="n">
        <v>2</v>
      </c>
      <c r="J242" s="3" t="n">
        <v>531.46</v>
      </c>
      <c r="K242" s="3" t="n">
        <v>26.57</v>
      </c>
      <c r="L242" s="3" t="n">
        <v>504.89</v>
      </c>
      <c r="M242" s="3" t="n">
        <v>285.04</v>
      </c>
      <c r="N242" s="3" t="n">
        <v>219.85</v>
      </c>
      <c r="O242">
        <f>TEXT(A242,"yyyy-mm")</f>
        <v/>
      </c>
    </row>
    <row r="243">
      <c r="A243" s="2" t="n">
        <v>45570</v>
      </c>
      <c r="B243" t="n">
        <v>2024</v>
      </c>
      <c r="C243" t="inlineStr">
        <is>
          <t>October</t>
        </is>
      </c>
      <c r="D243" t="inlineStr">
        <is>
          <t>Essential Planter</t>
        </is>
      </c>
      <c r="E243" t="inlineStr">
        <is>
          <t>Home &amp; Garden</t>
        </is>
      </c>
      <c r="F243" t="inlineStr">
        <is>
          <t>Clara Muller</t>
        </is>
      </c>
      <c r="G243" t="inlineStr">
        <is>
          <t>Italy</t>
        </is>
      </c>
      <c r="H243" t="inlineStr">
        <is>
          <t>Mobile App</t>
        </is>
      </c>
      <c r="I243" t="n">
        <v>1</v>
      </c>
      <c r="J243" s="3" t="n">
        <v>25.86</v>
      </c>
      <c r="K243" s="3" t="n">
        <v>1.29</v>
      </c>
      <c r="L243" s="3" t="n">
        <v>24.57</v>
      </c>
      <c r="M243" s="3" t="n">
        <v>19.64</v>
      </c>
      <c r="N243" s="3" t="n">
        <v>4.93</v>
      </c>
      <c r="O243">
        <f>TEXT(A243,"yyyy-mm")</f>
        <v/>
      </c>
    </row>
    <row r="244">
      <c r="A244" s="2" t="n">
        <v>45570</v>
      </c>
      <c r="B244" t="n">
        <v>2024</v>
      </c>
      <c r="C244" t="inlineStr">
        <is>
          <t>October</t>
        </is>
      </c>
      <c r="D244" t="inlineStr">
        <is>
          <t>Ultra Toolset</t>
        </is>
      </c>
      <c r="E244" t="inlineStr">
        <is>
          <t>Home &amp; Garden</t>
        </is>
      </c>
      <c r="F244" t="inlineStr">
        <is>
          <t>Clara Muller</t>
        </is>
      </c>
      <c r="G244" t="inlineStr">
        <is>
          <t>Italy</t>
        </is>
      </c>
      <c r="H244" t="inlineStr">
        <is>
          <t>Mobile App</t>
        </is>
      </c>
      <c r="I244" t="n">
        <v>4</v>
      </c>
      <c r="J244" s="3" t="n">
        <v>1456.16</v>
      </c>
      <c r="K244" s="3" t="n">
        <v>291.23</v>
      </c>
      <c r="L244" s="3" t="n">
        <v>1164.93</v>
      </c>
      <c r="M244" s="3" t="n">
        <v>761.6</v>
      </c>
      <c r="N244" s="3" t="n">
        <v>403.33</v>
      </c>
      <c r="O244">
        <f>TEXT(A244,"yyyy-mm")</f>
        <v/>
      </c>
    </row>
    <row r="245">
      <c r="A245" s="2" t="n">
        <v>45571</v>
      </c>
      <c r="B245" t="n">
        <v>2024</v>
      </c>
      <c r="C245" t="inlineStr">
        <is>
          <t>October</t>
        </is>
      </c>
      <c r="D245" t="inlineStr">
        <is>
          <t>Essential Cushion</t>
        </is>
      </c>
      <c r="E245" t="inlineStr">
        <is>
          <t>Home &amp; Garden</t>
        </is>
      </c>
      <c r="F245" t="inlineStr">
        <is>
          <t>Maria Weber</t>
        </is>
      </c>
      <c r="G245" t="inlineStr">
        <is>
          <t>Spain</t>
        </is>
      </c>
      <c r="H245" t="inlineStr">
        <is>
          <t>Mobile App</t>
        </is>
      </c>
      <c r="I245" t="n">
        <v>4</v>
      </c>
      <c r="J245" s="3" t="n">
        <v>176.24</v>
      </c>
      <c r="K245" s="3" t="n">
        <v>0</v>
      </c>
      <c r="L245" s="3" t="n">
        <v>176.24</v>
      </c>
      <c r="M245" s="3" t="n">
        <v>122.2</v>
      </c>
      <c r="N245" s="3" t="n">
        <v>54.04</v>
      </c>
      <c r="O245">
        <f>TEXT(A245,"yyyy-mm")</f>
        <v/>
      </c>
    </row>
    <row r="246">
      <c r="A246" s="2" t="n">
        <v>45571</v>
      </c>
      <c r="B246" t="n">
        <v>2024</v>
      </c>
      <c r="C246" t="inlineStr">
        <is>
          <t>October</t>
        </is>
      </c>
      <c r="D246" t="inlineStr">
        <is>
          <t>Portable Speaker</t>
        </is>
      </c>
      <c r="E246" t="inlineStr">
        <is>
          <t>Electronics</t>
        </is>
      </c>
      <c r="F246" t="inlineStr">
        <is>
          <t>Maria Weber</t>
        </is>
      </c>
      <c r="G246" t="inlineStr">
        <is>
          <t>Spain</t>
        </is>
      </c>
      <c r="H246" t="inlineStr">
        <is>
          <t>Mobile App</t>
        </is>
      </c>
      <c r="I246" t="n">
        <v>4</v>
      </c>
      <c r="J246" s="3" t="n">
        <v>1277.68</v>
      </c>
      <c r="K246" s="3" t="n">
        <v>0</v>
      </c>
      <c r="L246" s="3" t="n">
        <v>1277.68</v>
      </c>
      <c r="M246" s="3" t="n">
        <v>699.3200000000001</v>
      </c>
      <c r="N246" s="3" t="n">
        <v>578.36</v>
      </c>
      <c r="O246">
        <f>TEXT(A246,"yyyy-mm")</f>
        <v/>
      </c>
    </row>
    <row r="247">
      <c r="A247" s="2" t="n">
        <v>45571</v>
      </c>
      <c r="B247" t="n">
        <v>2024</v>
      </c>
      <c r="C247" t="inlineStr">
        <is>
          <t>October</t>
        </is>
      </c>
      <c r="D247" t="inlineStr">
        <is>
          <t>Essential Rug</t>
        </is>
      </c>
      <c r="E247" t="inlineStr">
        <is>
          <t>Home &amp; Garden</t>
        </is>
      </c>
      <c r="F247" t="inlineStr">
        <is>
          <t>Sophie Weber</t>
        </is>
      </c>
      <c r="G247" t="inlineStr">
        <is>
          <t>Germany</t>
        </is>
      </c>
      <c r="H247" t="inlineStr">
        <is>
          <t>Retail Store</t>
        </is>
      </c>
      <c r="I247" t="n">
        <v>2</v>
      </c>
      <c r="J247" s="3" t="n">
        <v>275.74</v>
      </c>
      <c r="K247" s="3" t="n">
        <v>0</v>
      </c>
      <c r="L247" s="3" t="n">
        <v>275.74</v>
      </c>
      <c r="M247" s="3" t="n">
        <v>152.66</v>
      </c>
      <c r="N247" s="3" t="n">
        <v>123.08</v>
      </c>
      <c r="O247">
        <f>TEXT(A247,"yyyy-mm")</f>
        <v/>
      </c>
    </row>
    <row r="248">
      <c r="A248" s="2" t="n">
        <v>45571</v>
      </c>
      <c r="B248" t="n">
        <v>2024</v>
      </c>
      <c r="C248" t="inlineStr">
        <is>
          <t>October</t>
        </is>
      </c>
      <c r="D248" t="inlineStr">
        <is>
          <t>Essential Lamp</t>
        </is>
      </c>
      <c r="E248" t="inlineStr">
        <is>
          <t>Home &amp; Garden</t>
        </is>
      </c>
      <c r="F248" t="inlineStr">
        <is>
          <t>Sophie Weber</t>
        </is>
      </c>
      <c r="G248" t="inlineStr">
        <is>
          <t>Germany</t>
        </is>
      </c>
      <c r="H248" t="inlineStr">
        <is>
          <t>Retail Store</t>
        </is>
      </c>
      <c r="I248" t="n">
        <v>2</v>
      </c>
      <c r="J248" s="3" t="n">
        <v>128.74</v>
      </c>
      <c r="K248" s="3" t="n">
        <v>6.44</v>
      </c>
      <c r="L248" s="3" t="n">
        <v>122.3</v>
      </c>
      <c r="M248" s="3" t="n">
        <v>90.8</v>
      </c>
      <c r="N248" s="3" t="n">
        <v>31.5</v>
      </c>
      <c r="O248">
        <f>TEXT(A248,"yyyy-mm")</f>
        <v/>
      </c>
    </row>
    <row r="249">
      <c r="A249" s="2" t="n">
        <v>45571</v>
      </c>
      <c r="B249" t="n">
        <v>2024</v>
      </c>
      <c r="C249" t="inlineStr">
        <is>
          <t>October</t>
        </is>
      </c>
      <c r="D249" t="inlineStr">
        <is>
          <t>Essential Planter</t>
        </is>
      </c>
      <c r="E249" t="inlineStr">
        <is>
          <t>Home &amp; Garden</t>
        </is>
      </c>
      <c r="F249" t="inlineStr">
        <is>
          <t>Clara Smith</t>
        </is>
      </c>
      <c r="G249" t="inlineStr">
        <is>
          <t>United States</t>
        </is>
      </c>
      <c r="H249" t="inlineStr">
        <is>
          <t>Web Store</t>
        </is>
      </c>
      <c r="I249" t="n">
        <v>4</v>
      </c>
      <c r="J249" s="3" t="n">
        <v>101.52</v>
      </c>
      <c r="K249" s="3" t="n">
        <v>0</v>
      </c>
      <c r="L249" s="3" t="n">
        <v>101.52</v>
      </c>
      <c r="M249" s="3" t="n">
        <v>78.56</v>
      </c>
      <c r="N249" s="3" t="n">
        <v>22.96</v>
      </c>
      <c r="O249">
        <f>TEXT(A249,"yyyy-mm")</f>
        <v/>
      </c>
    </row>
    <row r="250">
      <c r="A250" s="2" t="n">
        <v>45571</v>
      </c>
      <c r="B250" t="n">
        <v>2024</v>
      </c>
      <c r="C250" t="inlineStr">
        <is>
          <t>October</t>
        </is>
      </c>
      <c r="D250" t="inlineStr">
        <is>
          <t>Classic Tea Set</t>
        </is>
      </c>
      <c r="E250" t="inlineStr">
        <is>
          <t>Grocery</t>
        </is>
      </c>
      <c r="F250" t="inlineStr">
        <is>
          <t>Clara Smith</t>
        </is>
      </c>
      <c r="G250" t="inlineStr">
        <is>
          <t>United States</t>
        </is>
      </c>
      <c r="H250" t="inlineStr">
        <is>
          <t>Web Store</t>
        </is>
      </c>
      <c r="I250" t="n">
        <v>2</v>
      </c>
      <c r="J250" s="3" t="n">
        <v>362.76</v>
      </c>
      <c r="K250" s="3" t="n">
        <v>72.55</v>
      </c>
      <c r="L250" s="3" t="n">
        <v>290.21</v>
      </c>
      <c r="M250" s="3" t="n">
        <v>250.8</v>
      </c>
      <c r="N250" s="3" t="n">
        <v>39.41</v>
      </c>
      <c r="O250">
        <f>TEXT(A250,"yyyy-mm")</f>
        <v/>
      </c>
    </row>
    <row r="251">
      <c r="A251" s="2" t="n">
        <v>45571</v>
      </c>
      <c r="B251" t="n">
        <v>2024</v>
      </c>
      <c r="C251" t="inlineStr">
        <is>
          <t>October</t>
        </is>
      </c>
      <c r="D251" t="inlineStr">
        <is>
          <t>Smart Drone</t>
        </is>
      </c>
      <c r="E251" t="inlineStr">
        <is>
          <t>Toys &amp; Games</t>
        </is>
      </c>
      <c r="F251" t="inlineStr">
        <is>
          <t>Sophie Weber</t>
        </is>
      </c>
      <c r="G251" t="inlineStr">
        <is>
          <t>Germany</t>
        </is>
      </c>
      <c r="H251" t="inlineStr">
        <is>
          <t>Retail Store</t>
        </is>
      </c>
      <c r="I251" t="n">
        <v>4</v>
      </c>
      <c r="J251" s="3" t="n">
        <v>890.6799999999999</v>
      </c>
      <c r="K251" s="3" t="n">
        <v>44.53</v>
      </c>
      <c r="L251" s="3" t="n">
        <v>846.15</v>
      </c>
      <c r="M251" s="3" t="n">
        <v>507.8</v>
      </c>
      <c r="N251" s="3" t="n">
        <v>338.35</v>
      </c>
      <c r="O251">
        <f>TEXT(A251,"yyyy-mm")</f>
        <v/>
      </c>
    </row>
    <row r="252">
      <c r="A252" s="2" t="n">
        <v>45572</v>
      </c>
      <c r="B252" t="n">
        <v>2024</v>
      </c>
      <c r="C252" t="inlineStr">
        <is>
          <t>October</t>
        </is>
      </c>
      <c r="D252" t="inlineStr">
        <is>
          <t>Wireless Coffee Beans</t>
        </is>
      </c>
      <c r="E252" t="inlineStr">
        <is>
          <t>Grocery</t>
        </is>
      </c>
      <c r="F252" t="inlineStr">
        <is>
          <t>John Lopez</t>
        </is>
      </c>
      <c r="G252" t="inlineStr">
        <is>
          <t>Germany</t>
        </is>
      </c>
      <c r="H252" t="inlineStr">
        <is>
          <t>Retail Store</t>
        </is>
      </c>
      <c r="I252" t="n">
        <v>3</v>
      </c>
      <c r="J252" s="3" t="n">
        <v>647.4299999999999</v>
      </c>
      <c r="K252" s="3" t="n">
        <v>32.37</v>
      </c>
      <c r="L252" s="3" t="n">
        <v>615.0599999999999</v>
      </c>
      <c r="M252" s="3" t="n">
        <v>390.39</v>
      </c>
      <c r="N252" s="3" t="n">
        <v>224.67</v>
      </c>
      <c r="O252">
        <f>TEXT(A252,"yyyy-mm")</f>
        <v/>
      </c>
    </row>
    <row r="253">
      <c r="A253" s="2" t="n">
        <v>45572</v>
      </c>
      <c r="B253" t="n">
        <v>2024</v>
      </c>
      <c r="C253" t="inlineStr">
        <is>
          <t>October</t>
        </is>
      </c>
      <c r="D253" t="inlineStr">
        <is>
          <t>Deluxe Notebook</t>
        </is>
      </c>
      <c r="E253" t="inlineStr">
        <is>
          <t>Books</t>
        </is>
      </c>
      <c r="F253" t="inlineStr">
        <is>
          <t>John Lopez</t>
        </is>
      </c>
      <c r="G253" t="inlineStr">
        <is>
          <t>Germany</t>
        </is>
      </c>
      <c r="H253" t="inlineStr">
        <is>
          <t>Retail Store</t>
        </is>
      </c>
      <c r="I253" t="n">
        <v>5</v>
      </c>
      <c r="J253" s="3" t="n">
        <v>1037.5</v>
      </c>
      <c r="K253" s="3" t="n">
        <v>0</v>
      </c>
      <c r="L253" s="3" t="n">
        <v>1037.5</v>
      </c>
      <c r="M253" s="3" t="n">
        <v>753.8</v>
      </c>
      <c r="N253" s="3" t="n">
        <v>283.7</v>
      </c>
      <c r="O253">
        <f>TEXT(A253,"yyyy-mm")</f>
        <v/>
      </c>
    </row>
    <row r="254">
      <c r="A254" s="2" t="n">
        <v>45572</v>
      </c>
      <c r="B254" t="n">
        <v>2024</v>
      </c>
      <c r="C254" t="inlineStr">
        <is>
          <t>October</t>
        </is>
      </c>
      <c r="D254" t="inlineStr">
        <is>
          <t>Classic Coffee Beans</t>
        </is>
      </c>
      <c r="E254" t="inlineStr">
        <is>
          <t>Grocery</t>
        </is>
      </c>
      <c r="F254" t="inlineStr">
        <is>
          <t>John Lopez</t>
        </is>
      </c>
      <c r="G254" t="inlineStr">
        <is>
          <t>Germany</t>
        </is>
      </c>
      <c r="H254" t="inlineStr">
        <is>
          <t>Retail Store</t>
        </is>
      </c>
      <c r="I254" t="n">
        <v>2</v>
      </c>
      <c r="J254" s="3" t="n">
        <v>680.66</v>
      </c>
      <c r="K254" s="3" t="n">
        <v>34.03</v>
      </c>
      <c r="L254" s="3" t="n">
        <v>646.63</v>
      </c>
      <c r="M254" s="3" t="n">
        <v>389.52</v>
      </c>
      <c r="N254" s="3" t="n">
        <v>257.11</v>
      </c>
      <c r="O254">
        <f>TEXT(A254,"yyyy-mm")</f>
        <v/>
      </c>
    </row>
    <row r="255">
      <c r="A255" s="2" t="n">
        <v>45573</v>
      </c>
      <c r="B255" t="n">
        <v>2024</v>
      </c>
      <c r="C255" t="inlineStr">
        <is>
          <t>October</t>
        </is>
      </c>
      <c r="D255" t="inlineStr">
        <is>
          <t>Compact Sunscreen</t>
        </is>
      </c>
      <c r="E255" t="inlineStr">
        <is>
          <t>Beauty &amp; Health</t>
        </is>
      </c>
      <c r="F255" t="inlineStr">
        <is>
          <t>Laura Rossi</t>
        </is>
      </c>
      <c r="G255" t="inlineStr">
        <is>
          <t>United States</t>
        </is>
      </c>
      <c r="H255" t="inlineStr">
        <is>
          <t>Marketplace</t>
        </is>
      </c>
      <c r="I255" t="n">
        <v>4</v>
      </c>
      <c r="J255" s="3" t="n">
        <v>1212.48</v>
      </c>
      <c r="K255" s="3" t="n">
        <v>121.25</v>
      </c>
      <c r="L255" s="3" t="n">
        <v>1091.23</v>
      </c>
      <c r="M255" s="3" t="n">
        <v>710.64</v>
      </c>
      <c r="N255" s="3" t="n">
        <v>380.59</v>
      </c>
      <c r="O255">
        <f>TEXT(A255,"yyyy-mm")</f>
        <v/>
      </c>
    </row>
    <row r="256">
      <c r="A256" s="2" t="n">
        <v>45573</v>
      </c>
      <c r="B256" t="n">
        <v>2024</v>
      </c>
      <c r="C256" t="inlineStr">
        <is>
          <t>October</t>
        </is>
      </c>
      <c r="D256" t="inlineStr">
        <is>
          <t>Smart Olive Oil</t>
        </is>
      </c>
      <c r="E256" t="inlineStr">
        <is>
          <t>Grocery</t>
        </is>
      </c>
      <c r="F256" t="inlineStr">
        <is>
          <t>Laura Rossi</t>
        </is>
      </c>
      <c r="G256" t="inlineStr">
        <is>
          <t>United States</t>
        </is>
      </c>
      <c r="H256" t="inlineStr">
        <is>
          <t>Marketplace</t>
        </is>
      </c>
      <c r="I256" t="n">
        <v>1</v>
      </c>
      <c r="J256" s="3" t="n">
        <v>168.4</v>
      </c>
      <c r="K256" s="3" t="n">
        <v>0</v>
      </c>
      <c r="L256" s="3" t="n">
        <v>168.4</v>
      </c>
      <c r="M256" s="3" t="n">
        <v>110.02</v>
      </c>
      <c r="N256" s="3" t="n">
        <v>58.38</v>
      </c>
      <c r="O256">
        <f>TEXT(A256,"yyyy-mm")</f>
        <v/>
      </c>
    </row>
    <row r="257">
      <c r="A257" s="2" t="n">
        <v>45573</v>
      </c>
      <c r="B257" t="n">
        <v>2024</v>
      </c>
      <c r="C257" t="inlineStr">
        <is>
          <t>October</t>
        </is>
      </c>
      <c r="D257" t="inlineStr">
        <is>
          <t>Essential Planter</t>
        </is>
      </c>
      <c r="E257" t="inlineStr">
        <is>
          <t>Home &amp; Garden</t>
        </is>
      </c>
      <c r="F257" t="inlineStr">
        <is>
          <t>Laura Rossi</t>
        </is>
      </c>
      <c r="G257" t="inlineStr">
        <is>
          <t>United States</t>
        </is>
      </c>
      <c r="H257" t="inlineStr">
        <is>
          <t>Marketplace</t>
        </is>
      </c>
      <c r="I257" t="n">
        <v>5</v>
      </c>
      <c r="J257" s="3" t="n">
        <v>121.75</v>
      </c>
      <c r="K257" s="3" t="n">
        <v>6.09</v>
      </c>
      <c r="L257" s="3" t="n">
        <v>115.66</v>
      </c>
      <c r="M257" s="3" t="n">
        <v>98.2</v>
      </c>
      <c r="N257" s="3" t="n">
        <v>17.46</v>
      </c>
      <c r="O257">
        <f>TEXT(A257,"yyyy-mm")</f>
        <v/>
      </c>
    </row>
    <row r="258">
      <c r="A258" s="2" t="n">
        <v>45573</v>
      </c>
      <c r="B258" t="n">
        <v>2024</v>
      </c>
      <c r="C258" t="inlineStr">
        <is>
          <t>October</t>
        </is>
      </c>
      <c r="D258" t="inlineStr">
        <is>
          <t>Wireless Backpack</t>
        </is>
      </c>
      <c r="E258" t="inlineStr">
        <is>
          <t>Sports &amp; Outdoors</t>
        </is>
      </c>
      <c r="F258" t="inlineStr">
        <is>
          <t>Thomas Wojcik</t>
        </is>
      </c>
      <c r="G258" t="inlineStr">
        <is>
          <t>Spain</t>
        </is>
      </c>
      <c r="H258" t="inlineStr">
        <is>
          <t>Mobile App</t>
        </is>
      </c>
      <c r="I258" t="n">
        <v>2</v>
      </c>
      <c r="J258" s="3" t="n">
        <v>98.73999999999999</v>
      </c>
      <c r="K258" s="3" t="n">
        <v>0</v>
      </c>
      <c r="L258" s="3" t="n">
        <v>98.73999999999999</v>
      </c>
      <c r="M258" s="3" t="n">
        <v>56.2</v>
      </c>
      <c r="N258" s="3" t="n">
        <v>42.54</v>
      </c>
      <c r="O258">
        <f>TEXT(A258,"yyyy-mm")</f>
        <v/>
      </c>
    </row>
    <row r="259">
      <c r="A259" s="2" t="n">
        <v>45573</v>
      </c>
      <c r="B259" t="n">
        <v>2024</v>
      </c>
      <c r="C259" t="inlineStr">
        <is>
          <t>October</t>
        </is>
      </c>
      <c r="D259" t="inlineStr">
        <is>
          <t>Deluxe Puzzle</t>
        </is>
      </c>
      <c r="E259" t="inlineStr">
        <is>
          <t>Toys &amp; Games</t>
        </is>
      </c>
      <c r="F259" t="inlineStr">
        <is>
          <t>Thomas Wojcik</t>
        </is>
      </c>
      <c r="G259" t="inlineStr">
        <is>
          <t>Spain</t>
        </is>
      </c>
      <c r="H259" t="inlineStr">
        <is>
          <t>Mobile App</t>
        </is>
      </c>
      <c r="I259" t="n">
        <v>5</v>
      </c>
      <c r="J259" s="3" t="n">
        <v>1063.8</v>
      </c>
      <c r="K259" s="3" t="n">
        <v>53.19</v>
      </c>
      <c r="L259" s="3" t="n">
        <v>1010.61</v>
      </c>
      <c r="M259" s="3" t="n">
        <v>555.85</v>
      </c>
      <c r="N259" s="3" t="n">
        <v>454.76</v>
      </c>
      <c r="O259">
        <f>TEXT(A259,"yyyy-mm")</f>
        <v/>
      </c>
    </row>
    <row r="260">
      <c r="A260" s="2" t="n">
        <v>45574</v>
      </c>
      <c r="B260" t="n">
        <v>2024</v>
      </c>
      <c r="C260" t="inlineStr">
        <is>
          <t>October</t>
        </is>
      </c>
      <c r="D260" t="inlineStr">
        <is>
          <t>Ultra Vitamins</t>
        </is>
      </c>
      <c r="E260" t="inlineStr">
        <is>
          <t>Beauty &amp; Health</t>
        </is>
      </c>
      <c r="F260" t="inlineStr">
        <is>
          <t>Nina Weber</t>
        </is>
      </c>
      <c r="G260" t="inlineStr">
        <is>
          <t>Italy</t>
        </is>
      </c>
      <c r="H260" t="inlineStr">
        <is>
          <t>Retail Store</t>
        </is>
      </c>
      <c r="I260" t="n">
        <v>5</v>
      </c>
      <c r="J260" s="3" t="n">
        <v>1013.4</v>
      </c>
      <c r="K260" s="3" t="n">
        <v>101.34</v>
      </c>
      <c r="L260" s="3" t="n">
        <v>912.0599999999999</v>
      </c>
      <c r="M260" s="3" t="n">
        <v>630.5</v>
      </c>
      <c r="N260" s="3" t="n">
        <v>281.56</v>
      </c>
      <c r="O260">
        <f>TEXT(A260,"yyyy-mm")</f>
        <v/>
      </c>
    </row>
    <row r="261">
      <c r="A261" s="2" t="n">
        <v>45574</v>
      </c>
      <c r="B261" t="n">
        <v>2024</v>
      </c>
      <c r="C261" t="inlineStr">
        <is>
          <t>October</t>
        </is>
      </c>
      <c r="D261" t="inlineStr">
        <is>
          <t>Compact Jacket</t>
        </is>
      </c>
      <c r="E261" t="inlineStr">
        <is>
          <t>Clothing</t>
        </is>
      </c>
      <c r="F261" t="inlineStr">
        <is>
          <t>John Conti</t>
        </is>
      </c>
      <c r="G261" t="inlineStr">
        <is>
          <t>Germany</t>
        </is>
      </c>
      <c r="H261" t="inlineStr">
        <is>
          <t>Mobile App</t>
        </is>
      </c>
      <c r="I261" t="n">
        <v>3</v>
      </c>
      <c r="J261" s="3" t="n">
        <v>115.35</v>
      </c>
      <c r="K261" s="3" t="n">
        <v>17.3</v>
      </c>
      <c r="L261" s="3" t="n">
        <v>98.05</v>
      </c>
      <c r="M261" s="3" t="n">
        <v>61.2</v>
      </c>
      <c r="N261" s="3" t="n">
        <v>36.85</v>
      </c>
      <c r="O261">
        <f>TEXT(A261,"yyyy-mm")</f>
        <v/>
      </c>
    </row>
    <row r="262">
      <c r="A262" s="2" t="n">
        <v>45574</v>
      </c>
      <c r="B262" t="n">
        <v>2024</v>
      </c>
      <c r="C262" t="inlineStr">
        <is>
          <t>October</t>
        </is>
      </c>
      <c r="D262" t="inlineStr">
        <is>
          <t>Deluxe Toothbrush</t>
        </is>
      </c>
      <c r="E262" t="inlineStr">
        <is>
          <t>Beauty &amp; Health</t>
        </is>
      </c>
      <c r="F262" t="inlineStr">
        <is>
          <t>John Conti</t>
        </is>
      </c>
      <c r="G262" t="inlineStr">
        <is>
          <t>Germany</t>
        </is>
      </c>
      <c r="H262" t="inlineStr">
        <is>
          <t>Mobile App</t>
        </is>
      </c>
      <c r="I262" t="n">
        <v>4</v>
      </c>
      <c r="J262" s="3" t="n">
        <v>1320.64</v>
      </c>
      <c r="K262" s="3" t="n">
        <v>0</v>
      </c>
      <c r="L262" s="3" t="n">
        <v>1320.64</v>
      </c>
      <c r="M262" s="3" t="n">
        <v>698.28</v>
      </c>
      <c r="N262" s="3" t="n">
        <v>622.36</v>
      </c>
      <c r="O262">
        <f>TEXT(A262,"yyyy-mm")</f>
        <v/>
      </c>
    </row>
    <row r="263">
      <c r="A263" s="2" t="n">
        <v>45574</v>
      </c>
      <c r="B263" t="n">
        <v>2024</v>
      </c>
      <c r="C263" t="inlineStr">
        <is>
          <t>October</t>
        </is>
      </c>
      <c r="D263" t="inlineStr">
        <is>
          <t>Premium Water Bottle</t>
        </is>
      </c>
      <c r="E263" t="inlineStr">
        <is>
          <t>Sports &amp; Outdoors</t>
        </is>
      </c>
      <c r="F263" t="inlineStr">
        <is>
          <t>Nina Weber</t>
        </is>
      </c>
      <c r="G263" t="inlineStr">
        <is>
          <t>Italy</t>
        </is>
      </c>
      <c r="H263" t="inlineStr">
        <is>
          <t>Retail Store</t>
        </is>
      </c>
      <c r="I263" t="n">
        <v>5</v>
      </c>
      <c r="J263" s="3" t="n">
        <v>606.45</v>
      </c>
      <c r="K263" s="3" t="n">
        <v>90.97</v>
      </c>
      <c r="L263" s="3" t="n">
        <v>515.48</v>
      </c>
      <c r="M263" s="3" t="n">
        <v>448.1</v>
      </c>
      <c r="N263" s="3" t="n">
        <v>67.38</v>
      </c>
      <c r="O263">
        <f>TEXT(A263,"yyyy-mm")</f>
        <v/>
      </c>
    </row>
    <row r="264">
      <c r="A264" s="2" t="n">
        <v>45574</v>
      </c>
      <c r="B264" t="n">
        <v>2024</v>
      </c>
      <c r="C264" t="inlineStr">
        <is>
          <t>October</t>
        </is>
      </c>
      <c r="D264" t="inlineStr">
        <is>
          <t>Essential Planter</t>
        </is>
      </c>
      <c r="E264" t="inlineStr">
        <is>
          <t>Home &amp; Garden</t>
        </is>
      </c>
      <c r="F264" t="inlineStr">
        <is>
          <t>Nina Weber</t>
        </is>
      </c>
      <c r="G264" t="inlineStr">
        <is>
          <t>Italy</t>
        </is>
      </c>
      <c r="H264" t="inlineStr">
        <is>
          <t>Retail Store</t>
        </is>
      </c>
      <c r="I264" t="n">
        <v>4</v>
      </c>
      <c r="J264" s="3" t="n">
        <v>98.31999999999999</v>
      </c>
      <c r="K264" s="3" t="n">
        <v>19.66</v>
      </c>
      <c r="L264" s="3" t="n">
        <v>78.66</v>
      </c>
      <c r="M264" s="3" t="n">
        <v>78.56</v>
      </c>
      <c r="N264" s="3" t="n">
        <v>0.1</v>
      </c>
      <c r="O264">
        <f>TEXT(A264,"yyyy-mm")</f>
        <v/>
      </c>
    </row>
    <row r="265">
      <c r="A265" s="2" t="n">
        <v>45575</v>
      </c>
      <c r="B265" t="n">
        <v>2024</v>
      </c>
      <c r="C265" t="inlineStr">
        <is>
          <t>October</t>
        </is>
      </c>
      <c r="D265" t="inlineStr">
        <is>
          <t>Compact Pasta</t>
        </is>
      </c>
      <c r="E265" t="inlineStr">
        <is>
          <t>Grocery</t>
        </is>
      </c>
      <c r="F265" t="inlineStr">
        <is>
          <t>Olivia Conti</t>
        </is>
      </c>
      <c r="G265" t="inlineStr">
        <is>
          <t>France</t>
        </is>
      </c>
      <c r="H265" t="inlineStr">
        <is>
          <t>Mobile App</t>
        </is>
      </c>
      <c r="I265" t="n">
        <v>1</v>
      </c>
      <c r="J265" s="3" t="n">
        <v>313.56</v>
      </c>
      <c r="K265" s="3" t="n">
        <v>31.36</v>
      </c>
      <c r="L265" s="3" t="n">
        <v>282.2</v>
      </c>
      <c r="M265" s="3" t="n">
        <v>199.4</v>
      </c>
      <c r="N265" s="3" t="n">
        <v>82.8</v>
      </c>
      <c r="O265">
        <f>TEXT(A265,"yyyy-mm")</f>
        <v/>
      </c>
    </row>
    <row r="266">
      <c r="A266" s="2" t="n">
        <v>45575</v>
      </c>
      <c r="B266" t="n">
        <v>2024</v>
      </c>
      <c r="C266" t="inlineStr">
        <is>
          <t>October</t>
        </is>
      </c>
      <c r="D266" t="inlineStr">
        <is>
          <t>Smart Olive Oil</t>
        </is>
      </c>
      <c r="E266" t="inlineStr">
        <is>
          <t>Grocery</t>
        </is>
      </c>
      <c r="F266" t="inlineStr">
        <is>
          <t>Olivia Conti</t>
        </is>
      </c>
      <c r="G266" t="inlineStr">
        <is>
          <t>France</t>
        </is>
      </c>
      <c r="H266" t="inlineStr">
        <is>
          <t>Mobile App</t>
        </is>
      </c>
      <c r="I266" t="n">
        <v>2</v>
      </c>
      <c r="J266" s="3" t="n">
        <v>339.38</v>
      </c>
      <c r="K266" s="3" t="n">
        <v>50.91</v>
      </c>
      <c r="L266" s="3" t="n">
        <v>288.47</v>
      </c>
      <c r="M266" s="3" t="n">
        <v>220.04</v>
      </c>
      <c r="N266" s="3" t="n">
        <v>68.43000000000001</v>
      </c>
      <c r="O266">
        <f>TEXT(A266,"yyyy-mm")</f>
        <v/>
      </c>
    </row>
    <row r="267">
      <c r="A267" s="2" t="n">
        <v>45575</v>
      </c>
      <c r="B267" t="n">
        <v>2024</v>
      </c>
      <c r="C267" t="inlineStr">
        <is>
          <t>October</t>
        </is>
      </c>
      <c r="D267" t="inlineStr">
        <is>
          <t>Essential Planter</t>
        </is>
      </c>
      <c r="E267" t="inlineStr">
        <is>
          <t>Home &amp; Garden</t>
        </is>
      </c>
      <c r="F267" t="inlineStr">
        <is>
          <t>Clara Kowalski</t>
        </is>
      </c>
      <c r="G267" t="inlineStr">
        <is>
          <t>France</t>
        </is>
      </c>
      <c r="H267" t="inlineStr">
        <is>
          <t>Marketplace</t>
        </is>
      </c>
      <c r="I267" t="n">
        <v>2</v>
      </c>
      <c r="J267" s="3" t="n">
        <v>52.74</v>
      </c>
      <c r="K267" s="3" t="n">
        <v>5.27</v>
      </c>
      <c r="L267" s="3" t="n">
        <v>47.47</v>
      </c>
      <c r="M267" s="3" t="n">
        <v>39.28</v>
      </c>
      <c r="N267" s="3" t="n">
        <v>8.19</v>
      </c>
      <c r="O267">
        <f>TEXT(A267,"yyyy-mm")</f>
        <v/>
      </c>
    </row>
    <row r="268">
      <c r="A268" s="2" t="n">
        <v>45575</v>
      </c>
      <c r="B268" t="n">
        <v>2024</v>
      </c>
      <c r="C268" t="inlineStr">
        <is>
          <t>October</t>
        </is>
      </c>
      <c r="D268" t="inlineStr">
        <is>
          <t>Eco Planter</t>
        </is>
      </c>
      <c r="E268" t="inlineStr">
        <is>
          <t>Home &amp; Garden</t>
        </is>
      </c>
      <c r="F268" t="inlineStr">
        <is>
          <t>Clara Kowalski</t>
        </is>
      </c>
      <c r="G268" t="inlineStr">
        <is>
          <t>France</t>
        </is>
      </c>
      <c r="H268" t="inlineStr">
        <is>
          <t>Marketplace</t>
        </is>
      </c>
      <c r="I268" t="n">
        <v>2</v>
      </c>
      <c r="J268" s="3" t="n">
        <v>356.8</v>
      </c>
      <c r="K268" s="3" t="n">
        <v>71.36</v>
      </c>
      <c r="L268" s="3" t="n">
        <v>285.44</v>
      </c>
      <c r="M268" s="3" t="n">
        <v>224.82</v>
      </c>
      <c r="N268" s="3" t="n">
        <v>60.62</v>
      </c>
      <c r="O268">
        <f>TEXT(A268,"yyyy-mm")</f>
        <v/>
      </c>
    </row>
    <row r="269">
      <c r="A269" s="2" t="n">
        <v>45575</v>
      </c>
      <c r="B269" t="n">
        <v>2024</v>
      </c>
      <c r="C269" t="inlineStr">
        <is>
          <t>October</t>
        </is>
      </c>
      <c r="D269" t="inlineStr">
        <is>
          <t>Classic Charger</t>
        </is>
      </c>
      <c r="E269" t="inlineStr">
        <is>
          <t>Electronics</t>
        </is>
      </c>
      <c r="F269" t="inlineStr">
        <is>
          <t>Olivia Conti</t>
        </is>
      </c>
      <c r="G269" t="inlineStr">
        <is>
          <t>France</t>
        </is>
      </c>
      <c r="H269" t="inlineStr">
        <is>
          <t>Mobile App</t>
        </is>
      </c>
      <c r="I269" t="n">
        <v>3</v>
      </c>
      <c r="J269" s="3" t="n">
        <v>295.68</v>
      </c>
      <c r="K269" s="3" t="n">
        <v>0</v>
      </c>
      <c r="L269" s="3" t="n">
        <v>295.68</v>
      </c>
      <c r="M269" s="3" t="n">
        <v>186.63</v>
      </c>
      <c r="N269" s="3" t="n">
        <v>109.05</v>
      </c>
      <c r="O269">
        <f>TEXT(A269,"yyyy-mm")</f>
        <v/>
      </c>
    </row>
    <row r="270">
      <c r="A270" s="2" t="n">
        <v>45575</v>
      </c>
      <c r="B270" t="n">
        <v>2024</v>
      </c>
      <c r="C270" t="inlineStr">
        <is>
          <t>October</t>
        </is>
      </c>
      <c r="D270" t="inlineStr">
        <is>
          <t>Smart Olive Oil</t>
        </is>
      </c>
      <c r="E270" t="inlineStr">
        <is>
          <t>Grocery</t>
        </is>
      </c>
      <c r="F270" t="inlineStr">
        <is>
          <t>Maria Muller</t>
        </is>
      </c>
      <c r="G270" t="inlineStr">
        <is>
          <t>Netherlands</t>
        </is>
      </c>
      <c r="H270" t="inlineStr">
        <is>
          <t>Web Store</t>
        </is>
      </c>
      <c r="I270" t="n">
        <v>5</v>
      </c>
      <c r="J270" s="3" t="n">
        <v>807.15</v>
      </c>
      <c r="K270" s="3" t="n">
        <v>161.43</v>
      </c>
      <c r="L270" s="3" t="n">
        <v>645.72</v>
      </c>
      <c r="M270" s="3" t="n">
        <v>550.1</v>
      </c>
      <c r="N270" s="3" t="n">
        <v>95.62</v>
      </c>
      <c r="O270">
        <f>TEXT(A270,"yyyy-mm")</f>
        <v/>
      </c>
    </row>
    <row r="271">
      <c r="A271" s="2" t="n">
        <v>45575</v>
      </c>
      <c r="B271" t="n">
        <v>2024</v>
      </c>
      <c r="C271" t="inlineStr">
        <is>
          <t>October</t>
        </is>
      </c>
      <c r="D271" t="inlineStr">
        <is>
          <t>Eco Biography</t>
        </is>
      </c>
      <c r="E271" t="inlineStr">
        <is>
          <t>Books</t>
        </is>
      </c>
      <c r="F271" t="inlineStr">
        <is>
          <t>Clara Kowalski</t>
        </is>
      </c>
      <c r="G271" t="inlineStr">
        <is>
          <t>France</t>
        </is>
      </c>
      <c r="H271" t="inlineStr">
        <is>
          <t>Marketplace</t>
        </is>
      </c>
      <c r="I271" t="n">
        <v>3</v>
      </c>
      <c r="J271" s="3" t="n">
        <v>381.87</v>
      </c>
      <c r="K271" s="3" t="n">
        <v>0</v>
      </c>
      <c r="L271" s="3" t="n">
        <v>381.87</v>
      </c>
      <c r="M271" s="3" t="n">
        <v>213.06</v>
      </c>
      <c r="N271" s="3" t="n">
        <v>168.81</v>
      </c>
      <c r="O271">
        <f>TEXT(A271,"yyyy-mm")</f>
        <v/>
      </c>
    </row>
    <row r="272">
      <c r="A272" s="2" t="n">
        <v>45575</v>
      </c>
      <c r="B272" t="n">
        <v>2024</v>
      </c>
      <c r="C272" t="inlineStr">
        <is>
          <t>October</t>
        </is>
      </c>
      <c r="D272" t="inlineStr">
        <is>
          <t>Deluxe Cookbook</t>
        </is>
      </c>
      <c r="E272" t="inlineStr">
        <is>
          <t>Books</t>
        </is>
      </c>
      <c r="F272" t="inlineStr">
        <is>
          <t>Olivia Conti</t>
        </is>
      </c>
      <c r="G272" t="inlineStr">
        <is>
          <t>France</t>
        </is>
      </c>
      <c r="H272" t="inlineStr">
        <is>
          <t>Mobile App</t>
        </is>
      </c>
      <c r="I272" t="n">
        <v>2</v>
      </c>
      <c r="J272" s="3" t="n">
        <v>265.76</v>
      </c>
      <c r="K272" s="3" t="n">
        <v>0</v>
      </c>
      <c r="L272" s="3" t="n">
        <v>265.76</v>
      </c>
      <c r="M272" s="3" t="n">
        <v>170.54</v>
      </c>
      <c r="N272" s="3" t="n">
        <v>95.22</v>
      </c>
      <c r="O272">
        <f>TEXT(A272,"yyyy-mm")</f>
        <v/>
      </c>
    </row>
    <row r="273">
      <c r="A273" s="2" t="n">
        <v>45576</v>
      </c>
      <c r="B273" t="n">
        <v>2024</v>
      </c>
      <c r="C273" t="inlineStr">
        <is>
          <t>October</t>
        </is>
      </c>
      <c r="D273" t="inlineStr">
        <is>
          <t>Essential Vitamins</t>
        </is>
      </c>
      <c r="E273" t="inlineStr">
        <is>
          <t>Beauty &amp; Health</t>
        </is>
      </c>
      <c r="F273" t="inlineStr">
        <is>
          <t>Olivia Schmidt</t>
        </is>
      </c>
      <c r="G273" t="inlineStr">
        <is>
          <t>United States</t>
        </is>
      </c>
      <c r="H273" t="inlineStr">
        <is>
          <t>Marketplace</t>
        </is>
      </c>
      <c r="I273" t="n">
        <v>1</v>
      </c>
      <c r="J273" s="3" t="n">
        <v>170.31</v>
      </c>
      <c r="K273" s="3" t="n">
        <v>17.03</v>
      </c>
      <c r="L273" s="3" t="n">
        <v>153.28</v>
      </c>
      <c r="M273" s="3" t="n">
        <v>110.3</v>
      </c>
      <c r="N273" s="3" t="n">
        <v>42.98</v>
      </c>
      <c r="O273">
        <f>TEXT(A273,"yyyy-mm")</f>
        <v/>
      </c>
    </row>
    <row r="274">
      <c r="A274" s="2" t="n">
        <v>45576</v>
      </c>
      <c r="B274" t="n">
        <v>2024</v>
      </c>
      <c r="C274" t="inlineStr">
        <is>
          <t>October</t>
        </is>
      </c>
      <c r="D274" t="inlineStr">
        <is>
          <t>Wireless Honey</t>
        </is>
      </c>
      <c r="E274" t="inlineStr">
        <is>
          <t>Grocery</t>
        </is>
      </c>
      <c r="F274" t="inlineStr">
        <is>
          <t>Olivia Schmidt</t>
        </is>
      </c>
      <c r="G274" t="inlineStr">
        <is>
          <t>United States</t>
        </is>
      </c>
      <c r="H274" t="inlineStr">
        <is>
          <t>Marketplace</t>
        </is>
      </c>
      <c r="I274" t="n">
        <v>1</v>
      </c>
      <c r="J274" s="3" t="n">
        <v>134.54</v>
      </c>
      <c r="K274" s="3" t="n">
        <v>26.91</v>
      </c>
      <c r="L274" s="3" t="n">
        <v>107.63</v>
      </c>
      <c r="M274" s="3" t="n">
        <v>94.06999999999999</v>
      </c>
      <c r="N274" s="3" t="n">
        <v>13.56</v>
      </c>
      <c r="O274">
        <f>TEXT(A274,"yyyy-mm")</f>
        <v/>
      </c>
    </row>
    <row r="275">
      <c r="A275" s="2" t="n">
        <v>45576</v>
      </c>
      <c r="B275" t="n">
        <v>2024</v>
      </c>
      <c r="C275" t="inlineStr">
        <is>
          <t>October</t>
        </is>
      </c>
      <c r="D275" t="inlineStr">
        <is>
          <t>Smart Honey</t>
        </is>
      </c>
      <c r="E275" t="inlineStr">
        <is>
          <t>Grocery</t>
        </is>
      </c>
      <c r="F275" t="inlineStr">
        <is>
          <t>Mark Martin</t>
        </is>
      </c>
      <c r="G275" t="inlineStr">
        <is>
          <t>Spain</t>
        </is>
      </c>
      <c r="H275" t="inlineStr">
        <is>
          <t>Web Store</t>
        </is>
      </c>
      <c r="I275" t="n">
        <v>3</v>
      </c>
      <c r="J275" s="3" t="n">
        <v>383.58</v>
      </c>
      <c r="K275" s="3" t="n">
        <v>0</v>
      </c>
      <c r="L275" s="3" t="n">
        <v>383.58</v>
      </c>
      <c r="M275" s="3" t="n">
        <v>214.32</v>
      </c>
      <c r="N275" s="3" t="n">
        <v>169.26</v>
      </c>
      <c r="O275">
        <f>TEXT(A275,"yyyy-mm")</f>
        <v/>
      </c>
    </row>
    <row r="276">
      <c r="A276" s="2" t="n">
        <v>45576</v>
      </c>
      <c r="B276" t="n">
        <v>2024</v>
      </c>
      <c r="C276" t="inlineStr">
        <is>
          <t>October</t>
        </is>
      </c>
      <c r="D276" t="inlineStr">
        <is>
          <t>Smart Puzzle</t>
        </is>
      </c>
      <c r="E276" t="inlineStr">
        <is>
          <t>Toys &amp; Games</t>
        </is>
      </c>
      <c r="F276" t="inlineStr">
        <is>
          <t>Mark Martin</t>
        </is>
      </c>
      <c r="G276" t="inlineStr">
        <is>
          <t>Spain</t>
        </is>
      </c>
      <c r="H276" t="inlineStr">
        <is>
          <t>Web Store</t>
        </is>
      </c>
      <c r="I276" t="n">
        <v>5</v>
      </c>
      <c r="J276" s="3" t="n">
        <v>216.45</v>
      </c>
      <c r="K276" s="3" t="n">
        <v>0</v>
      </c>
      <c r="L276" s="3" t="n">
        <v>216.45</v>
      </c>
      <c r="M276" s="3" t="n">
        <v>122.2</v>
      </c>
      <c r="N276" s="3" t="n">
        <v>94.25</v>
      </c>
      <c r="O276">
        <f>TEXT(A276,"yyyy-mm")</f>
        <v/>
      </c>
    </row>
    <row r="277">
      <c r="A277" s="2" t="n">
        <v>45579</v>
      </c>
      <c r="B277" t="n">
        <v>2024</v>
      </c>
      <c r="C277" t="inlineStr">
        <is>
          <t>October</t>
        </is>
      </c>
      <c r="D277" t="inlineStr">
        <is>
          <t>Classic Tea Set</t>
        </is>
      </c>
      <c r="E277" t="inlineStr">
        <is>
          <t>Grocery</t>
        </is>
      </c>
      <c r="F277" t="inlineStr">
        <is>
          <t>James Weber</t>
        </is>
      </c>
      <c r="G277" t="inlineStr">
        <is>
          <t>United States</t>
        </is>
      </c>
      <c r="H277" t="inlineStr">
        <is>
          <t>Mobile App</t>
        </is>
      </c>
      <c r="I277" t="n">
        <v>3</v>
      </c>
      <c r="J277" s="3" t="n">
        <v>530.67</v>
      </c>
      <c r="K277" s="3" t="n">
        <v>26.53</v>
      </c>
      <c r="L277" s="3" t="n">
        <v>504.14</v>
      </c>
      <c r="M277" s="3" t="n">
        <v>376.2</v>
      </c>
      <c r="N277" s="3" t="n">
        <v>127.94</v>
      </c>
      <c r="O277">
        <f>TEXT(A277,"yyyy-mm")</f>
        <v/>
      </c>
    </row>
    <row r="278">
      <c r="A278" s="2" t="n">
        <v>45579</v>
      </c>
      <c r="B278" t="n">
        <v>2024</v>
      </c>
      <c r="C278" t="inlineStr">
        <is>
          <t>October</t>
        </is>
      </c>
      <c r="D278" t="inlineStr">
        <is>
          <t>Premium Water Bottle</t>
        </is>
      </c>
      <c r="E278" t="inlineStr">
        <is>
          <t>Sports &amp; Outdoors</t>
        </is>
      </c>
      <c r="F278" t="inlineStr">
        <is>
          <t>James Weber</t>
        </is>
      </c>
      <c r="G278" t="inlineStr">
        <is>
          <t>United States</t>
        </is>
      </c>
      <c r="H278" t="inlineStr">
        <is>
          <t>Mobile App</t>
        </is>
      </c>
      <c r="I278" t="n">
        <v>5</v>
      </c>
      <c r="J278" s="3" t="n">
        <v>615.3</v>
      </c>
      <c r="K278" s="3" t="n">
        <v>123.06</v>
      </c>
      <c r="L278" s="3" t="n">
        <v>492.24</v>
      </c>
      <c r="M278" s="3" t="n">
        <v>448.1</v>
      </c>
      <c r="N278" s="3" t="n">
        <v>44.14</v>
      </c>
      <c r="O278">
        <f>TEXT(A278,"yyyy-mm")</f>
        <v/>
      </c>
    </row>
    <row r="279">
      <c r="A279" s="2" t="n">
        <v>45580</v>
      </c>
      <c r="B279" t="n">
        <v>2024</v>
      </c>
      <c r="C279" t="inlineStr">
        <is>
          <t>October</t>
        </is>
      </c>
      <c r="D279" t="inlineStr">
        <is>
          <t>Portable Speaker</t>
        </is>
      </c>
      <c r="E279" t="inlineStr">
        <is>
          <t>Electronics</t>
        </is>
      </c>
      <c r="F279" t="inlineStr">
        <is>
          <t>Olivia Smith</t>
        </is>
      </c>
      <c r="G279" t="inlineStr">
        <is>
          <t>Italy</t>
        </is>
      </c>
      <c r="H279" t="inlineStr">
        <is>
          <t>Marketplace</t>
        </is>
      </c>
      <c r="I279" t="n">
        <v>2</v>
      </c>
      <c r="J279" s="3" t="n">
        <v>631.72</v>
      </c>
      <c r="K279" s="3" t="n">
        <v>0</v>
      </c>
      <c r="L279" s="3" t="n">
        <v>631.72</v>
      </c>
      <c r="M279" s="3" t="n">
        <v>349.66</v>
      </c>
      <c r="N279" s="3" t="n">
        <v>282.06</v>
      </c>
      <c r="O279">
        <f>TEXT(A279,"yyyy-mm")</f>
        <v/>
      </c>
    </row>
    <row r="280">
      <c r="A280" s="2" t="n">
        <v>45580</v>
      </c>
      <c r="B280" t="n">
        <v>2024</v>
      </c>
      <c r="C280" t="inlineStr">
        <is>
          <t>October</t>
        </is>
      </c>
      <c r="D280" t="inlineStr">
        <is>
          <t>Portable Puzzle</t>
        </is>
      </c>
      <c r="E280" t="inlineStr">
        <is>
          <t>Toys &amp; Games</t>
        </is>
      </c>
      <c r="F280" t="inlineStr">
        <is>
          <t>Olivia Smith</t>
        </is>
      </c>
      <c r="G280" t="inlineStr">
        <is>
          <t>Italy</t>
        </is>
      </c>
      <c r="H280" t="inlineStr">
        <is>
          <t>Marketplace</t>
        </is>
      </c>
      <c r="I280" t="n">
        <v>4</v>
      </c>
      <c r="J280" s="3" t="n">
        <v>424.48</v>
      </c>
      <c r="K280" s="3" t="n">
        <v>63.67</v>
      </c>
      <c r="L280" s="3" t="n">
        <v>360.81</v>
      </c>
      <c r="M280" s="3" t="n">
        <v>235.2</v>
      </c>
      <c r="N280" s="3" t="n">
        <v>125.61</v>
      </c>
      <c r="O280">
        <f>TEXT(A280,"yyyy-mm")</f>
        <v/>
      </c>
    </row>
    <row r="281">
      <c r="A281" s="2" t="n">
        <v>45580</v>
      </c>
      <c r="B281" t="n">
        <v>2024</v>
      </c>
      <c r="C281" t="inlineStr">
        <is>
          <t>October</t>
        </is>
      </c>
      <c r="D281" t="inlineStr">
        <is>
          <t>Essential Vitamins</t>
        </is>
      </c>
      <c r="E281" t="inlineStr">
        <is>
          <t>Beauty &amp; Health</t>
        </is>
      </c>
      <c r="F281" t="inlineStr">
        <is>
          <t>Olivia Smith</t>
        </is>
      </c>
      <c r="G281" t="inlineStr">
        <is>
          <t>Italy</t>
        </is>
      </c>
      <c r="H281" t="inlineStr">
        <is>
          <t>Marketplace</t>
        </is>
      </c>
      <c r="I281" t="n">
        <v>1</v>
      </c>
      <c r="J281" s="3" t="n">
        <v>166.2</v>
      </c>
      <c r="K281" s="3" t="n">
        <v>33.24</v>
      </c>
      <c r="L281" s="3" t="n">
        <v>132.96</v>
      </c>
      <c r="M281" s="3" t="n">
        <v>110.3</v>
      </c>
      <c r="N281" s="3" t="n">
        <v>22.66</v>
      </c>
      <c r="O281">
        <f>TEXT(A281,"yyyy-mm")</f>
        <v/>
      </c>
    </row>
    <row r="282">
      <c r="A282" s="2" t="n">
        <v>45580</v>
      </c>
      <c r="B282" t="n">
        <v>2024</v>
      </c>
      <c r="C282" t="inlineStr">
        <is>
          <t>October</t>
        </is>
      </c>
      <c r="D282" t="inlineStr">
        <is>
          <t>Wireless Backpack</t>
        </is>
      </c>
      <c r="E282" t="inlineStr">
        <is>
          <t>Sports &amp; Outdoors</t>
        </is>
      </c>
      <c r="F282" t="inlineStr">
        <is>
          <t>Olivia Smith</t>
        </is>
      </c>
      <c r="G282" t="inlineStr">
        <is>
          <t>Italy</t>
        </is>
      </c>
      <c r="H282" t="inlineStr">
        <is>
          <t>Marketplace</t>
        </is>
      </c>
      <c r="I282" t="n">
        <v>1</v>
      </c>
      <c r="J282" s="3" t="n">
        <v>49.24</v>
      </c>
      <c r="K282" s="3" t="n">
        <v>4.92</v>
      </c>
      <c r="L282" s="3" t="n">
        <v>44.32</v>
      </c>
      <c r="M282" s="3" t="n">
        <v>28.1</v>
      </c>
      <c r="N282" s="3" t="n">
        <v>16.22</v>
      </c>
      <c r="O282">
        <f>TEXT(A282,"yyyy-mm")</f>
        <v/>
      </c>
    </row>
    <row r="283">
      <c r="A283" s="2" t="n">
        <v>45581</v>
      </c>
      <c r="B283" t="n">
        <v>2024</v>
      </c>
      <c r="C283" t="inlineStr">
        <is>
          <t>October</t>
        </is>
      </c>
      <c r="D283" t="inlineStr">
        <is>
          <t>Classic Charger</t>
        </is>
      </c>
      <c r="E283" t="inlineStr">
        <is>
          <t>Electronics</t>
        </is>
      </c>
      <c r="F283" t="inlineStr">
        <is>
          <t>James Nowak</t>
        </is>
      </c>
      <c r="G283" t="inlineStr">
        <is>
          <t>United States</t>
        </is>
      </c>
      <c r="H283" t="inlineStr">
        <is>
          <t>Marketplace</t>
        </is>
      </c>
      <c r="I283" t="n">
        <v>4</v>
      </c>
      <c r="J283" s="3" t="n">
        <v>392.8</v>
      </c>
      <c r="K283" s="3" t="n">
        <v>19.64</v>
      </c>
      <c r="L283" s="3" t="n">
        <v>373.16</v>
      </c>
      <c r="M283" s="3" t="n">
        <v>248.84</v>
      </c>
      <c r="N283" s="3" t="n">
        <v>124.32</v>
      </c>
      <c r="O283">
        <f>TEXT(A283,"yyyy-mm")</f>
        <v/>
      </c>
    </row>
    <row r="284">
      <c r="A284" s="2" t="n">
        <v>45581</v>
      </c>
      <c r="B284" t="n">
        <v>2024</v>
      </c>
      <c r="C284" t="inlineStr">
        <is>
          <t>October</t>
        </is>
      </c>
      <c r="D284" t="inlineStr">
        <is>
          <t>Deluxe Cookbook</t>
        </is>
      </c>
      <c r="E284" t="inlineStr">
        <is>
          <t>Books</t>
        </is>
      </c>
      <c r="F284" t="inlineStr">
        <is>
          <t>James Nowak</t>
        </is>
      </c>
      <c r="G284" t="inlineStr">
        <is>
          <t>United States</t>
        </is>
      </c>
      <c r="H284" t="inlineStr">
        <is>
          <t>Marketplace</t>
        </is>
      </c>
      <c r="I284" t="n">
        <v>3</v>
      </c>
      <c r="J284" s="3" t="n">
        <v>388.44</v>
      </c>
      <c r="K284" s="3" t="n">
        <v>0</v>
      </c>
      <c r="L284" s="3" t="n">
        <v>388.44</v>
      </c>
      <c r="M284" s="3" t="n">
        <v>255.81</v>
      </c>
      <c r="N284" s="3" t="n">
        <v>132.63</v>
      </c>
      <c r="O284">
        <f>TEXT(A284,"yyyy-mm")</f>
        <v/>
      </c>
    </row>
    <row r="285">
      <c r="A285" s="2" t="n">
        <v>45581</v>
      </c>
      <c r="B285" t="n">
        <v>2024</v>
      </c>
      <c r="C285" t="inlineStr">
        <is>
          <t>October</t>
        </is>
      </c>
      <c r="D285" t="inlineStr">
        <is>
          <t>Compact Biography</t>
        </is>
      </c>
      <c r="E285" t="inlineStr">
        <is>
          <t>Books</t>
        </is>
      </c>
      <c r="F285" t="inlineStr">
        <is>
          <t>James Nowak</t>
        </is>
      </c>
      <c r="G285" t="inlineStr">
        <is>
          <t>United States</t>
        </is>
      </c>
      <c r="H285" t="inlineStr">
        <is>
          <t>Marketplace</t>
        </is>
      </c>
      <c r="I285" t="n">
        <v>3</v>
      </c>
      <c r="J285" s="3" t="n">
        <v>780.99</v>
      </c>
      <c r="K285" s="3" t="n">
        <v>156.2</v>
      </c>
      <c r="L285" s="3" t="n">
        <v>624.79</v>
      </c>
      <c r="M285" s="3" t="n">
        <v>420.99</v>
      </c>
      <c r="N285" s="3" t="n">
        <v>203.8</v>
      </c>
      <c r="O285">
        <f>TEXT(A285,"yyyy-mm")</f>
        <v/>
      </c>
    </row>
    <row r="286">
      <c r="A286" s="2" t="n">
        <v>45581</v>
      </c>
      <c r="B286" t="n">
        <v>2024</v>
      </c>
      <c r="C286" t="inlineStr">
        <is>
          <t>October</t>
        </is>
      </c>
      <c r="D286" t="inlineStr">
        <is>
          <t>Smart Face Cream</t>
        </is>
      </c>
      <c r="E286" t="inlineStr">
        <is>
          <t>Beauty &amp; Health</t>
        </is>
      </c>
      <c r="F286" t="inlineStr">
        <is>
          <t>James Nowak</t>
        </is>
      </c>
      <c r="G286" t="inlineStr">
        <is>
          <t>United States</t>
        </is>
      </c>
      <c r="H286" t="inlineStr">
        <is>
          <t>Marketplace</t>
        </is>
      </c>
      <c r="I286" t="n">
        <v>3</v>
      </c>
      <c r="J286" s="3" t="n">
        <v>794.52</v>
      </c>
      <c r="K286" s="3" t="n">
        <v>119.18</v>
      </c>
      <c r="L286" s="3" t="n">
        <v>675.34</v>
      </c>
      <c r="M286" s="3" t="n">
        <v>579.42</v>
      </c>
      <c r="N286" s="3" t="n">
        <v>95.92</v>
      </c>
      <c r="O286">
        <f>TEXT(A286,"yyyy-mm")</f>
        <v/>
      </c>
    </row>
    <row r="287">
      <c r="A287" s="2" t="n">
        <v>45582</v>
      </c>
      <c r="B287" t="n">
        <v>2024</v>
      </c>
      <c r="C287" t="inlineStr">
        <is>
          <t>October</t>
        </is>
      </c>
      <c r="D287" t="inlineStr">
        <is>
          <t>Portable Pasta</t>
        </is>
      </c>
      <c r="E287" t="inlineStr">
        <is>
          <t>Grocery</t>
        </is>
      </c>
      <c r="F287" t="inlineStr">
        <is>
          <t>Laura Lopez</t>
        </is>
      </c>
      <c r="G287" t="inlineStr">
        <is>
          <t>United States</t>
        </is>
      </c>
      <c r="H287" t="inlineStr">
        <is>
          <t>Marketplace</t>
        </is>
      </c>
      <c r="I287" t="n">
        <v>4</v>
      </c>
      <c r="J287" s="3" t="n">
        <v>154.4</v>
      </c>
      <c r="K287" s="3" t="n">
        <v>7.72</v>
      </c>
      <c r="L287" s="3" t="n">
        <v>146.68</v>
      </c>
      <c r="M287" s="3" t="n">
        <v>111</v>
      </c>
      <c r="N287" s="3" t="n">
        <v>35.68</v>
      </c>
      <c r="O287">
        <f>TEXT(A287,"yyyy-mm")</f>
        <v/>
      </c>
    </row>
    <row r="288">
      <c r="A288" s="2" t="n">
        <v>45582</v>
      </c>
      <c r="B288" t="n">
        <v>2024</v>
      </c>
      <c r="C288" t="inlineStr">
        <is>
          <t>October</t>
        </is>
      </c>
      <c r="D288" t="inlineStr">
        <is>
          <t>Premium Water Bottle</t>
        </is>
      </c>
      <c r="E288" t="inlineStr">
        <is>
          <t>Sports &amp; Outdoors</t>
        </is>
      </c>
      <c r="F288" t="inlineStr">
        <is>
          <t>Laura Lopez</t>
        </is>
      </c>
      <c r="G288" t="inlineStr">
        <is>
          <t>United States</t>
        </is>
      </c>
      <c r="H288" t="inlineStr">
        <is>
          <t>Marketplace</t>
        </is>
      </c>
      <c r="I288" t="n">
        <v>2</v>
      </c>
      <c r="J288" s="3" t="n">
        <v>251.18</v>
      </c>
      <c r="K288" s="3" t="n">
        <v>0</v>
      </c>
      <c r="L288" s="3" t="n">
        <v>251.18</v>
      </c>
      <c r="M288" s="3" t="n">
        <v>179.24</v>
      </c>
      <c r="N288" s="3" t="n">
        <v>71.94</v>
      </c>
      <c r="O288">
        <f>TEXT(A288,"yyyy-mm")</f>
        <v/>
      </c>
    </row>
    <row r="289">
      <c r="A289" s="2" t="n">
        <v>45582</v>
      </c>
      <c r="B289" t="n">
        <v>2024</v>
      </c>
      <c r="C289" t="inlineStr">
        <is>
          <t>October</t>
        </is>
      </c>
      <c r="D289" t="inlineStr">
        <is>
          <t>Smart Camera</t>
        </is>
      </c>
      <c r="E289" t="inlineStr">
        <is>
          <t>Electronics</t>
        </is>
      </c>
      <c r="F289" t="inlineStr">
        <is>
          <t>Laura Lopez</t>
        </is>
      </c>
      <c r="G289" t="inlineStr">
        <is>
          <t>United States</t>
        </is>
      </c>
      <c r="H289" t="inlineStr">
        <is>
          <t>Marketplace</t>
        </is>
      </c>
      <c r="I289" t="n">
        <v>4</v>
      </c>
      <c r="J289" s="3" t="n">
        <v>461.16</v>
      </c>
      <c r="K289" s="3" t="n">
        <v>0</v>
      </c>
      <c r="L289" s="3" t="n">
        <v>461.16</v>
      </c>
      <c r="M289" s="3" t="n">
        <v>342.32</v>
      </c>
      <c r="N289" s="3" t="n">
        <v>118.84</v>
      </c>
      <c r="O289">
        <f>TEXT(A289,"yyyy-mm")</f>
        <v/>
      </c>
    </row>
    <row r="290">
      <c r="A290" s="2" t="n">
        <v>45582</v>
      </c>
      <c r="B290" t="n">
        <v>2024</v>
      </c>
      <c r="C290" t="inlineStr">
        <is>
          <t>October</t>
        </is>
      </c>
      <c r="D290" t="inlineStr">
        <is>
          <t>Portable Pasta</t>
        </is>
      </c>
      <c r="E290" t="inlineStr">
        <is>
          <t>Grocery</t>
        </is>
      </c>
      <c r="F290" t="inlineStr">
        <is>
          <t>Olivia Weber</t>
        </is>
      </c>
      <c r="G290" t="inlineStr">
        <is>
          <t>Poland</t>
        </is>
      </c>
      <c r="H290" t="inlineStr">
        <is>
          <t>Web Store</t>
        </is>
      </c>
      <c r="I290" t="n">
        <v>3</v>
      </c>
      <c r="J290" s="3" t="n">
        <v>106.11</v>
      </c>
      <c r="K290" s="3" t="n">
        <v>21.22</v>
      </c>
      <c r="L290" s="3" t="n">
        <v>84.89</v>
      </c>
      <c r="M290" s="3" t="n">
        <v>83.25</v>
      </c>
      <c r="N290" s="3" t="n">
        <v>1.64</v>
      </c>
      <c r="O290">
        <f>TEXT(A290,"yyyy-mm")</f>
        <v/>
      </c>
    </row>
    <row r="291">
      <c r="A291" s="2" t="n">
        <v>45582</v>
      </c>
      <c r="B291" t="n">
        <v>2024</v>
      </c>
      <c r="C291" t="inlineStr">
        <is>
          <t>October</t>
        </is>
      </c>
      <c r="D291" t="inlineStr">
        <is>
          <t>Smart Honey</t>
        </is>
      </c>
      <c r="E291" t="inlineStr">
        <is>
          <t>Grocery</t>
        </is>
      </c>
      <c r="F291" t="inlineStr">
        <is>
          <t>Clara Zielinski</t>
        </is>
      </c>
      <c r="G291" t="inlineStr">
        <is>
          <t>United States</t>
        </is>
      </c>
      <c r="H291" t="inlineStr">
        <is>
          <t>Retail Store</t>
        </is>
      </c>
      <c r="I291" t="n">
        <v>3</v>
      </c>
      <c r="J291" s="3" t="n">
        <v>418.32</v>
      </c>
      <c r="K291" s="3" t="n">
        <v>20.92</v>
      </c>
      <c r="L291" s="3" t="n">
        <v>397.4</v>
      </c>
      <c r="M291" s="3" t="n">
        <v>214.32</v>
      </c>
      <c r="N291" s="3" t="n">
        <v>183.08</v>
      </c>
      <c r="O291">
        <f>TEXT(A291,"yyyy-mm")</f>
        <v/>
      </c>
    </row>
    <row r="292">
      <c r="A292" s="2" t="n">
        <v>45582</v>
      </c>
      <c r="B292" t="n">
        <v>2024</v>
      </c>
      <c r="C292" t="inlineStr">
        <is>
          <t>October</t>
        </is>
      </c>
      <c r="D292" t="inlineStr">
        <is>
          <t>Essential Charger</t>
        </is>
      </c>
      <c r="E292" t="inlineStr">
        <is>
          <t>Electronics</t>
        </is>
      </c>
      <c r="F292" t="inlineStr">
        <is>
          <t>Olivia Smith</t>
        </is>
      </c>
      <c r="G292" t="inlineStr">
        <is>
          <t>Germany</t>
        </is>
      </c>
      <c r="H292" t="inlineStr">
        <is>
          <t>Marketplace</t>
        </is>
      </c>
      <c r="I292" t="n">
        <v>5</v>
      </c>
      <c r="J292" s="3" t="n">
        <v>219.1</v>
      </c>
      <c r="K292" s="3" t="n">
        <v>43.82</v>
      </c>
      <c r="L292" s="3" t="n">
        <v>175.28</v>
      </c>
      <c r="M292" s="3" t="n">
        <v>145.5</v>
      </c>
      <c r="N292" s="3" t="n">
        <v>29.78</v>
      </c>
      <c r="O292">
        <f>TEXT(A292,"yyyy-mm")</f>
        <v/>
      </c>
    </row>
    <row r="293">
      <c r="A293" s="2" t="n">
        <v>45582</v>
      </c>
      <c r="B293" t="n">
        <v>2024</v>
      </c>
      <c r="C293" t="inlineStr">
        <is>
          <t>October</t>
        </is>
      </c>
      <c r="D293" t="inlineStr">
        <is>
          <t>Classic Atlas</t>
        </is>
      </c>
      <c r="E293" t="inlineStr">
        <is>
          <t>Books</t>
        </is>
      </c>
      <c r="F293" t="inlineStr">
        <is>
          <t>Olivia Smith</t>
        </is>
      </c>
      <c r="G293" t="inlineStr">
        <is>
          <t>Germany</t>
        </is>
      </c>
      <c r="H293" t="inlineStr">
        <is>
          <t>Marketplace</t>
        </is>
      </c>
      <c r="I293" t="n">
        <v>4</v>
      </c>
      <c r="J293" s="3" t="n">
        <v>235.92</v>
      </c>
      <c r="K293" s="3" t="n">
        <v>23.59</v>
      </c>
      <c r="L293" s="3" t="n">
        <v>212.33</v>
      </c>
      <c r="M293" s="3" t="n">
        <v>138.36</v>
      </c>
      <c r="N293" s="3" t="n">
        <v>73.97</v>
      </c>
      <c r="O293">
        <f>TEXT(A293,"yyyy-mm")</f>
        <v/>
      </c>
    </row>
    <row r="294">
      <c r="A294" s="2" t="n">
        <v>45582</v>
      </c>
      <c r="B294" t="n">
        <v>2024</v>
      </c>
      <c r="C294" t="inlineStr">
        <is>
          <t>October</t>
        </is>
      </c>
      <c r="D294" t="inlineStr">
        <is>
          <t>Essential Vitamins</t>
        </is>
      </c>
      <c r="E294" t="inlineStr">
        <is>
          <t>Beauty &amp; Health</t>
        </is>
      </c>
      <c r="F294" t="inlineStr">
        <is>
          <t>Clara Muller</t>
        </is>
      </c>
      <c r="G294" t="inlineStr">
        <is>
          <t>Germany</t>
        </is>
      </c>
      <c r="H294" t="inlineStr">
        <is>
          <t>Web Store</t>
        </is>
      </c>
      <c r="I294" t="n">
        <v>5</v>
      </c>
      <c r="J294" s="3" t="n">
        <v>901.45</v>
      </c>
      <c r="K294" s="3" t="n">
        <v>180.29</v>
      </c>
      <c r="L294" s="3" t="n">
        <v>721.16</v>
      </c>
      <c r="M294" s="3" t="n">
        <v>551.5</v>
      </c>
      <c r="N294" s="3" t="n">
        <v>169.66</v>
      </c>
      <c r="O294">
        <f>TEXT(A294,"yyyy-mm")</f>
        <v/>
      </c>
    </row>
    <row r="295">
      <c r="A295" s="2" t="n">
        <v>45582</v>
      </c>
      <c r="B295" t="n">
        <v>2024</v>
      </c>
      <c r="C295" t="inlineStr">
        <is>
          <t>October</t>
        </is>
      </c>
      <c r="D295" t="inlineStr">
        <is>
          <t>Smart Coffee Beans</t>
        </is>
      </c>
      <c r="E295" t="inlineStr">
        <is>
          <t>Grocery</t>
        </is>
      </c>
      <c r="F295" t="inlineStr">
        <is>
          <t>Olivia Smith</t>
        </is>
      </c>
      <c r="G295" t="inlineStr">
        <is>
          <t>Germany</t>
        </is>
      </c>
      <c r="H295" t="inlineStr">
        <is>
          <t>Marketplace</t>
        </is>
      </c>
      <c r="I295" t="n">
        <v>1</v>
      </c>
      <c r="J295" s="3" t="n">
        <v>105.7</v>
      </c>
      <c r="K295" s="3" t="n">
        <v>21.14</v>
      </c>
      <c r="L295" s="3" t="n">
        <v>84.56</v>
      </c>
      <c r="M295" s="3" t="n">
        <v>72.84999999999999</v>
      </c>
      <c r="N295" s="3" t="n">
        <v>11.71</v>
      </c>
      <c r="O295">
        <f>TEXT(A295,"yyyy-mm")</f>
        <v/>
      </c>
    </row>
    <row r="296">
      <c r="A296" s="2" t="n">
        <v>45583</v>
      </c>
      <c r="B296" t="n">
        <v>2024</v>
      </c>
      <c r="C296" t="inlineStr">
        <is>
          <t>October</t>
        </is>
      </c>
      <c r="D296" t="inlineStr">
        <is>
          <t>Smart Puzzle</t>
        </is>
      </c>
      <c r="E296" t="inlineStr">
        <is>
          <t>Toys &amp; Games</t>
        </is>
      </c>
      <c r="F296" t="inlineStr">
        <is>
          <t>David Nowak</t>
        </is>
      </c>
      <c r="G296" t="inlineStr">
        <is>
          <t>United States</t>
        </is>
      </c>
      <c r="H296" t="inlineStr">
        <is>
          <t>Marketplace</t>
        </is>
      </c>
      <c r="I296" t="n">
        <v>4</v>
      </c>
      <c r="J296" s="3" t="n">
        <v>1025.52</v>
      </c>
      <c r="K296" s="3" t="n">
        <v>102.55</v>
      </c>
      <c r="L296" s="3" t="n">
        <v>922.97</v>
      </c>
      <c r="M296" s="3" t="n">
        <v>771.04</v>
      </c>
      <c r="N296" s="3" t="n">
        <v>151.93</v>
      </c>
      <c r="O296">
        <f>TEXT(A296,"yyyy-mm")</f>
        <v/>
      </c>
    </row>
    <row r="297">
      <c r="A297" s="2" t="n">
        <v>45583</v>
      </c>
      <c r="B297" t="n">
        <v>2024</v>
      </c>
      <c r="C297" t="inlineStr">
        <is>
          <t>October</t>
        </is>
      </c>
      <c r="D297" t="inlineStr">
        <is>
          <t>Compact Pasta</t>
        </is>
      </c>
      <c r="E297" t="inlineStr">
        <is>
          <t>Grocery</t>
        </is>
      </c>
      <c r="F297" t="inlineStr">
        <is>
          <t>David Nowak</t>
        </is>
      </c>
      <c r="G297" t="inlineStr">
        <is>
          <t>United States</t>
        </is>
      </c>
      <c r="H297" t="inlineStr">
        <is>
          <t>Marketplace</t>
        </is>
      </c>
      <c r="I297" t="n">
        <v>2</v>
      </c>
      <c r="J297" s="3" t="n">
        <v>603.28</v>
      </c>
      <c r="K297" s="3" t="n">
        <v>120.66</v>
      </c>
      <c r="L297" s="3" t="n">
        <v>482.62</v>
      </c>
      <c r="M297" s="3" t="n">
        <v>398.8</v>
      </c>
      <c r="N297" s="3" t="n">
        <v>83.81999999999999</v>
      </c>
      <c r="O297">
        <f>TEXT(A297,"yyyy-mm")</f>
        <v/>
      </c>
    </row>
    <row r="298">
      <c r="A298" s="2" t="n">
        <v>45583</v>
      </c>
      <c r="B298" t="n">
        <v>2024</v>
      </c>
      <c r="C298" t="inlineStr">
        <is>
          <t>October</t>
        </is>
      </c>
      <c r="D298" t="inlineStr">
        <is>
          <t>Smart Camera</t>
        </is>
      </c>
      <c r="E298" t="inlineStr">
        <is>
          <t>Electronics</t>
        </is>
      </c>
      <c r="F298" t="inlineStr">
        <is>
          <t>Mark Weber</t>
        </is>
      </c>
      <c r="G298" t="inlineStr">
        <is>
          <t>Poland</t>
        </is>
      </c>
      <c r="H298" t="inlineStr">
        <is>
          <t>Web Store</t>
        </is>
      </c>
      <c r="I298" t="n">
        <v>4</v>
      </c>
      <c r="J298" s="3" t="n">
        <v>1220.92</v>
      </c>
      <c r="K298" s="3" t="n">
        <v>122.09</v>
      </c>
      <c r="L298" s="3" t="n">
        <v>1098.83</v>
      </c>
      <c r="M298" s="3" t="n">
        <v>669.6</v>
      </c>
      <c r="N298" s="3" t="n">
        <v>429.23</v>
      </c>
      <c r="O298">
        <f>TEXT(A298,"yyyy-mm")</f>
        <v/>
      </c>
    </row>
    <row r="299">
      <c r="A299" s="2" t="n">
        <v>45583</v>
      </c>
      <c r="B299" t="n">
        <v>2024</v>
      </c>
      <c r="C299" t="inlineStr">
        <is>
          <t>October</t>
        </is>
      </c>
      <c r="D299" t="inlineStr">
        <is>
          <t>Wireless Honey</t>
        </is>
      </c>
      <c r="E299" t="inlineStr">
        <is>
          <t>Grocery</t>
        </is>
      </c>
      <c r="F299" t="inlineStr">
        <is>
          <t>Mark Weber</t>
        </is>
      </c>
      <c r="G299" t="inlineStr">
        <is>
          <t>Poland</t>
        </is>
      </c>
      <c r="H299" t="inlineStr">
        <is>
          <t>Web Store</t>
        </is>
      </c>
      <c r="I299" t="n">
        <v>1</v>
      </c>
      <c r="J299" s="3" t="n">
        <v>128.47</v>
      </c>
      <c r="K299" s="3" t="n">
        <v>6.42</v>
      </c>
      <c r="L299" s="3" t="n">
        <v>122.05</v>
      </c>
      <c r="M299" s="3" t="n">
        <v>94.06999999999999</v>
      </c>
      <c r="N299" s="3" t="n">
        <v>27.98</v>
      </c>
      <c r="O299">
        <f>TEXT(A299,"yyyy-mm")</f>
        <v/>
      </c>
    </row>
    <row r="300">
      <c r="A300" s="2" t="n">
        <v>45583</v>
      </c>
      <c r="B300" t="n">
        <v>2024</v>
      </c>
      <c r="C300" t="inlineStr">
        <is>
          <t>October</t>
        </is>
      </c>
      <c r="D300" t="inlineStr">
        <is>
          <t>Wireless Coffee Beans</t>
        </is>
      </c>
      <c r="E300" t="inlineStr">
        <is>
          <t>Grocery</t>
        </is>
      </c>
      <c r="F300" t="inlineStr">
        <is>
          <t>Mark Weber</t>
        </is>
      </c>
      <c r="G300" t="inlineStr">
        <is>
          <t>Poland</t>
        </is>
      </c>
      <c r="H300" t="inlineStr">
        <is>
          <t>Web Store</t>
        </is>
      </c>
      <c r="I300" t="n">
        <v>1</v>
      </c>
      <c r="J300" s="3" t="n">
        <v>220.85</v>
      </c>
      <c r="K300" s="3" t="n">
        <v>0</v>
      </c>
      <c r="L300" s="3" t="n">
        <v>220.85</v>
      </c>
      <c r="M300" s="3" t="n">
        <v>130.13</v>
      </c>
      <c r="N300" s="3" t="n">
        <v>90.72</v>
      </c>
      <c r="O300">
        <f>TEXT(A300,"yyyy-mm")</f>
        <v/>
      </c>
    </row>
    <row r="301">
      <c r="A301" s="2" t="n">
        <v>45583</v>
      </c>
      <c r="B301" t="n">
        <v>2024</v>
      </c>
      <c r="C301" t="inlineStr">
        <is>
          <t>October</t>
        </is>
      </c>
      <c r="D301" t="inlineStr">
        <is>
          <t>Classic Sunscreen</t>
        </is>
      </c>
      <c r="E301" t="inlineStr">
        <is>
          <t>Beauty &amp; Health</t>
        </is>
      </c>
      <c r="F301" t="inlineStr">
        <is>
          <t>Robert Rossi</t>
        </is>
      </c>
      <c r="G301" t="inlineStr">
        <is>
          <t>Italy</t>
        </is>
      </c>
      <c r="H301" t="inlineStr">
        <is>
          <t>Retail Store</t>
        </is>
      </c>
      <c r="I301" t="n">
        <v>2</v>
      </c>
      <c r="J301" s="3" t="n">
        <v>267.7</v>
      </c>
      <c r="K301" s="3" t="n">
        <v>0</v>
      </c>
      <c r="L301" s="3" t="n">
        <v>267.7</v>
      </c>
      <c r="M301" s="3" t="n">
        <v>187.38</v>
      </c>
      <c r="N301" s="3" t="n">
        <v>80.31999999999999</v>
      </c>
      <c r="O301">
        <f>TEXT(A301,"yyyy-mm")</f>
        <v/>
      </c>
    </row>
    <row r="302">
      <c r="A302" s="2" t="n">
        <v>45583</v>
      </c>
      <c r="B302" t="n">
        <v>2024</v>
      </c>
      <c r="C302" t="inlineStr">
        <is>
          <t>October</t>
        </is>
      </c>
      <c r="D302" t="inlineStr">
        <is>
          <t>Smart Cookbook</t>
        </is>
      </c>
      <c r="E302" t="inlineStr">
        <is>
          <t>Books</t>
        </is>
      </c>
      <c r="F302" t="inlineStr">
        <is>
          <t>Maria Brown</t>
        </is>
      </c>
      <c r="G302" t="inlineStr">
        <is>
          <t>United Kingdom</t>
        </is>
      </c>
      <c r="H302" t="inlineStr">
        <is>
          <t>Retail Store</t>
        </is>
      </c>
      <c r="I302" t="n">
        <v>2</v>
      </c>
      <c r="J302" s="3" t="n">
        <v>35.56</v>
      </c>
      <c r="K302" s="3" t="n">
        <v>1.78</v>
      </c>
      <c r="L302" s="3" t="n">
        <v>33.78</v>
      </c>
      <c r="M302" s="3" t="n">
        <v>19.76</v>
      </c>
      <c r="N302" s="3" t="n">
        <v>14.02</v>
      </c>
      <c r="O302">
        <f>TEXT(A302,"yyyy-mm")</f>
        <v/>
      </c>
    </row>
    <row r="303">
      <c r="A303" s="2" t="n">
        <v>45583</v>
      </c>
      <c r="B303" t="n">
        <v>2024</v>
      </c>
      <c r="C303" t="inlineStr">
        <is>
          <t>October</t>
        </is>
      </c>
      <c r="D303" t="inlineStr">
        <is>
          <t>Smart Puzzle</t>
        </is>
      </c>
      <c r="E303" t="inlineStr">
        <is>
          <t>Toys &amp; Games</t>
        </is>
      </c>
      <c r="F303" t="inlineStr">
        <is>
          <t>Maria Brown</t>
        </is>
      </c>
      <c r="G303" t="inlineStr">
        <is>
          <t>United Kingdom</t>
        </is>
      </c>
      <c r="H303" t="inlineStr">
        <is>
          <t>Retail Store</t>
        </is>
      </c>
      <c r="I303" t="n">
        <v>5</v>
      </c>
      <c r="J303" s="3" t="n">
        <v>229.15</v>
      </c>
      <c r="K303" s="3" t="n">
        <v>0</v>
      </c>
      <c r="L303" s="3" t="n">
        <v>229.15</v>
      </c>
      <c r="M303" s="3" t="n">
        <v>122.2</v>
      </c>
      <c r="N303" s="3" t="n">
        <v>106.95</v>
      </c>
      <c r="O303">
        <f>TEXT(A303,"yyyy-mm")</f>
        <v/>
      </c>
    </row>
    <row r="304">
      <c r="A304" s="2" t="n">
        <v>45583</v>
      </c>
      <c r="B304" t="n">
        <v>2024</v>
      </c>
      <c r="C304" t="inlineStr">
        <is>
          <t>October</t>
        </is>
      </c>
      <c r="D304" t="inlineStr">
        <is>
          <t>Eco Biography</t>
        </is>
      </c>
      <c r="E304" t="inlineStr">
        <is>
          <t>Books</t>
        </is>
      </c>
      <c r="F304" t="inlineStr">
        <is>
          <t>Maria Brown</t>
        </is>
      </c>
      <c r="G304" t="inlineStr">
        <is>
          <t>United Kingdom</t>
        </is>
      </c>
      <c r="H304" t="inlineStr">
        <is>
          <t>Retail Store</t>
        </is>
      </c>
      <c r="I304" t="n">
        <v>1</v>
      </c>
      <c r="J304" s="3" t="n">
        <v>120.7</v>
      </c>
      <c r="K304" s="3" t="n">
        <v>12.07</v>
      </c>
      <c r="L304" s="3" t="n">
        <v>108.63</v>
      </c>
      <c r="M304" s="3" t="n">
        <v>71.02</v>
      </c>
      <c r="N304" s="3" t="n">
        <v>37.61</v>
      </c>
      <c r="O304">
        <f>TEXT(A304,"yyyy-mm")</f>
        <v/>
      </c>
    </row>
    <row r="305">
      <c r="A305" s="2" t="n">
        <v>45583</v>
      </c>
      <c r="B305" t="n">
        <v>2024</v>
      </c>
      <c r="C305" t="inlineStr">
        <is>
          <t>October</t>
        </is>
      </c>
      <c r="D305" t="inlineStr">
        <is>
          <t>Classic Yoga Mat</t>
        </is>
      </c>
      <c r="E305" t="inlineStr">
        <is>
          <t>Sports &amp; Outdoors</t>
        </is>
      </c>
      <c r="F305" t="inlineStr">
        <is>
          <t>Maria Brown</t>
        </is>
      </c>
      <c r="G305" t="inlineStr">
        <is>
          <t>United Kingdom</t>
        </is>
      </c>
      <c r="H305" t="inlineStr">
        <is>
          <t>Retail Store</t>
        </is>
      </c>
      <c r="I305" t="n">
        <v>1</v>
      </c>
      <c r="J305" s="3" t="n">
        <v>319.85</v>
      </c>
      <c r="K305" s="3" t="n">
        <v>15.99</v>
      </c>
      <c r="L305" s="3" t="n">
        <v>303.86</v>
      </c>
      <c r="M305" s="3" t="n">
        <v>195.7</v>
      </c>
      <c r="N305" s="3" t="n">
        <v>108.16</v>
      </c>
      <c r="O305">
        <f>TEXT(A305,"yyyy-mm")</f>
        <v/>
      </c>
    </row>
    <row r="306">
      <c r="A306" s="2" t="n">
        <v>45583</v>
      </c>
      <c r="B306" t="n">
        <v>2024</v>
      </c>
      <c r="C306" t="inlineStr">
        <is>
          <t>October</t>
        </is>
      </c>
      <c r="D306" t="inlineStr">
        <is>
          <t>Smart Olive Oil</t>
        </is>
      </c>
      <c r="E306" t="inlineStr">
        <is>
          <t>Grocery</t>
        </is>
      </c>
      <c r="F306" t="inlineStr">
        <is>
          <t>Paul Muller</t>
        </is>
      </c>
      <c r="G306" t="inlineStr">
        <is>
          <t>United States</t>
        </is>
      </c>
      <c r="H306" t="inlineStr">
        <is>
          <t>Marketplace</t>
        </is>
      </c>
      <c r="I306" t="n">
        <v>3</v>
      </c>
      <c r="J306" s="3" t="n">
        <v>477.21</v>
      </c>
      <c r="K306" s="3" t="n">
        <v>95.44</v>
      </c>
      <c r="L306" s="3" t="n">
        <v>381.77</v>
      </c>
      <c r="M306" s="3" t="n">
        <v>330.06</v>
      </c>
      <c r="N306" s="3" t="n">
        <v>51.71</v>
      </c>
      <c r="O306">
        <f>TEXT(A306,"yyyy-mm")</f>
        <v/>
      </c>
    </row>
    <row r="307">
      <c r="A307" s="2" t="n">
        <v>45583</v>
      </c>
      <c r="B307" t="n">
        <v>2024</v>
      </c>
      <c r="C307" t="inlineStr">
        <is>
          <t>October</t>
        </is>
      </c>
      <c r="D307" t="inlineStr">
        <is>
          <t>Premium Rug</t>
        </is>
      </c>
      <c r="E307" t="inlineStr">
        <is>
          <t>Home &amp; Garden</t>
        </is>
      </c>
      <c r="F307" t="inlineStr">
        <is>
          <t>Paul Muller</t>
        </is>
      </c>
      <c r="G307" t="inlineStr">
        <is>
          <t>United States</t>
        </is>
      </c>
      <c r="H307" t="inlineStr">
        <is>
          <t>Marketplace</t>
        </is>
      </c>
      <c r="I307" t="n">
        <v>1</v>
      </c>
      <c r="J307" s="3" t="n">
        <v>188.04</v>
      </c>
      <c r="K307" s="3" t="n">
        <v>0</v>
      </c>
      <c r="L307" s="3" t="n">
        <v>188.04</v>
      </c>
      <c r="M307" s="3" t="n">
        <v>111.19</v>
      </c>
      <c r="N307" s="3" t="n">
        <v>76.84999999999999</v>
      </c>
      <c r="O307">
        <f>TEXT(A307,"yyyy-mm")</f>
        <v/>
      </c>
    </row>
    <row r="308">
      <c r="A308" s="2" t="n">
        <v>45584</v>
      </c>
      <c r="B308" t="n">
        <v>2024</v>
      </c>
      <c r="C308" t="inlineStr">
        <is>
          <t>October</t>
        </is>
      </c>
      <c r="D308" t="inlineStr">
        <is>
          <t>Classic Coffee Beans</t>
        </is>
      </c>
      <c r="E308" t="inlineStr">
        <is>
          <t>Grocery</t>
        </is>
      </c>
      <c r="F308" t="inlineStr">
        <is>
          <t>Mark Martin</t>
        </is>
      </c>
      <c r="G308" t="inlineStr">
        <is>
          <t>Spain</t>
        </is>
      </c>
      <c r="H308" t="inlineStr">
        <is>
          <t>Retail Store</t>
        </is>
      </c>
      <c r="I308" t="n">
        <v>4</v>
      </c>
      <c r="J308" s="3" t="n">
        <v>1292.8</v>
      </c>
      <c r="K308" s="3" t="n">
        <v>0</v>
      </c>
      <c r="L308" s="3" t="n">
        <v>1292.8</v>
      </c>
      <c r="M308" s="3" t="n">
        <v>779.04</v>
      </c>
      <c r="N308" s="3" t="n">
        <v>513.76</v>
      </c>
      <c r="O308">
        <f>TEXT(A308,"yyyy-mm")</f>
        <v/>
      </c>
    </row>
    <row r="309">
      <c r="A309" s="2" t="n">
        <v>45584</v>
      </c>
      <c r="B309" t="n">
        <v>2024</v>
      </c>
      <c r="C309" t="inlineStr">
        <is>
          <t>October</t>
        </is>
      </c>
      <c r="D309" t="inlineStr">
        <is>
          <t>Premium Tent</t>
        </is>
      </c>
      <c r="E309" t="inlineStr">
        <is>
          <t>Sports &amp; Outdoors</t>
        </is>
      </c>
      <c r="F309" t="inlineStr">
        <is>
          <t>Mark Martin</t>
        </is>
      </c>
      <c r="G309" t="inlineStr">
        <is>
          <t>Spain</t>
        </is>
      </c>
      <c r="H309" t="inlineStr">
        <is>
          <t>Retail Store</t>
        </is>
      </c>
      <c r="I309" t="n">
        <v>4</v>
      </c>
      <c r="J309" s="3" t="n">
        <v>587.4400000000001</v>
      </c>
      <c r="K309" s="3" t="n">
        <v>0</v>
      </c>
      <c r="L309" s="3" t="n">
        <v>587.4400000000001</v>
      </c>
      <c r="M309" s="3" t="n">
        <v>385.6</v>
      </c>
      <c r="N309" s="3" t="n">
        <v>201.84</v>
      </c>
      <c r="O309">
        <f>TEXT(A309,"yyyy-mm")</f>
        <v/>
      </c>
    </row>
    <row r="310">
      <c r="A310" s="2" t="n">
        <v>45584</v>
      </c>
      <c r="B310" t="n">
        <v>2024</v>
      </c>
      <c r="C310" t="inlineStr">
        <is>
          <t>October</t>
        </is>
      </c>
      <c r="D310" t="inlineStr">
        <is>
          <t>Eco Backpack</t>
        </is>
      </c>
      <c r="E310" t="inlineStr">
        <is>
          <t>Sports &amp; Outdoors</t>
        </is>
      </c>
      <c r="F310" t="inlineStr">
        <is>
          <t>Clara Smith</t>
        </is>
      </c>
      <c r="G310" t="inlineStr">
        <is>
          <t>Poland</t>
        </is>
      </c>
      <c r="H310" t="inlineStr">
        <is>
          <t>Web Store</t>
        </is>
      </c>
      <c r="I310" t="n">
        <v>3</v>
      </c>
      <c r="J310" s="3" t="n">
        <v>771.27</v>
      </c>
      <c r="K310" s="3" t="n">
        <v>115.69</v>
      </c>
      <c r="L310" s="3" t="n">
        <v>655.58</v>
      </c>
      <c r="M310" s="3" t="n">
        <v>439.74</v>
      </c>
      <c r="N310" s="3" t="n">
        <v>215.84</v>
      </c>
      <c r="O310">
        <f>TEXT(A310,"yyyy-mm")</f>
        <v/>
      </c>
    </row>
    <row r="311">
      <c r="A311" s="2" t="n">
        <v>45584</v>
      </c>
      <c r="B311" t="n">
        <v>2024</v>
      </c>
      <c r="C311" t="inlineStr">
        <is>
          <t>October</t>
        </is>
      </c>
      <c r="D311" t="inlineStr">
        <is>
          <t>Premium Water Bottle</t>
        </is>
      </c>
      <c r="E311" t="inlineStr">
        <is>
          <t>Sports &amp; Outdoors</t>
        </is>
      </c>
      <c r="F311" t="inlineStr">
        <is>
          <t>Clara Smith</t>
        </is>
      </c>
      <c r="G311" t="inlineStr">
        <is>
          <t>Poland</t>
        </is>
      </c>
      <c r="H311" t="inlineStr">
        <is>
          <t>Web Store</t>
        </is>
      </c>
      <c r="I311" t="n">
        <v>5</v>
      </c>
      <c r="J311" s="3" t="n">
        <v>589.9</v>
      </c>
      <c r="K311" s="3" t="n">
        <v>29.5</v>
      </c>
      <c r="L311" s="3" t="n">
        <v>560.4</v>
      </c>
      <c r="M311" s="3" t="n">
        <v>448.1</v>
      </c>
      <c r="N311" s="3" t="n">
        <v>112.3</v>
      </c>
      <c r="O311">
        <f>TEXT(A311,"yyyy-mm")</f>
        <v/>
      </c>
    </row>
    <row r="312">
      <c r="A312" s="2" t="n">
        <v>45584</v>
      </c>
      <c r="B312" t="n">
        <v>2024</v>
      </c>
      <c r="C312" t="inlineStr">
        <is>
          <t>October</t>
        </is>
      </c>
      <c r="D312" t="inlineStr">
        <is>
          <t>Essential Vitamins</t>
        </is>
      </c>
      <c r="E312" t="inlineStr">
        <is>
          <t>Beauty &amp; Health</t>
        </is>
      </c>
      <c r="F312" t="inlineStr">
        <is>
          <t>James Weber</t>
        </is>
      </c>
      <c r="G312" t="inlineStr">
        <is>
          <t>Germany</t>
        </is>
      </c>
      <c r="H312" t="inlineStr">
        <is>
          <t>Marketplace</t>
        </is>
      </c>
      <c r="I312" t="n">
        <v>2</v>
      </c>
      <c r="J312" s="3" t="n">
        <v>357.08</v>
      </c>
      <c r="K312" s="3" t="n">
        <v>0</v>
      </c>
      <c r="L312" s="3" t="n">
        <v>357.08</v>
      </c>
      <c r="M312" s="3" t="n">
        <v>220.6</v>
      </c>
      <c r="N312" s="3" t="n">
        <v>136.48</v>
      </c>
      <c r="O312">
        <f>TEXT(A312,"yyyy-mm")</f>
        <v/>
      </c>
    </row>
    <row r="313">
      <c r="A313" s="2" t="n">
        <v>45584</v>
      </c>
      <c r="B313" t="n">
        <v>2024</v>
      </c>
      <c r="C313" t="inlineStr">
        <is>
          <t>October</t>
        </is>
      </c>
      <c r="D313" t="inlineStr">
        <is>
          <t>Eco Drone</t>
        </is>
      </c>
      <c r="E313" t="inlineStr">
        <is>
          <t>Toys &amp; Games</t>
        </is>
      </c>
      <c r="F313" t="inlineStr">
        <is>
          <t>James Weber</t>
        </is>
      </c>
      <c r="G313" t="inlineStr">
        <is>
          <t>Germany</t>
        </is>
      </c>
      <c r="H313" t="inlineStr">
        <is>
          <t>Marketplace</t>
        </is>
      </c>
      <c r="I313" t="n">
        <v>4</v>
      </c>
      <c r="J313" s="3" t="n">
        <v>836.2</v>
      </c>
      <c r="K313" s="3" t="n">
        <v>0</v>
      </c>
      <c r="L313" s="3" t="n">
        <v>836.2</v>
      </c>
      <c r="M313" s="3" t="n">
        <v>518.36</v>
      </c>
      <c r="N313" s="3" t="n">
        <v>317.84</v>
      </c>
      <c r="O313">
        <f>TEXT(A313,"yyyy-mm")</f>
        <v/>
      </c>
    </row>
    <row r="314">
      <c r="A314" s="2" t="n">
        <v>45584</v>
      </c>
      <c r="B314" t="n">
        <v>2024</v>
      </c>
      <c r="C314" t="inlineStr">
        <is>
          <t>October</t>
        </is>
      </c>
      <c r="D314" t="inlineStr">
        <is>
          <t>Ultra Toolset</t>
        </is>
      </c>
      <c r="E314" t="inlineStr">
        <is>
          <t>Home &amp; Garden</t>
        </is>
      </c>
      <c r="F314" t="inlineStr">
        <is>
          <t>Mark Martin</t>
        </is>
      </c>
      <c r="G314" t="inlineStr">
        <is>
          <t>Spain</t>
        </is>
      </c>
      <c r="H314" t="inlineStr">
        <is>
          <t>Retail Store</t>
        </is>
      </c>
      <c r="I314" t="n">
        <v>4</v>
      </c>
      <c r="J314" s="3" t="n">
        <v>1473.2</v>
      </c>
      <c r="K314" s="3" t="n">
        <v>294.64</v>
      </c>
      <c r="L314" s="3" t="n">
        <v>1178.56</v>
      </c>
      <c r="M314" s="3" t="n">
        <v>761.6</v>
      </c>
      <c r="N314" s="3" t="n">
        <v>416.96</v>
      </c>
      <c r="O314">
        <f>TEXT(A314,"yyyy-mm")</f>
        <v/>
      </c>
    </row>
    <row r="315">
      <c r="A315" s="2" t="n">
        <v>45584</v>
      </c>
      <c r="B315" t="n">
        <v>2024</v>
      </c>
      <c r="C315" t="inlineStr">
        <is>
          <t>October</t>
        </is>
      </c>
      <c r="D315" t="inlineStr">
        <is>
          <t>Smart Coffee Beans</t>
        </is>
      </c>
      <c r="E315" t="inlineStr">
        <is>
          <t>Grocery</t>
        </is>
      </c>
      <c r="F315" t="inlineStr">
        <is>
          <t>James Weber</t>
        </is>
      </c>
      <c r="G315" t="inlineStr">
        <is>
          <t>Germany</t>
        </is>
      </c>
      <c r="H315" t="inlineStr">
        <is>
          <t>Marketplace</t>
        </is>
      </c>
      <c r="I315" t="n">
        <v>2</v>
      </c>
      <c r="J315" s="3" t="n">
        <v>227.92</v>
      </c>
      <c r="K315" s="3" t="n">
        <v>22.79</v>
      </c>
      <c r="L315" s="3" t="n">
        <v>205.13</v>
      </c>
      <c r="M315" s="3" t="n">
        <v>145.7</v>
      </c>
      <c r="N315" s="3" t="n">
        <v>59.43</v>
      </c>
      <c r="O315">
        <f>TEXT(A315,"yyyy-mm")</f>
        <v/>
      </c>
    </row>
    <row r="316">
      <c r="A316" s="2" t="n">
        <v>45585</v>
      </c>
      <c r="B316" t="n">
        <v>2024</v>
      </c>
      <c r="C316" t="inlineStr">
        <is>
          <t>October</t>
        </is>
      </c>
      <c r="D316" t="inlineStr">
        <is>
          <t>Portable Tea Set</t>
        </is>
      </c>
      <c r="E316" t="inlineStr">
        <is>
          <t>Grocery</t>
        </is>
      </c>
      <c r="F316" t="inlineStr">
        <is>
          <t>Laura Muller</t>
        </is>
      </c>
      <c r="G316" t="inlineStr">
        <is>
          <t>Italy</t>
        </is>
      </c>
      <c r="H316" t="inlineStr">
        <is>
          <t>Marketplace</t>
        </is>
      </c>
      <c r="I316" t="n">
        <v>5</v>
      </c>
      <c r="J316" s="3" t="n">
        <v>1414.2</v>
      </c>
      <c r="K316" s="3" t="n">
        <v>0</v>
      </c>
      <c r="L316" s="3" t="n">
        <v>1414.2</v>
      </c>
      <c r="M316" s="3" t="n">
        <v>940.6</v>
      </c>
      <c r="N316" s="3" t="n">
        <v>473.6</v>
      </c>
      <c r="O316">
        <f>TEXT(A316,"yyyy-mm")</f>
        <v/>
      </c>
    </row>
    <row r="317">
      <c r="A317" s="2" t="n">
        <v>45585</v>
      </c>
      <c r="B317" t="n">
        <v>2024</v>
      </c>
      <c r="C317" t="inlineStr">
        <is>
          <t>October</t>
        </is>
      </c>
      <c r="D317" t="inlineStr">
        <is>
          <t>Eco Drone</t>
        </is>
      </c>
      <c r="E317" t="inlineStr">
        <is>
          <t>Toys &amp; Games</t>
        </is>
      </c>
      <c r="F317" t="inlineStr">
        <is>
          <t>Laura Muller</t>
        </is>
      </c>
      <c r="G317" t="inlineStr">
        <is>
          <t>Italy</t>
        </is>
      </c>
      <c r="H317" t="inlineStr">
        <is>
          <t>Marketplace</t>
        </is>
      </c>
      <c r="I317" t="n">
        <v>5</v>
      </c>
      <c r="J317" s="3" t="n">
        <v>966.5</v>
      </c>
      <c r="K317" s="3" t="n">
        <v>0</v>
      </c>
      <c r="L317" s="3" t="n">
        <v>966.5</v>
      </c>
      <c r="M317" s="3" t="n">
        <v>647.95</v>
      </c>
      <c r="N317" s="3" t="n">
        <v>318.55</v>
      </c>
      <c r="O317">
        <f>TEXT(A317,"yyyy-mm")</f>
        <v/>
      </c>
    </row>
    <row r="318">
      <c r="A318" s="2" t="n">
        <v>45585</v>
      </c>
      <c r="B318" t="n">
        <v>2024</v>
      </c>
      <c r="C318" t="inlineStr">
        <is>
          <t>October</t>
        </is>
      </c>
      <c r="D318" t="inlineStr">
        <is>
          <t>Eco Sweater</t>
        </is>
      </c>
      <c r="E318" t="inlineStr">
        <is>
          <t>Clothing</t>
        </is>
      </c>
      <c r="F318" t="inlineStr">
        <is>
          <t>Laura Muller</t>
        </is>
      </c>
      <c r="G318" t="inlineStr">
        <is>
          <t>Italy</t>
        </is>
      </c>
      <c r="H318" t="inlineStr">
        <is>
          <t>Marketplace</t>
        </is>
      </c>
      <c r="I318" t="n">
        <v>3</v>
      </c>
      <c r="J318" s="3" t="n">
        <v>438</v>
      </c>
      <c r="K318" s="3" t="n">
        <v>87.59999999999999</v>
      </c>
      <c r="L318" s="3" t="n">
        <v>350.4</v>
      </c>
      <c r="M318" s="3" t="n">
        <v>312.69</v>
      </c>
      <c r="N318" s="3" t="n">
        <v>37.71</v>
      </c>
      <c r="O318">
        <f>TEXT(A318,"yyyy-mm")</f>
        <v/>
      </c>
    </row>
    <row r="319">
      <c r="A319" s="2" t="n">
        <v>45585</v>
      </c>
      <c r="B319" t="n">
        <v>2024</v>
      </c>
      <c r="C319" t="inlineStr">
        <is>
          <t>October</t>
        </is>
      </c>
      <c r="D319" t="inlineStr">
        <is>
          <t>Classic Sunscreen</t>
        </is>
      </c>
      <c r="E319" t="inlineStr">
        <is>
          <t>Beauty &amp; Health</t>
        </is>
      </c>
      <c r="F319" t="inlineStr">
        <is>
          <t>Thomas Kowalski</t>
        </is>
      </c>
      <c r="G319" t="inlineStr">
        <is>
          <t>Poland</t>
        </is>
      </c>
      <c r="H319" t="inlineStr">
        <is>
          <t>Web Store</t>
        </is>
      </c>
      <c r="I319" t="n">
        <v>5</v>
      </c>
      <c r="J319" s="3" t="n">
        <v>701.7</v>
      </c>
      <c r="K319" s="3" t="n">
        <v>35.08</v>
      </c>
      <c r="L319" s="3" t="n">
        <v>666.62</v>
      </c>
      <c r="M319" s="3" t="n">
        <v>468.45</v>
      </c>
      <c r="N319" s="3" t="n">
        <v>198.17</v>
      </c>
      <c r="O319">
        <f>TEXT(A319,"yyyy-mm")</f>
        <v/>
      </c>
    </row>
    <row r="320">
      <c r="A320" s="2" t="n">
        <v>45585</v>
      </c>
      <c r="B320" t="n">
        <v>2024</v>
      </c>
      <c r="C320" t="inlineStr">
        <is>
          <t>October</t>
        </is>
      </c>
      <c r="D320" t="inlineStr">
        <is>
          <t>Smart Cookbook</t>
        </is>
      </c>
      <c r="E320" t="inlineStr">
        <is>
          <t>Books</t>
        </is>
      </c>
      <c r="F320" t="inlineStr">
        <is>
          <t>Emily Conti</t>
        </is>
      </c>
      <c r="G320" t="inlineStr">
        <is>
          <t>Germany</t>
        </is>
      </c>
      <c r="H320" t="inlineStr">
        <is>
          <t>Web Store</t>
        </is>
      </c>
      <c r="I320" t="n">
        <v>4</v>
      </c>
      <c r="J320" s="3" t="n">
        <v>75.72</v>
      </c>
      <c r="K320" s="3" t="n">
        <v>0</v>
      </c>
      <c r="L320" s="3" t="n">
        <v>75.72</v>
      </c>
      <c r="M320" s="3" t="n">
        <v>39.52</v>
      </c>
      <c r="N320" s="3" t="n">
        <v>36.2</v>
      </c>
      <c r="O320">
        <f>TEXT(A320,"yyyy-mm")</f>
        <v/>
      </c>
    </row>
    <row r="321">
      <c r="A321" s="2" t="n">
        <v>45585</v>
      </c>
      <c r="B321" t="n">
        <v>2024</v>
      </c>
      <c r="C321" t="inlineStr">
        <is>
          <t>October</t>
        </is>
      </c>
      <c r="D321" t="inlineStr">
        <is>
          <t>Deluxe Toothbrush</t>
        </is>
      </c>
      <c r="E321" t="inlineStr">
        <is>
          <t>Beauty &amp; Health</t>
        </is>
      </c>
      <c r="F321" t="inlineStr">
        <is>
          <t>Mark Smith</t>
        </is>
      </c>
      <c r="G321" t="inlineStr">
        <is>
          <t>United States</t>
        </is>
      </c>
      <c r="H321" t="inlineStr">
        <is>
          <t>Marketplace</t>
        </is>
      </c>
      <c r="I321" t="n">
        <v>3</v>
      </c>
      <c r="J321" s="3" t="n">
        <v>1033.5</v>
      </c>
      <c r="K321" s="3" t="n">
        <v>0</v>
      </c>
      <c r="L321" s="3" t="n">
        <v>1033.5</v>
      </c>
      <c r="M321" s="3" t="n">
        <v>523.71</v>
      </c>
      <c r="N321" s="3" t="n">
        <v>509.79</v>
      </c>
      <c r="O321">
        <f>TEXT(A321,"yyyy-mm")</f>
        <v/>
      </c>
    </row>
    <row r="322">
      <c r="A322" s="2" t="n">
        <v>45585</v>
      </c>
      <c r="B322" t="n">
        <v>2024</v>
      </c>
      <c r="C322" t="inlineStr">
        <is>
          <t>October</t>
        </is>
      </c>
      <c r="D322" t="inlineStr">
        <is>
          <t>Essential Jacket</t>
        </is>
      </c>
      <c r="E322" t="inlineStr">
        <is>
          <t>Clothing</t>
        </is>
      </c>
      <c r="F322" t="inlineStr">
        <is>
          <t>Julia Weber</t>
        </is>
      </c>
      <c r="G322" t="inlineStr">
        <is>
          <t>Germany</t>
        </is>
      </c>
      <c r="H322" t="inlineStr">
        <is>
          <t>Retail Store</t>
        </is>
      </c>
      <c r="I322" t="n">
        <v>3</v>
      </c>
      <c r="J322" s="3" t="n">
        <v>435.69</v>
      </c>
      <c r="K322" s="3" t="n">
        <v>21.78</v>
      </c>
      <c r="L322" s="3" t="n">
        <v>413.91</v>
      </c>
      <c r="M322" s="3" t="n">
        <v>256.05</v>
      </c>
      <c r="N322" s="3" t="n">
        <v>157.86</v>
      </c>
      <c r="O322">
        <f>TEXT(A322,"yyyy-mm")</f>
        <v/>
      </c>
    </row>
    <row r="323">
      <c r="A323" s="2" t="n">
        <v>45585</v>
      </c>
      <c r="B323" t="n">
        <v>2024</v>
      </c>
      <c r="C323" t="inlineStr">
        <is>
          <t>October</t>
        </is>
      </c>
      <c r="D323" t="inlineStr">
        <is>
          <t>Premium Water Bottle</t>
        </is>
      </c>
      <c r="E323" t="inlineStr">
        <is>
          <t>Sports &amp; Outdoors</t>
        </is>
      </c>
      <c r="F323" t="inlineStr">
        <is>
          <t>Julia Weber</t>
        </is>
      </c>
      <c r="G323" t="inlineStr">
        <is>
          <t>Germany</t>
        </is>
      </c>
      <c r="H323" t="inlineStr">
        <is>
          <t>Retail Store</t>
        </is>
      </c>
      <c r="I323" t="n">
        <v>5</v>
      </c>
      <c r="J323" s="3" t="n">
        <v>142.7</v>
      </c>
      <c r="K323" s="3" t="n">
        <v>21.4</v>
      </c>
      <c r="L323" s="3" t="n">
        <v>121.29</v>
      </c>
      <c r="M323" s="3" t="n">
        <v>83.15000000000001</v>
      </c>
      <c r="N323" s="3" t="n">
        <v>38.14</v>
      </c>
      <c r="O323">
        <f>TEXT(A323,"yyyy-mm")</f>
        <v/>
      </c>
    </row>
    <row r="324">
      <c r="A324" s="2" t="n">
        <v>45585</v>
      </c>
      <c r="B324" t="n">
        <v>2024</v>
      </c>
      <c r="C324" t="inlineStr">
        <is>
          <t>October</t>
        </is>
      </c>
      <c r="D324" t="inlineStr">
        <is>
          <t>Ultra Rug</t>
        </is>
      </c>
      <c r="E324" t="inlineStr">
        <is>
          <t>Home &amp; Garden</t>
        </is>
      </c>
      <c r="F324" t="inlineStr">
        <is>
          <t>James Wojcik</t>
        </is>
      </c>
      <c r="G324" t="inlineStr">
        <is>
          <t>Netherlands</t>
        </is>
      </c>
      <c r="H324" t="inlineStr">
        <is>
          <t>Marketplace</t>
        </is>
      </c>
      <c r="I324" t="n">
        <v>5</v>
      </c>
      <c r="J324" s="3" t="n">
        <v>257.75</v>
      </c>
      <c r="K324" s="3" t="n">
        <v>12.89</v>
      </c>
      <c r="L324" s="3" t="n">
        <v>244.86</v>
      </c>
      <c r="M324" s="3" t="n">
        <v>164.55</v>
      </c>
      <c r="N324" s="3" t="n">
        <v>80.31</v>
      </c>
      <c r="O324">
        <f>TEXT(A324,"yyyy-mm")</f>
        <v/>
      </c>
    </row>
    <row r="325">
      <c r="A325" s="2" t="n">
        <v>45585</v>
      </c>
      <c r="B325" t="n">
        <v>2024</v>
      </c>
      <c r="C325" t="inlineStr">
        <is>
          <t>October</t>
        </is>
      </c>
      <c r="D325" t="inlineStr">
        <is>
          <t>Portable Toolset</t>
        </is>
      </c>
      <c r="E325" t="inlineStr">
        <is>
          <t>Home &amp; Garden</t>
        </is>
      </c>
      <c r="F325" t="inlineStr">
        <is>
          <t>James Wojcik</t>
        </is>
      </c>
      <c r="G325" t="inlineStr">
        <is>
          <t>Netherlands</t>
        </is>
      </c>
      <c r="H325" t="inlineStr">
        <is>
          <t>Marketplace</t>
        </is>
      </c>
      <c r="I325" t="n">
        <v>4</v>
      </c>
      <c r="J325" s="3" t="n">
        <v>340.84</v>
      </c>
      <c r="K325" s="3" t="n">
        <v>68.17</v>
      </c>
      <c r="L325" s="3" t="n">
        <v>272.67</v>
      </c>
      <c r="M325" s="3" t="n">
        <v>202.16</v>
      </c>
      <c r="N325" s="3" t="n">
        <v>70.51000000000001</v>
      </c>
      <c r="O325">
        <f>TEXT(A325,"yyyy-mm")</f>
        <v/>
      </c>
    </row>
    <row r="326">
      <c r="A326" s="2" t="n">
        <v>45585</v>
      </c>
      <c r="B326" t="n">
        <v>2024</v>
      </c>
      <c r="C326" t="inlineStr">
        <is>
          <t>October</t>
        </is>
      </c>
      <c r="D326" t="inlineStr">
        <is>
          <t>Portable Puzzle</t>
        </is>
      </c>
      <c r="E326" t="inlineStr">
        <is>
          <t>Toys &amp; Games</t>
        </is>
      </c>
      <c r="F326" t="inlineStr">
        <is>
          <t>Julia Weber</t>
        </is>
      </c>
      <c r="G326" t="inlineStr">
        <is>
          <t>Germany</t>
        </is>
      </c>
      <c r="H326" t="inlineStr">
        <is>
          <t>Retail Store</t>
        </is>
      </c>
      <c r="I326" t="n">
        <v>3</v>
      </c>
      <c r="J326" s="3" t="n">
        <v>339.3</v>
      </c>
      <c r="K326" s="3" t="n">
        <v>33.93</v>
      </c>
      <c r="L326" s="3" t="n">
        <v>305.37</v>
      </c>
      <c r="M326" s="3" t="n">
        <v>176.4</v>
      </c>
      <c r="N326" s="3" t="n">
        <v>128.97</v>
      </c>
      <c r="O326">
        <f>TEXT(A326,"yyyy-mm")</f>
        <v/>
      </c>
    </row>
    <row r="327">
      <c r="A327" s="2" t="n">
        <v>45585</v>
      </c>
      <c r="B327" t="n">
        <v>2024</v>
      </c>
      <c r="C327" t="inlineStr">
        <is>
          <t>October</t>
        </is>
      </c>
      <c r="D327" t="inlineStr">
        <is>
          <t>Portable Toolset</t>
        </is>
      </c>
      <c r="E327" t="inlineStr">
        <is>
          <t>Home &amp; Garden</t>
        </is>
      </c>
      <c r="F327" t="inlineStr">
        <is>
          <t>Thomas Kowalski</t>
        </is>
      </c>
      <c r="G327" t="inlineStr">
        <is>
          <t>Poland</t>
        </is>
      </c>
      <c r="H327" t="inlineStr">
        <is>
          <t>Web Store</t>
        </is>
      </c>
      <c r="I327" t="n">
        <v>4</v>
      </c>
      <c r="J327" s="3" t="n">
        <v>606.24</v>
      </c>
      <c r="K327" s="3" t="n">
        <v>30.31</v>
      </c>
      <c r="L327" s="3" t="n">
        <v>575.9299999999999</v>
      </c>
      <c r="M327" s="3" t="n">
        <v>371.4</v>
      </c>
      <c r="N327" s="3" t="n">
        <v>204.53</v>
      </c>
      <c r="O327">
        <f>TEXT(A327,"yyyy-mm")</f>
        <v/>
      </c>
    </row>
    <row r="328">
      <c r="A328" s="2" t="n">
        <v>45585</v>
      </c>
      <c r="B328" t="n">
        <v>2024</v>
      </c>
      <c r="C328" t="inlineStr">
        <is>
          <t>October</t>
        </is>
      </c>
      <c r="D328" t="inlineStr">
        <is>
          <t>Deluxe Cookbook</t>
        </is>
      </c>
      <c r="E328" t="inlineStr">
        <is>
          <t>Books</t>
        </is>
      </c>
      <c r="F328" t="inlineStr">
        <is>
          <t>Thomas Kowalski</t>
        </is>
      </c>
      <c r="G328" t="inlineStr">
        <is>
          <t>Poland</t>
        </is>
      </c>
      <c r="H328" t="inlineStr">
        <is>
          <t>Web Store</t>
        </is>
      </c>
      <c r="I328" t="n">
        <v>5</v>
      </c>
      <c r="J328" s="3" t="n">
        <v>715</v>
      </c>
      <c r="K328" s="3" t="n">
        <v>107.25</v>
      </c>
      <c r="L328" s="3" t="n">
        <v>607.75</v>
      </c>
      <c r="M328" s="3" t="n">
        <v>426.35</v>
      </c>
      <c r="N328" s="3" t="n">
        <v>181.4</v>
      </c>
      <c r="O328">
        <f>TEXT(A328,"yyyy-mm")</f>
        <v/>
      </c>
    </row>
    <row r="329">
      <c r="A329" s="2" t="n">
        <v>45585</v>
      </c>
      <c r="B329" t="n">
        <v>2024</v>
      </c>
      <c r="C329" t="inlineStr">
        <is>
          <t>October</t>
        </is>
      </c>
      <c r="D329" t="inlineStr">
        <is>
          <t>Smart Sweater</t>
        </is>
      </c>
      <c r="E329" t="inlineStr">
        <is>
          <t>Clothing</t>
        </is>
      </c>
      <c r="F329" t="inlineStr">
        <is>
          <t>James Wojcik</t>
        </is>
      </c>
      <c r="G329" t="inlineStr">
        <is>
          <t>Netherlands</t>
        </is>
      </c>
      <c r="H329" t="inlineStr">
        <is>
          <t>Marketplace</t>
        </is>
      </c>
      <c r="I329" t="n">
        <v>4</v>
      </c>
      <c r="J329" s="3" t="n">
        <v>564.72</v>
      </c>
      <c r="K329" s="3" t="n">
        <v>0</v>
      </c>
      <c r="L329" s="3" t="n">
        <v>564.72</v>
      </c>
      <c r="M329" s="3" t="n">
        <v>309.4</v>
      </c>
      <c r="N329" s="3" t="n">
        <v>255.32</v>
      </c>
      <c r="O329">
        <f>TEXT(A329,"yyyy-mm")</f>
        <v/>
      </c>
    </row>
    <row r="330">
      <c r="A330" s="2" t="n">
        <v>45585</v>
      </c>
      <c r="B330" t="n">
        <v>2024</v>
      </c>
      <c r="C330" t="inlineStr">
        <is>
          <t>October</t>
        </is>
      </c>
      <c r="D330" t="inlineStr">
        <is>
          <t>Smart Face Cream</t>
        </is>
      </c>
      <c r="E330" t="inlineStr">
        <is>
          <t>Beauty &amp; Health</t>
        </is>
      </c>
      <c r="F330" t="inlineStr">
        <is>
          <t>Mark Smith</t>
        </is>
      </c>
      <c r="G330" t="inlineStr">
        <is>
          <t>United States</t>
        </is>
      </c>
      <c r="H330" t="inlineStr">
        <is>
          <t>Marketplace</t>
        </is>
      </c>
      <c r="I330" t="n">
        <v>2</v>
      </c>
      <c r="J330" s="3" t="n">
        <v>536.8200000000001</v>
      </c>
      <c r="K330" s="3" t="n">
        <v>0</v>
      </c>
      <c r="L330" s="3" t="n">
        <v>536.8200000000001</v>
      </c>
      <c r="M330" s="3" t="n">
        <v>386.28</v>
      </c>
      <c r="N330" s="3" t="n">
        <v>150.54</v>
      </c>
      <c r="O330">
        <f>TEXT(A330,"yyyy-mm")</f>
        <v/>
      </c>
    </row>
    <row r="331">
      <c r="A331" s="2" t="n">
        <v>45586</v>
      </c>
      <c r="B331" t="n">
        <v>2024</v>
      </c>
      <c r="C331" t="inlineStr">
        <is>
          <t>October</t>
        </is>
      </c>
      <c r="D331" t="inlineStr">
        <is>
          <t>Premium Tent</t>
        </is>
      </c>
      <c r="E331" t="inlineStr">
        <is>
          <t>Sports &amp; Outdoors</t>
        </is>
      </c>
      <c r="F331" t="inlineStr">
        <is>
          <t>Emma Fischer</t>
        </is>
      </c>
      <c r="G331" t="inlineStr">
        <is>
          <t>Spain</t>
        </is>
      </c>
      <c r="H331" t="inlineStr">
        <is>
          <t>Mobile App</t>
        </is>
      </c>
      <c r="I331" t="n">
        <v>2</v>
      </c>
      <c r="J331" s="3" t="n">
        <v>539.64</v>
      </c>
      <c r="K331" s="3" t="n">
        <v>107.93</v>
      </c>
      <c r="L331" s="3" t="n">
        <v>431.71</v>
      </c>
      <c r="M331" s="3" t="n">
        <v>278.08</v>
      </c>
      <c r="N331" s="3" t="n">
        <v>153.63</v>
      </c>
      <c r="O331">
        <f>TEXT(A331,"yyyy-mm")</f>
        <v/>
      </c>
    </row>
    <row r="332">
      <c r="A332" s="2" t="n">
        <v>45586</v>
      </c>
      <c r="B332" t="n">
        <v>2024</v>
      </c>
      <c r="C332" t="inlineStr">
        <is>
          <t>October</t>
        </is>
      </c>
      <c r="D332" t="inlineStr">
        <is>
          <t>Deluxe Cookbook</t>
        </is>
      </c>
      <c r="E332" t="inlineStr">
        <is>
          <t>Books</t>
        </is>
      </c>
      <c r="F332" t="inlineStr">
        <is>
          <t>Nina Fischer</t>
        </is>
      </c>
      <c r="G332" t="inlineStr">
        <is>
          <t>Netherlands</t>
        </is>
      </c>
      <c r="H332" t="inlineStr">
        <is>
          <t>Mobile App</t>
        </is>
      </c>
      <c r="I332" t="n">
        <v>3</v>
      </c>
      <c r="J332" s="3" t="n">
        <v>411.63</v>
      </c>
      <c r="K332" s="3" t="n">
        <v>0</v>
      </c>
      <c r="L332" s="3" t="n">
        <v>411.63</v>
      </c>
      <c r="M332" s="3" t="n">
        <v>255.81</v>
      </c>
      <c r="N332" s="3" t="n">
        <v>155.82</v>
      </c>
      <c r="O332">
        <f>TEXT(A332,"yyyy-mm")</f>
        <v/>
      </c>
    </row>
    <row r="333">
      <c r="A333" s="2" t="n">
        <v>45586</v>
      </c>
      <c r="B333" t="n">
        <v>2024</v>
      </c>
      <c r="C333" t="inlineStr">
        <is>
          <t>October</t>
        </is>
      </c>
      <c r="D333" t="inlineStr">
        <is>
          <t>Portable Toolset</t>
        </is>
      </c>
      <c r="E333" t="inlineStr">
        <is>
          <t>Home &amp; Garden</t>
        </is>
      </c>
      <c r="F333" t="inlineStr">
        <is>
          <t>Emily Muller</t>
        </is>
      </c>
      <c r="G333" t="inlineStr">
        <is>
          <t>Netherlands</t>
        </is>
      </c>
      <c r="H333" t="inlineStr">
        <is>
          <t>Mobile App</t>
        </is>
      </c>
      <c r="I333" t="n">
        <v>2</v>
      </c>
      <c r="J333" s="3" t="n">
        <v>174.78</v>
      </c>
      <c r="K333" s="3" t="n">
        <v>0</v>
      </c>
      <c r="L333" s="3" t="n">
        <v>174.78</v>
      </c>
      <c r="M333" s="3" t="n">
        <v>101.08</v>
      </c>
      <c r="N333" s="3" t="n">
        <v>73.7</v>
      </c>
      <c r="O333">
        <f>TEXT(A333,"yyyy-mm")</f>
        <v/>
      </c>
    </row>
    <row r="334">
      <c r="A334" s="2" t="n">
        <v>45586</v>
      </c>
      <c r="B334" t="n">
        <v>2024</v>
      </c>
      <c r="C334" t="inlineStr">
        <is>
          <t>October</t>
        </is>
      </c>
      <c r="D334" t="inlineStr">
        <is>
          <t>Smart Coffee Beans</t>
        </is>
      </c>
      <c r="E334" t="inlineStr">
        <is>
          <t>Grocery</t>
        </is>
      </c>
      <c r="F334" t="inlineStr">
        <is>
          <t>Emily Muller</t>
        </is>
      </c>
      <c r="G334" t="inlineStr">
        <is>
          <t>Netherlands</t>
        </is>
      </c>
      <c r="H334" t="inlineStr">
        <is>
          <t>Mobile App</t>
        </is>
      </c>
      <c r="I334" t="n">
        <v>4</v>
      </c>
      <c r="J334" s="3" t="n">
        <v>424.68</v>
      </c>
      <c r="K334" s="3" t="n">
        <v>63.7</v>
      </c>
      <c r="L334" s="3" t="n">
        <v>360.98</v>
      </c>
      <c r="M334" s="3" t="n">
        <v>291.4</v>
      </c>
      <c r="N334" s="3" t="n">
        <v>69.58</v>
      </c>
      <c r="O334">
        <f>TEXT(A334,"yyyy-mm")</f>
        <v/>
      </c>
    </row>
    <row r="335">
      <c r="A335" s="2" t="n">
        <v>45586</v>
      </c>
      <c r="B335" t="n">
        <v>2024</v>
      </c>
      <c r="C335" t="inlineStr">
        <is>
          <t>October</t>
        </is>
      </c>
      <c r="D335" t="inlineStr">
        <is>
          <t>Wireless Coffee Beans</t>
        </is>
      </c>
      <c r="E335" t="inlineStr">
        <is>
          <t>Grocery</t>
        </is>
      </c>
      <c r="F335" t="inlineStr">
        <is>
          <t>Nina Fischer</t>
        </is>
      </c>
      <c r="G335" t="inlineStr">
        <is>
          <t>Netherlands</t>
        </is>
      </c>
      <c r="H335" t="inlineStr">
        <is>
          <t>Mobile App</t>
        </is>
      </c>
      <c r="I335" t="n">
        <v>5</v>
      </c>
      <c r="J335" s="3" t="n">
        <v>1106.4</v>
      </c>
      <c r="K335" s="3" t="n">
        <v>0</v>
      </c>
      <c r="L335" s="3" t="n">
        <v>1106.4</v>
      </c>
      <c r="M335" s="3" t="n">
        <v>650.65</v>
      </c>
      <c r="N335" s="3" t="n">
        <v>455.75</v>
      </c>
      <c r="O335">
        <f>TEXT(A335,"yyyy-mm")</f>
        <v/>
      </c>
    </row>
    <row r="336">
      <c r="A336" s="2" t="n">
        <v>45586</v>
      </c>
      <c r="B336" t="n">
        <v>2024</v>
      </c>
      <c r="C336" t="inlineStr">
        <is>
          <t>October</t>
        </is>
      </c>
      <c r="D336" t="inlineStr">
        <is>
          <t>Essential Notebook</t>
        </is>
      </c>
      <c r="E336" t="inlineStr">
        <is>
          <t>Books</t>
        </is>
      </c>
      <c r="F336" t="inlineStr">
        <is>
          <t>Emma Fischer</t>
        </is>
      </c>
      <c r="G336" t="inlineStr">
        <is>
          <t>Spain</t>
        </is>
      </c>
      <c r="H336" t="inlineStr">
        <is>
          <t>Mobile App</t>
        </is>
      </c>
      <c r="I336" t="n">
        <v>5</v>
      </c>
      <c r="J336" s="3" t="n">
        <v>615.95</v>
      </c>
      <c r="K336" s="3" t="n">
        <v>30.8</v>
      </c>
      <c r="L336" s="3" t="n">
        <v>585.15</v>
      </c>
      <c r="M336" s="3" t="n">
        <v>395.5</v>
      </c>
      <c r="N336" s="3" t="n">
        <v>189.65</v>
      </c>
      <c r="O336">
        <f>TEXT(A336,"yyyy-mm")</f>
        <v/>
      </c>
    </row>
    <row r="337">
      <c r="A337" s="2" t="n">
        <v>45586</v>
      </c>
      <c r="B337" t="n">
        <v>2024</v>
      </c>
      <c r="C337" t="inlineStr">
        <is>
          <t>October</t>
        </is>
      </c>
      <c r="D337" t="inlineStr">
        <is>
          <t>Essential Planter</t>
        </is>
      </c>
      <c r="E337" t="inlineStr">
        <is>
          <t>Home &amp; Garden</t>
        </is>
      </c>
      <c r="F337" t="inlineStr">
        <is>
          <t>Emma Fischer</t>
        </is>
      </c>
      <c r="G337" t="inlineStr">
        <is>
          <t>Spain</t>
        </is>
      </c>
      <c r="H337" t="inlineStr">
        <is>
          <t>Mobile App</t>
        </is>
      </c>
      <c r="I337" t="n">
        <v>1</v>
      </c>
      <c r="J337" s="3" t="n">
        <v>25.3</v>
      </c>
      <c r="K337" s="3" t="n">
        <v>0</v>
      </c>
      <c r="L337" s="3" t="n">
        <v>25.3</v>
      </c>
      <c r="M337" s="3" t="n">
        <v>19.64</v>
      </c>
      <c r="N337" s="3" t="n">
        <v>5.66</v>
      </c>
      <c r="O337">
        <f>TEXT(A337,"yyyy-mm")</f>
        <v/>
      </c>
    </row>
    <row r="338">
      <c r="A338" s="2" t="n">
        <v>45586</v>
      </c>
      <c r="B338" t="n">
        <v>2024</v>
      </c>
      <c r="C338" t="inlineStr">
        <is>
          <t>October</t>
        </is>
      </c>
      <c r="D338" t="inlineStr">
        <is>
          <t>Essential Toolset</t>
        </is>
      </c>
      <c r="E338" t="inlineStr">
        <is>
          <t>Home &amp; Garden</t>
        </is>
      </c>
      <c r="F338" t="inlineStr">
        <is>
          <t>Nina Fischer</t>
        </is>
      </c>
      <c r="G338" t="inlineStr">
        <is>
          <t>Netherlands</t>
        </is>
      </c>
      <c r="H338" t="inlineStr">
        <is>
          <t>Mobile App</t>
        </is>
      </c>
      <c r="I338" t="n">
        <v>1</v>
      </c>
      <c r="J338" s="3" t="n">
        <v>212.46</v>
      </c>
      <c r="K338" s="3" t="n">
        <v>0</v>
      </c>
      <c r="L338" s="3" t="n">
        <v>212.46</v>
      </c>
      <c r="M338" s="3" t="n">
        <v>150.53</v>
      </c>
      <c r="N338" s="3" t="n">
        <v>61.93</v>
      </c>
      <c r="O338">
        <f>TEXT(A338,"yyyy-mm")</f>
        <v/>
      </c>
    </row>
    <row r="339">
      <c r="A339" s="2" t="n">
        <v>45586</v>
      </c>
      <c r="B339" t="n">
        <v>2024</v>
      </c>
      <c r="C339" t="inlineStr">
        <is>
          <t>October</t>
        </is>
      </c>
      <c r="D339" t="inlineStr">
        <is>
          <t>Classic Bike Helmet</t>
        </is>
      </c>
      <c r="E339" t="inlineStr">
        <is>
          <t>Sports &amp; Outdoors</t>
        </is>
      </c>
      <c r="F339" t="inlineStr">
        <is>
          <t>Nina Fischer</t>
        </is>
      </c>
      <c r="G339" t="inlineStr">
        <is>
          <t>Netherlands</t>
        </is>
      </c>
      <c r="H339" t="inlineStr">
        <is>
          <t>Mobile App</t>
        </is>
      </c>
      <c r="I339" t="n">
        <v>4</v>
      </c>
      <c r="J339" s="3" t="n">
        <v>842.52</v>
      </c>
      <c r="K339" s="3" t="n">
        <v>0</v>
      </c>
      <c r="L339" s="3" t="n">
        <v>842.52</v>
      </c>
      <c r="M339" s="3" t="n">
        <v>615.24</v>
      </c>
      <c r="N339" s="3" t="n">
        <v>227.28</v>
      </c>
      <c r="O339">
        <f>TEXT(A339,"yyyy-mm")</f>
        <v/>
      </c>
    </row>
    <row r="340">
      <c r="A340" s="2" t="n">
        <v>45587</v>
      </c>
      <c r="B340" t="n">
        <v>2024</v>
      </c>
      <c r="C340" t="inlineStr">
        <is>
          <t>October</t>
        </is>
      </c>
      <c r="D340" t="inlineStr">
        <is>
          <t>Ultra Vitamins</t>
        </is>
      </c>
      <c r="E340" t="inlineStr">
        <is>
          <t>Beauty &amp; Health</t>
        </is>
      </c>
      <c r="F340" t="inlineStr">
        <is>
          <t>Anna Smith</t>
        </is>
      </c>
      <c r="G340" t="inlineStr">
        <is>
          <t>Germany</t>
        </is>
      </c>
      <c r="H340" t="inlineStr">
        <is>
          <t>Retail Store</t>
        </is>
      </c>
      <c r="I340" t="n">
        <v>5</v>
      </c>
      <c r="J340" s="3" t="n">
        <v>1050</v>
      </c>
      <c r="K340" s="3" t="n">
        <v>0</v>
      </c>
      <c r="L340" s="3" t="n">
        <v>1050</v>
      </c>
      <c r="M340" s="3" t="n">
        <v>630.5</v>
      </c>
      <c r="N340" s="3" t="n">
        <v>419.5</v>
      </c>
      <c r="O340">
        <f>TEXT(A340,"yyyy-mm")</f>
        <v/>
      </c>
    </row>
    <row r="341">
      <c r="A341" s="2" t="n">
        <v>45587</v>
      </c>
      <c r="B341" t="n">
        <v>2024</v>
      </c>
      <c r="C341" t="inlineStr">
        <is>
          <t>October</t>
        </is>
      </c>
      <c r="D341" t="inlineStr">
        <is>
          <t>Essential Charger</t>
        </is>
      </c>
      <c r="E341" t="inlineStr">
        <is>
          <t>Electronics</t>
        </is>
      </c>
      <c r="F341" t="inlineStr">
        <is>
          <t>Anna Smith</t>
        </is>
      </c>
      <c r="G341" t="inlineStr">
        <is>
          <t>Germany</t>
        </is>
      </c>
      <c r="H341" t="inlineStr">
        <is>
          <t>Retail Store</t>
        </is>
      </c>
      <c r="I341" t="n">
        <v>5</v>
      </c>
      <c r="J341" s="3" t="n">
        <v>228.15</v>
      </c>
      <c r="K341" s="3" t="n">
        <v>45.63</v>
      </c>
      <c r="L341" s="3" t="n">
        <v>182.52</v>
      </c>
      <c r="M341" s="3" t="n">
        <v>145.5</v>
      </c>
      <c r="N341" s="3" t="n">
        <v>37.02</v>
      </c>
      <c r="O341">
        <f>TEXT(A341,"yyyy-mm")</f>
        <v/>
      </c>
    </row>
    <row r="342">
      <c r="A342" s="2" t="n">
        <v>45587</v>
      </c>
      <c r="B342" t="n">
        <v>2024</v>
      </c>
      <c r="C342" t="inlineStr">
        <is>
          <t>October</t>
        </is>
      </c>
      <c r="D342" t="inlineStr">
        <is>
          <t>Smart Drone</t>
        </is>
      </c>
      <c r="E342" t="inlineStr">
        <is>
          <t>Toys &amp; Games</t>
        </is>
      </c>
      <c r="F342" t="inlineStr">
        <is>
          <t>Anna Smith</t>
        </is>
      </c>
      <c r="G342" t="inlineStr">
        <is>
          <t>Germany</t>
        </is>
      </c>
      <c r="H342" t="inlineStr">
        <is>
          <t>Retail Store</t>
        </is>
      </c>
      <c r="I342" t="n">
        <v>2</v>
      </c>
      <c r="J342" s="3" t="n">
        <v>440.54</v>
      </c>
      <c r="K342" s="3" t="n">
        <v>0</v>
      </c>
      <c r="L342" s="3" t="n">
        <v>440.54</v>
      </c>
      <c r="M342" s="3" t="n">
        <v>253.9</v>
      </c>
      <c r="N342" s="3" t="n">
        <v>186.64</v>
      </c>
      <c r="O342">
        <f>TEXT(A342,"yyyy-mm")</f>
        <v/>
      </c>
    </row>
    <row r="343">
      <c r="A343" s="2" t="n">
        <v>45587</v>
      </c>
      <c r="B343" t="n">
        <v>2024</v>
      </c>
      <c r="C343" t="inlineStr">
        <is>
          <t>October</t>
        </is>
      </c>
      <c r="D343" t="inlineStr">
        <is>
          <t>Eco Tent</t>
        </is>
      </c>
      <c r="E343" t="inlineStr">
        <is>
          <t>Sports &amp; Outdoors</t>
        </is>
      </c>
      <c r="F343" t="inlineStr">
        <is>
          <t>Anna Smith</t>
        </is>
      </c>
      <c r="G343" t="inlineStr">
        <is>
          <t>Germany</t>
        </is>
      </c>
      <c r="H343" t="inlineStr">
        <is>
          <t>Retail Store</t>
        </is>
      </c>
      <c r="I343" t="n">
        <v>1</v>
      </c>
      <c r="J343" s="3" t="n">
        <v>248.16</v>
      </c>
      <c r="K343" s="3" t="n">
        <v>0</v>
      </c>
      <c r="L343" s="3" t="n">
        <v>248.16</v>
      </c>
      <c r="M343" s="3" t="n">
        <v>135.03</v>
      </c>
      <c r="N343" s="3" t="n">
        <v>113.13</v>
      </c>
      <c r="O343">
        <f>TEXT(A343,"yyyy-mm")</f>
        <v/>
      </c>
    </row>
    <row r="344">
      <c r="A344" s="2" t="n">
        <v>45587</v>
      </c>
      <c r="B344" t="n">
        <v>2024</v>
      </c>
      <c r="C344" t="inlineStr">
        <is>
          <t>October</t>
        </is>
      </c>
      <c r="D344" t="inlineStr">
        <is>
          <t>Portable Puzzle</t>
        </is>
      </c>
      <c r="E344" t="inlineStr">
        <is>
          <t>Toys &amp; Games</t>
        </is>
      </c>
      <c r="F344" t="inlineStr">
        <is>
          <t>Maria Garcia</t>
        </is>
      </c>
      <c r="G344" t="inlineStr">
        <is>
          <t>United Kingdom</t>
        </is>
      </c>
      <c r="H344" t="inlineStr">
        <is>
          <t>Retail Store</t>
        </is>
      </c>
      <c r="I344" t="n">
        <v>5</v>
      </c>
      <c r="J344" s="3" t="n">
        <v>542</v>
      </c>
      <c r="K344" s="3" t="n">
        <v>0</v>
      </c>
      <c r="L344" s="3" t="n">
        <v>542</v>
      </c>
      <c r="M344" s="3" t="n">
        <v>294</v>
      </c>
      <c r="N344" s="3" t="n">
        <v>248</v>
      </c>
      <c r="O344">
        <f>TEXT(A344,"yyyy-mm")</f>
        <v/>
      </c>
    </row>
    <row r="345">
      <c r="A345" s="2" t="n">
        <v>45588</v>
      </c>
      <c r="B345" t="n">
        <v>2024</v>
      </c>
      <c r="C345" t="inlineStr">
        <is>
          <t>October</t>
        </is>
      </c>
      <c r="D345" t="inlineStr">
        <is>
          <t>Smart Puzzle</t>
        </is>
      </c>
      <c r="E345" t="inlineStr">
        <is>
          <t>Toys &amp; Games</t>
        </is>
      </c>
      <c r="F345" t="inlineStr">
        <is>
          <t>Michael Nowak</t>
        </is>
      </c>
      <c r="G345" t="inlineStr">
        <is>
          <t>Spain</t>
        </is>
      </c>
      <c r="H345" t="inlineStr">
        <is>
          <t>Marketplace</t>
        </is>
      </c>
      <c r="I345" t="n">
        <v>3</v>
      </c>
      <c r="J345" s="3" t="n">
        <v>803.55</v>
      </c>
      <c r="K345" s="3" t="n">
        <v>160.71</v>
      </c>
      <c r="L345" s="3" t="n">
        <v>642.84</v>
      </c>
      <c r="M345" s="3" t="n">
        <v>578.28</v>
      </c>
      <c r="N345" s="3" t="n">
        <v>64.56</v>
      </c>
      <c r="O345">
        <f>TEXT(A345,"yyyy-mm")</f>
        <v/>
      </c>
    </row>
    <row r="346">
      <c r="A346" s="2" t="n">
        <v>45588</v>
      </c>
      <c r="B346" t="n">
        <v>2024</v>
      </c>
      <c r="C346" t="inlineStr">
        <is>
          <t>October</t>
        </is>
      </c>
      <c r="D346" t="inlineStr">
        <is>
          <t>Portable Puzzle</t>
        </is>
      </c>
      <c r="E346" t="inlineStr">
        <is>
          <t>Toys &amp; Games</t>
        </is>
      </c>
      <c r="F346" t="inlineStr">
        <is>
          <t>Michael Nowak</t>
        </is>
      </c>
      <c r="G346" t="inlineStr">
        <is>
          <t>Spain</t>
        </is>
      </c>
      <c r="H346" t="inlineStr">
        <is>
          <t>Marketplace</t>
        </is>
      </c>
      <c r="I346" t="n">
        <v>1</v>
      </c>
      <c r="J346" s="3" t="n">
        <v>109.84</v>
      </c>
      <c r="K346" s="3" t="n">
        <v>0</v>
      </c>
      <c r="L346" s="3" t="n">
        <v>109.84</v>
      </c>
      <c r="M346" s="3" t="n">
        <v>58.8</v>
      </c>
      <c r="N346" s="3" t="n">
        <v>51.04</v>
      </c>
      <c r="O346">
        <f>TEXT(A346,"yyyy-mm")</f>
        <v/>
      </c>
    </row>
    <row r="347">
      <c r="A347" s="2" t="n">
        <v>45588</v>
      </c>
      <c r="B347" t="n">
        <v>2024</v>
      </c>
      <c r="C347" t="inlineStr">
        <is>
          <t>October</t>
        </is>
      </c>
      <c r="D347" t="inlineStr">
        <is>
          <t>Deluxe Notebook</t>
        </is>
      </c>
      <c r="E347" t="inlineStr">
        <is>
          <t>Books</t>
        </is>
      </c>
      <c r="F347" t="inlineStr">
        <is>
          <t>Michael Nowak</t>
        </is>
      </c>
      <c r="G347" t="inlineStr">
        <is>
          <t>Spain</t>
        </is>
      </c>
      <c r="H347" t="inlineStr">
        <is>
          <t>Marketplace</t>
        </is>
      </c>
      <c r="I347" t="n">
        <v>3</v>
      </c>
      <c r="J347" s="3" t="n">
        <v>652.41</v>
      </c>
      <c r="K347" s="3" t="n">
        <v>0</v>
      </c>
      <c r="L347" s="3" t="n">
        <v>652.41</v>
      </c>
      <c r="M347" s="3" t="n">
        <v>452.28</v>
      </c>
      <c r="N347" s="3" t="n">
        <v>200.13</v>
      </c>
      <c r="O347">
        <f>TEXT(A347,"yyyy-mm")</f>
        <v/>
      </c>
    </row>
    <row r="348">
      <c r="A348" s="2" t="n">
        <v>45588</v>
      </c>
      <c r="B348" t="n">
        <v>2024</v>
      </c>
      <c r="C348" t="inlineStr">
        <is>
          <t>October</t>
        </is>
      </c>
      <c r="D348" t="inlineStr">
        <is>
          <t>Portable Puzzle</t>
        </is>
      </c>
      <c r="E348" t="inlineStr">
        <is>
          <t>Toys &amp; Games</t>
        </is>
      </c>
      <c r="F348" t="inlineStr">
        <is>
          <t>Clara Nowak</t>
        </is>
      </c>
      <c r="G348" t="inlineStr">
        <is>
          <t>United States</t>
        </is>
      </c>
      <c r="H348" t="inlineStr">
        <is>
          <t>Mobile App</t>
        </is>
      </c>
      <c r="I348" t="n">
        <v>5</v>
      </c>
      <c r="J348" s="3" t="n">
        <v>553.85</v>
      </c>
      <c r="K348" s="3" t="n">
        <v>83.08</v>
      </c>
      <c r="L348" s="3" t="n">
        <v>470.77</v>
      </c>
      <c r="M348" s="3" t="n">
        <v>294</v>
      </c>
      <c r="N348" s="3" t="n">
        <v>176.77</v>
      </c>
      <c r="O348">
        <f>TEXT(A348,"yyyy-mm")</f>
        <v/>
      </c>
    </row>
    <row r="349">
      <c r="A349" s="2" t="n">
        <v>45588</v>
      </c>
      <c r="B349" t="n">
        <v>2024</v>
      </c>
      <c r="C349" t="inlineStr">
        <is>
          <t>October</t>
        </is>
      </c>
      <c r="D349" t="inlineStr">
        <is>
          <t>Smart Tea Set</t>
        </is>
      </c>
      <c r="E349" t="inlineStr">
        <is>
          <t>Grocery</t>
        </is>
      </c>
      <c r="F349" t="inlineStr">
        <is>
          <t>Olivia Wojcik</t>
        </is>
      </c>
      <c r="G349" t="inlineStr">
        <is>
          <t>France</t>
        </is>
      </c>
      <c r="H349" t="inlineStr">
        <is>
          <t>Web Store</t>
        </is>
      </c>
      <c r="I349" t="n">
        <v>3</v>
      </c>
      <c r="J349" s="3" t="n">
        <v>276.87</v>
      </c>
      <c r="K349" s="3" t="n">
        <v>13.84</v>
      </c>
      <c r="L349" s="3" t="n">
        <v>263.03</v>
      </c>
      <c r="M349" s="3" t="n">
        <v>185.4</v>
      </c>
      <c r="N349" s="3" t="n">
        <v>77.63</v>
      </c>
      <c r="O349">
        <f>TEXT(A349,"yyyy-mm")</f>
        <v/>
      </c>
    </row>
    <row r="350">
      <c r="A350" s="2" t="n">
        <v>45588</v>
      </c>
      <c r="B350" t="n">
        <v>2024</v>
      </c>
      <c r="C350" t="inlineStr">
        <is>
          <t>October</t>
        </is>
      </c>
      <c r="D350" t="inlineStr">
        <is>
          <t>Portable Puzzle</t>
        </is>
      </c>
      <c r="E350" t="inlineStr">
        <is>
          <t>Toys &amp; Games</t>
        </is>
      </c>
      <c r="F350" t="inlineStr">
        <is>
          <t>Anna Martin</t>
        </is>
      </c>
      <c r="G350" t="inlineStr">
        <is>
          <t>France</t>
        </is>
      </c>
      <c r="H350" t="inlineStr">
        <is>
          <t>Retail Store</t>
        </is>
      </c>
      <c r="I350" t="n">
        <v>4</v>
      </c>
      <c r="J350" s="3" t="n">
        <v>457.04</v>
      </c>
      <c r="K350" s="3" t="n">
        <v>45.7</v>
      </c>
      <c r="L350" s="3" t="n">
        <v>411.34</v>
      </c>
      <c r="M350" s="3" t="n">
        <v>235.2</v>
      </c>
      <c r="N350" s="3" t="n">
        <v>176.14</v>
      </c>
      <c r="O350">
        <f>TEXT(A350,"yyyy-mm")</f>
        <v/>
      </c>
    </row>
    <row r="351">
      <c r="A351" s="2" t="n">
        <v>45588</v>
      </c>
      <c r="B351" t="n">
        <v>2024</v>
      </c>
      <c r="C351" t="inlineStr">
        <is>
          <t>October</t>
        </is>
      </c>
      <c r="D351" t="inlineStr">
        <is>
          <t>Deluxe Cookbook</t>
        </is>
      </c>
      <c r="E351" t="inlineStr">
        <is>
          <t>Books</t>
        </is>
      </c>
      <c r="F351" t="inlineStr">
        <is>
          <t>Anna Martin</t>
        </is>
      </c>
      <c r="G351" t="inlineStr">
        <is>
          <t>France</t>
        </is>
      </c>
      <c r="H351" t="inlineStr">
        <is>
          <t>Retail Store</t>
        </is>
      </c>
      <c r="I351" t="n">
        <v>5</v>
      </c>
      <c r="J351" s="3" t="n">
        <v>684.9</v>
      </c>
      <c r="K351" s="3" t="n">
        <v>68.48999999999999</v>
      </c>
      <c r="L351" s="3" t="n">
        <v>616.41</v>
      </c>
      <c r="M351" s="3" t="n">
        <v>426.35</v>
      </c>
      <c r="N351" s="3" t="n">
        <v>190.06</v>
      </c>
      <c r="O351">
        <f>TEXT(A351,"yyyy-mm")</f>
        <v/>
      </c>
    </row>
    <row r="352">
      <c r="A352" s="2" t="n">
        <v>45588</v>
      </c>
      <c r="B352" t="n">
        <v>2024</v>
      </c>
      <c r="C352" t="inlineStr">
        <is>
          <t>October</t>
        </is>
      </c>
      <c r="D352" t="inlineStr">
        <is>
          <t>Wireless Backpack</t>
        </is>
      </c>
      <c r="E352" t="inlineStr">
        <is>
          <t>Sports &amp; Outdoors</t>
        </is>
      </c>
      <c r="F352" t="inlineStr">
        <is>
          <t>David Nowak</t>
        </is>
      </c>
      <c r="G352" t="inlineStr">
        <is>
          <t>United Kingdom</t>
        </is>
      </c>
      <c r="H352" t="inlineStr">
        <is>
          <t>Mobile App</t>
        </is>
      </c>
      <c r="I352" t="n">
        <v>4</v>
      </c>
      <c r="J352" s="3" t="n">
        <v>194.28</v>
      </c>
      <c r="K352" s="3" t="n">
        <v>0</v>
      </c>
      <c r="L352" s="3" t="n">
        <v>194.28</v>
      </c>
      <c r="M352" s="3" t="n">
        <v>112.4</v>
      </c>
      <c r="N352" s="3" t="n">
        <v>81.88</v>
      </c>
      <c r="O352">
        <f>TEXT(A352,"yyyy-mm")</f>
        <v/>
      </c>
    </row>
    <row r="353">
      <c r="A353" s="2" t="n">
        <v>45588</v>
      </c>
      <c r="B353" t="n">
        <v>2024</v>
      </c>
      <c r="C353" t="inlineStr">
        <is>
          <t>October</t>
        </is>
      </c>
      <c r="D353" t="inlineStr">
        <is>
          <t>Essential Cushion</t>
        </is>
      </c>
      <c r="E353" t="inlineStr">
        <is>
          <t>Home &amp; Garden</t>
        </is>
      </c>
      <c r="F353" t="inlineStr">
        <is>
          <t>Paul Schmidt</t>
        </is>
      </c>
      <c r="G353" t="inlineStr">
        <is>
          <t>Poland</t>
        </is>
      </c>
      <c r="H353" t="inlineStr">
        <is>
          <t>Retail Store</t>
        </is>
      </c>
      <c r="I353" t="n">
        <v>4</v>
      </c>
      <c r="J353" s="3" t="n">
        <v>174.32</v>
      </c>
      <c r="K353" s="3" t="n">
        <v>17.43</v>
      </c>
      <c r="L353" s="3" t="n">
        <v>156.89</v>
      </c>
      <c r="M353" s="3" t="n">
        <v>122.2</v>
      </c>
      <c r="N353" s="3" t="n">
        <v>34.69</v>
      </c>
      <c r="O353">
        <f>TEXT(A353,"yyyy-mm")</f>
        <v/>
      </c>
    </row>
    <row r="354">
      <c r="A354" s="2" t="n">
        <v>45588</v>
      </c>
      <c r="B354" t="n">
        <v>2024</v>
      </c>
      <c r="C354" t="inlineStr">
        <is>
          <t>October</t>
        </is>
      </c>
      <c r="D354" t="inlineStr">
        <is>
          <t>Portable Toolset</t>
        </is>
      </c>
      <c r="E354" t="inlineStr">
        <is>
          <t>Home &amp; Garden</t>
        </is>
      </c>
      <c r="F354" t="inlineStr">
        <is>
          <t>Paul Schmidt</t>
        </is>
      </c>
      <c r="G354" t="inlineStr">
        <is>
          <t>Poland</t>
        </is>
      </c>
      <c r="H354" t="inlineStr">
        <is>
          <t>Retail Store</t>
        </is>
      </c>
      <c r="I354" t="n">
        <v>3</v>
      </c>
      <c r="J354" s="3" t="n">
        <v>433.95</v>
      </c>
      <c r="K354" s="3" t="n">
        <v>0</v>
      </c>
      <c r="L354" s="3" t="n">
        <v>433.95</v>
      </c>
      <c r="M354" s="3" t="n">
        <v>278.55</v>
      </c>
      <c r="N354" s="3" t="n">
        <v>155.4</v>
      </c>
      <c r="O354">
        <f>TEXT(A354,"yyyy-mm")</f>
        <v/>
      </c>
    </row>
    <row r="355">
      <c r="A355" s="2" t="n">
        <v>45588</v>
      </c>
      <c r="B355" t="n">
        <v>2024</v>
      </c>
      <c r="C355" t="inlineStr">
        <is>
          <t>October</t>
        </is>
      </c>
      <c r="D355" t="inlineStr">
        <is>
          <t>Essential Charger</t>
        </is>
      </c>
      <c r="E355" t="inlineStr">
        <is>
          <t>Electronics</t>
        </is>
      </c>
      <c r="F355" t="inlineStr">
        <is>
          <t>Paul Schmidt</t>
        </is>
      </c>
      <c r="G355" t="inlineStr">
        <is>
          <t>Poland</t>
        </is>
      </c>
      <c r="H355" t="inlineStr">
        <is>
          <t>Retail Store</t>
        </is>
      </c>
      <c r="I355" t="n">
        <v>4</v>
      </c>
      <c r="J355" s="3" t="n">
        <v>178.72</v>
      </c>
      <c r="K355" s="3" t="n">
        <v>35.74</v>
      </c>
      <c r="L355" s="3" t="n">
        <v>142.98</v>
      </c>
      <c r="M355" s="3" t="n">
        <v>116.4</v>
      </c>
      <c r="N355" s="3" t="n">
        <v>26.58</v>
      </c>
      <c r="O355">
        <f>TEXT(A355,"yyyy-mm")</f>
        <v/>
      </c>
    </row>
    <row r="356">
      <c r="A356" s="2" t="n">
        <v>45588</v>
      </c>
      <c r="B356" t="n">
        <v>2024</v>
      </c>
      <c r="C356" t="inlineStr">
        <is>
          <t>October</t>
        </is>
      </c>
      <c r="D356" t="inlineStr">
        <is>
          <t>Premium Tent</t>
        </is>
      </c>
      <c r="E356" t="inlineStr">
        <is>
          <t>Sports &amp; Outdoors</t>
        </is>
      </c>
      <c r="F356" t="inlineStr">
        <is>
          <t>Olivia Wojcik</t>
        </is>
      </c>
      <c r="G356" t="inlineStr">
        <is>
          <t>France</t>
        </is>
      </c>
      <c r="H356" t="inlineStr">
        <is>
          <t>Web Store</t>
        </is>
      </c>
      <c r="I356" t="n">
        <v>4</v>
      </c>
      <c r="J356" s="3" t="n">
        <v>1038.88</v>
      </c>
      <c r="K356" s="3" t="n">
        <v>51.94</v>
      </c>
      <c r="L356" s="3" t="n">
        <v>986.9400000000001</v>
      </c>
      <c r="M356" s="3" t="n">
        <v>661.24</v>
      </c>
      <c r="N356" s="3" t="n">
        <v>325.7</v>
      </c>
      <c r="O356">
        <f>TEXT(A356,"yyyy-mm")</f>
        <v/>
      </c>
    </row>
    <row r="357">
      <c r="A357" s="2" t="n">
        <v>45588</v>
      </c>
      <c r="B357" t="n">
        <v>2024</v>
      </c>
      <c r="C357" t="inlineStr">
        <is>
          <t>October</t>
        </is>
      </c>
      <c r="D357" t="inlineStr">
        <is>
          <t>Portable Puzzle</t>
        </is>
      </c>
      <c r="E357" t="inlineStr">
        <is>
          <t>Toys &amp; Games</t>
        </is>
      </c>
      <c r="F357" t="inlineStr">
        <is>
          <t>Olivia Wojcik</t>
        </is>
      </c>
      <c r="G357" t="inlineStr">
        <is>
          <t>France</t>
        </is>
      </c>
      <c r="H357" t="inlineStr">
        <is>
          <t>Web Store</t>
        </is>
      </c>
      <c r="I357" t="n">
        <v>2</v>
      </c>
      <c r="J357" s="3" t="n">
        <v>220.72</v>
      </c>
      <c r="K357" s="3" t="n">
        <v>0</v>
      </c>
      <c r="L357" s="3" t="n">
        <v>220.72</v>
      </c>
      <c r="M357" s="3" t="n">
        <v>117.6</v>
      </c>
      <c r="N357" s="3" t="n">
        <v>103.12</v>
      </c>
      <c r="O357">
        <f>TEXT(A357,"yyyy-mm")</f>
        <v/>
      </c>
    </row>
    <row r="358">
      <c r="A358" s="2" t="n">
        <v>45589</v>
      </c>
      <c r="B358" t="n">
        <v>2024</v>
      </c>
      <c r="C358" t="inlineStr">
        <is>
          <t>October</t>
        </is>
      </c>
      <c r="D358" t="inlineStr">
        <is>
          <t>Wireless Coffee Beans</t>
        </is>
      </c>
      <c r="E358" t="inlineStr">
        <is>
          <t>Grocery</t>
        </is>
      </c>
      <c r="F358" t="inlineStr">
        <is>
          <t>Michael Moreau</t>
        </is>
      </c>
      <c r="G358" t="inlineStr">
        <is>
          <t>Poland</t>
        </is>
      </c>
      <c r="H358" t="inlineStr">
        <is>
          <t>Mobile App</t>
        </is>
      </c>
      <c r="I358" t="n">
        <v>5</v>
      </c>
      <c r="J358" s="3" t="n">
        <v>1058.95</v>
      </c>
      <c r="K358" s="3" t="n">
        <v>158.84</v>
      </c>
      <c r="L358" s="3" t="n">
        <v>900.11</v>
      </c>
      <c r="M358" s="3" t="n">
        <v>650.65</v>
      </c>
      <c r="N358" s="3" t="n">
        <v>249.46</v>
      </c>
      <c r="O358">
        <f>TEXT(A358,"yyyy-mm")</f>
        <v/>
      </c>
    </row>
    <row r="359">
      <c r="A359" s="2" t="n">
        <v>45589</v>
      </c>
      <c r="B359" t="n">
        <v>2024</v>
      </c>
      <c r="C359" t="inlineStr">
        <is>
          <t>October</t>
        </is>
      </c>
      <c r="D359" t="inlineStr">
        <is>
          <t>Deluxe Toothbrush</t>
        </is>
      </c>
      <c r="E359" t="inlineStr">
        <is>
          <t>Beauty &amp; Health</t>
        </is>
      </c>
      <c r="F359" t="inlineStr">
        <is>
          <t>Emily Moreau</t>
        </is>
      </c>
      <c r="G359" t="inlineStr">
        <is>
          <t>Germany</t>
        </is>
      </c>
      <c r="H359" t="inlineStr">
        <is>
          <t>Retail Store</t>
        </is>
      </c>
      <c r="I359" t="n">
        <v>3</v>
      </c>
      <c r="J359" s="3" t="n">
        <v>997.41</v>
      </c>
      <c r="K359" s="3" t="n">
        <v>149.61</v>
      </c>
      <c r="L359" s="3" t="n">
        <v>847.8</v>
      </c>
      <c r="M359" s="3" t="n">
        <v>523.71</v>
      </c>
      <c r="N359" s="3" t="n">
        <v>324.09</v>
      </c>
      <c r="O359">
        <f>TEXT(A359,"yyyy-mm")</f>
        <v/>
      </c>
    </row>
    <row r="360">
      <c r="A360" s="2" t="n">
        <v>45589</v>
      </c>
      <c r="B360" t="n">
        <v>2024</v>
      </c>
      <c r="C360" t="inlineStr">
        <is>
          <t>October</t>
        </is>
      </c>
      <c r="D360" t="inlineStr">
        <is>
          <t>Smart Camera</t>
        </is>
      </c>
      <c r="E360" t="inlineStr">
        <is>
          <t>Electronics</t>
        </is>
      </c>
      <c r="F360" t="inlineStr">
        <is>
          <t>Nina Lopez</t>
        </is>
      </c>
      <c r="G360" t="inlineStr">
        <is>
          <t>Poland</t>
        </is>
      </c>
      <c r="H360" t="inlineStr">
        <is>
          <t>Marketplace</t>
        </is>
      </c>
      <c r="I360" t="n">
        <v>4</v>
      </c>
      <c r="J360" s="3" t="n">
        <v>1225.04</v>
      </c>
      <c r="K360" s="3" t="n">
        <v>122.5</v>
      </c>
      <c r="L360" s="3" t="n">
        <v>1102.54</v>
      </c>
      <c r="M360" s="3" t="n">
        <v>669.6</v>
      </c>
      <c r="N360" s="3" t="n">
        <v>432.94</v>
      </c>
      <c r="O360">
        <f>TEXT(A360,"yyyy-mm")</f>
        <v/>
      </c>
    </row>
    <row r="361">
      <c r="A361" s="2" t="n">
        <v>45589</v>
      </c>
      <c r="B361" t="n">
        <v>2024</v>
      </c>
      <c r="C361" t="inlineStr">
        <is>
          <t>October</t>
        </is>
      </c>
      <c r="D361" t="inlineStr">
        <is>
          <t>Essential Lamp</t>
        </is>
      </c>
      <c r="E361" t="inlineStr">
        <is>
          <t>Home &amp; Garden</t>
        </is>
      </c>
      <c r="F361" t="inlineStr">
        <is>
          <t>Emily Moreau</t>
        </is>
      </c>
      <c r="G361" t="inlineStr">
        <is>
          <t>Germany</t>
        </is>
      </c>
      <c r="H361" t="inlineStr">
        <is>
          <t>Retail Store</t>
        </is>
      </c>
      <c r="I361" t="n">
        <v>3</v>
      </c>
      <c r="J361" s="3" t="n">
        <v>196.62</v>
      </c>
      <c r="K361" s="3" t="n">
        <v>39.32</v>
      </c>
      <c r="L361" s="3" t="n">
        <v>157.3</v>
      </c>
      <c r="M361" s="3" t="n">
        <v>136.2</v>
      </c>
      <c r="N361" s="3" t="n">
        <v>21.1</v>
      </c>
      <c r="O361">
        <f>TEXT(A361,"yyyy-mm")</f>
        <v/>
      </c>
    </row>
    <row r="362">
      <c r="A362" s="2" t="n">
        <v>45589</v>
      </c>
      <c r="B362" t="n">
        <v>2024</v>
      </c>
      <c r="C362" t="inlineStr">
        <is>
          <t>October</t>
        </is>
      </c>
      <c r="D362" t="inlineStr">
        <is>
          <t>Classic Coffee Beans</t>
        </is>
      </c>
      <c r="E362" t="inlineStr">
        <is>
          <t>Grocery</t>
        </is>
      </c>
      <c r="F362" t="inlineStr">
        <is>
          <t>Michael Moreau</t>
        </is>
      </c>
      <c r="G362" t="inlineStr">
        <is>
          <t>Poland</t>
        </is>
      </c>
      <c r="H362" t="inlineStr">
        <is>
          <t>Mobile App</t>
        </is>
      </c>
      <c r="I362" t="n">
        <v>2</v>
      </c>
      <c r="J362" s="3" t="n">
        <v>653.04</v>
      </c>
      <c r="K362" s="3" t="n">
        <v>97.95999999999999</v>
      </c>
      <c r="L362" s="3" t="n">
        <v>555.08</v>
      </c>
      <c r="M362" s="3" t="n">
        <v>389.52</v>
      </c>
      <c r="N362" s="3" t="n">
        <v>165.56</v>
      </c>
      <c r="O362">
        <f>TEXT(A362,"yyyy-mm")</f>
        <v/>
      </c>
    </row>
    <row r="363">
      <c r="A363" s="2" t="n">
        <v>45589</v>
      </c>
      <c r="B363" t="n">
        <v>2024</v>
      </c>
      <c r="C363" t="inlineStr">
        <is>
          <t>October</t>
        </is>
      </c>
      <c r="D363" t="inlineStr">
        <is>
          <t>Portable Toolset</t>
        </is>
      </c>
      <c r="E363" t="inlineStr">
        <is>
          <t>Home &amp; Garden</t>
        </is>
      </c>
      <c r="F363" t="inlineStr">
        <is>
          <t>Michael Moreau</t>
        </is>
      </c>
      <c r="G363" t="inlineStr">
        <is>
          <t>Poland</t>
        </is>
      </c>
      <c r="H363" t="inlineStr">
        <is>
          <t>Mobile App</t>
        </is>
      </c>
      <c r="I363" t="n">
        <v>4</v>
      </c>
      <c r="J363" s="3" t="n">
        <v>355</v>
      </c>
      <c r="K363" s="3" t="n">
        <v>53.25</v>
      </c>
      <c r="L363" s="3" t="n">
        <v>301.75</v>
      </c>
      <c r="M363" s="3" t="n">
        <v>202.16</v>
      </c>
      <c r="N363" s="3" t="n">
        <v>99.59</v>
      </c>
      <c r="O363">
        <f>TEXT(A363,"yyyy-mm")</f>
        <v/>
      </c>
    </row>
    <row r="364">
      <c r="A364" s="2" t="n">
        <v>45589</v>
      </c>
      <c r="B364" t="n">
        <v>2024</v>
      </c>
      <c r="C364" t="inlineStr">
        <is>
          <t>October</t>
        </is>
      </c>
      <c r="D364" t="inlineStr">
        <is>
          <t>Smart Camera</t>
        </is>
      </c>
      <c r="E364" t="inlineStr">
        <is>
          <t>Electronics</t>
        </is>
      </c>
      <c r="F364" t="inlineStr">
        <is>
          <t>Michael Moreau</t>
        </is>
      </c>
      <c r="G364" t="inlineStr">
        <is>
          <t>Poland</t>
        </is>
      </c>
      <c r="H364" t="inlineStr">
        <is>
          <t>Mobile App</t>
        </is>
      </c>
      <c r="I364" t="n">
        <v>4</v>
      </c>
      <c r="J364" s="3" t="n">
        <v>503.24</v>
      </c>
      <c r="K364" s="3" t="n">
        <v>100.65</v>
      </c>
      <c r="L364" s="3" t="n">
        <v>402.59</v>
      </c>
      <c r="M364" s="3" t="n">
        <v>342.32</v>
      </c>
      <c r="N364" s="3" t="n">
        <v>60.27</v>
      </c>
      <c r="O364">
        <f>TEXT(A364,"yyyy-mm")</f>
        <v/>
      </c>
    </row>
    <row r="365">
      <c r="A365" s="2" t="n">
        <v>45589</v>
      </c>
      <c r="B365" t="n">
        <v>2024</v>
      </c>
      <c r="C365" t="inlineStr">
        <is>
          <t>October</t>
        </is>
      </c>
      <c r="D365" t="inlineStr">
        <is>
          <t>Essential Charger</t>
        </is>
      </c>
      <c r="E365" t="inlineStr">
        <is>
          <t>Electronics</t>
        </is>
      </c>
      <c r="F365" t="inlineStr">
        <is>
          <t>Emily Moreau</t>
        </is>
      </c>
      <c r="G365" t="inlineStr">
        <is>
          <t>Germany</t>
        </is>
      </c>
      <c r="H365" t="inlineStr">
        <is>
          <t>Retail Store</t>
        </is>
      </c>
      <c r="I365" t="n">
        <v>2</v>
      </c>
      <c r="J365" s="3" t="n">
        <v>87.56</v>
      </c>
      <c r="K365" s="3" t="n">
        <v>17.51</v>
      </c>
      <c r="L365" s="3" t="n">
        <v>70.05</v>
      </c>
      <c r="M365" s="3" t="n">
        <v>58.2</v>
      </c>
      <c r="N365" s="3" t="n">
        <v>11.85</v>
      </c>
      <c r="O365">
        <f>TEXT(A365,"yyyy-mm")</f>
        <v/>
      </c>
    </row>
    <row r="366">
      <c r="A366" s="2" t="n">
        <v>45589</v>
      </c>
      <c r="B366" t="n">
        <v>2024</v>
      </c>
      <c r="C366" t="inlineStr">
        <is>
          <t>October</t>
        </is>
      </c>
      <c r="D366" t="inlineStr">
        <is>
          <t>Smart Sweater</t>
        </is>
      </c>
      <c r="E366" t="inlineStr">
        <is>
          <t>Clothing</t>
        </is>
      </c>
      <c r="F366" t="inlineStr">
        <is>
          <t>Emily Moreau</t>
        </is>
      </c>
      <c r="G366" t="inlineStr">
        <is>
          <t>Germany</t>
        </is>
      </c>
      <c r="H366" t="inlineStr">
        <is>
          <t>Retail Store</t>
        </is>
      </c>
      <c r="I366" t="n">
        <v>5</v>
      </c>
      <c r="J366" s="3" t="n">
        <v>697.7</v>
      </c>
      <c r="K366" s="3" t="n">
        <v>0</v>
      </c>
      <c r="L366" s="3" t="n">
        <v>697.7</v>
      </c>
      <c r="M366" s="3" t="n">
        <v>386.75</v>
      </c>
      <c r="N366" s="3" t="n">
        <v>310.95</v>
      </c>
      <c r="O366">
        <f>TEXT(A366,"yyyy-mm")</f>
        <v/>
      </c>
    </row>
    <row r="367">
      <c r="A367" s="2" t="n">
        <v>45590</v>
      </c>
      <c r="B367" t="n">
        <v>2024</v>
      </c>
      <c r="C367" t="inlineStr">
        <is>
          <t>October</t>
        </is>
      </c>
      <c r="D367" t="inlineStr">
        <is>
          <t>Premium Cookbook</t>
        </is>
      </c>
      <c r="E367" t="inlineStr">
        <is>
          <t>Books</t>
        </is>
      </c>
      <c r="F367" t="inlineStr">
        <is>
          <t>Julia Schmidt</t>
        </is>
      </c>
      <c r="G367" t="inlineStr">
        <is>
          <t>France</t>
        </is>
      </c>
      <c r="H367" t="inlineStr">
        <is>
          <t>Mobile App</t>
        </is>
      </c>
      <c r="I367" t="n">
        <v>5</v>
      </c>
      <c r="J367" s="3" t="n">
        <v>678.8</v>
      </c>
      <c r="K367" s="3" t="n">
        <v>0</v>
      </c>
      <c r="L367" s="3" t="n">
        <v>678.8</v>
      </c>
      <c r="M367" s="3" t="n">
        <v>474.9</v>
      </c>
      <c r="N367" s="3" t="n">
        <v>203.9</v>
      </c>
      <c r="O367">
        <f>TEXT(A367,"yyyy-mm")</f>
        <v/>
      </c>
    </row>
    <row r="368">
      <c r="A368" s="2" t="n">
        <v>45590</v>
      </c>
      <c r="B368" t="n">
        <v>2024</v>
      </c>
      <c r="C368" t="inlineStr">
        <is>
          <t>October</t>
        </is>
      </c>
      <c r="D368" t="inlineStr">
        <is>
          <t>Deluxe Headphones</t>
        </is>
      </c>
      <c r="E368" t="inlineStr">
        <is>
          <t>Electronics</t>
        </is>
      </c>
      <c r="F368" t="inlineStr">
        <is>
          <t>Julia Schmidt</t>
        </is>
      </c>
      <c r="G368" t="inlineStr">
        <is>
          <t>France</t>
        </is>
      </c>
      <c r="H368" t="inlineStr">
        <is>
          <t>Mobile App</t>
        </is>
      </c>
      <c r="I368" t="n">
        <v>3</v>
      </c>
      <c r="J368" s="3" t="n">
        <v>214.05</v>
      </c>
      <c r="K368" s="3" t="n">
        <v>42.81</v>
      </c>
      <c r="L368" s="3" t="n">
        <v>171.24</v>
      </c>
      <c r="M368" s="3" t="n">
        <v>157.5</v>
      </c>
      <c r="N368" s="3" t="n">
        <v>13.74</v>
      </c>
      <c r="O368">
        <f>TEXT(A368,"yyyy-mm")</f>
        <v/>
      </c>
    </row>
    <row r="369">
      <c r="A369" s="2" t="n">
        <v>45590</v>
      </c>
      <c r="B369" t="n">
        <v>2024</v>
      </c>
      <c r="C369" t="inlineStr">
        <is>
          <t>October</t>
        </is>
      </c>
      <c r="D369" t="inlineStr">
        <is>
          <t>Classic Tent</t>
        </is>
      </c>
      <c r="E369" t="inlineStr">
        <is>
          <t>Sports &amp; Outdoors</t>
        </is>
      </c>
      <c r="F369" t="inlineStr">
        <is>
          <t>Peter Muller</t>
        </is>
      </c>
      <c r="G369" t="inlineStr">
        <is>
          <t>Italy</t>
        </is>
      </c>
      <c r="H369" t="inlineStr">
        <is>
          <t>Mobile App</t>
        </is>
      </c>
      <c r="I369" t="n">
        <v>2</v>
      </c>
      <c r="J369" s="3" t="n">
        <v>410</v>
      </c>
      <c r="K369" s="3" t="n">
        <v>41</v>
      </c>
      <c r="L369" s="3" t="n">
        <v>369</v>
      </c>
      <c r="M369" s="3" t="n">
        <v>236.04</v>
      </c>
      <c r="N369" s="3" t="n">
        <v>132.96</v>
      </c>
      <c r="O369">
        <f>TEXT(A369,"yyyy-mm")</f>
        <v/>
      </c>
    </row>
    <row r="370">
      <c r="A370" s="2" t="n">
        <v>45590</v>
      </c>
      <c r="B370" t="n">
        <v>2024</v>
      </c>
      <c r="C370" t="inlineStr">
        <is>
          <t>October</t>
        </is>
      </c>
      <c r="D370" t="inlineStr">
        <is>
          <t>Eco Planter</t>
        </is>
      </c>
      <c r="E370" t="inlineStr">
        <is>
          <t>Home &amp; Garden</t>
        </is>
      </c>
      <c r="F370" t="inlineStr">
        <is>
          <t>Peter Muller</t>
        </is>
      </c>
      <c r="G370" t="inlineStr">
        <is>
          <t>Italy</t>
        </is>
      </c>
      <c r="H370" t="inlineStr">
        <is>
          <t>Mobile App</t>
        </is>
      </c>
      <c r="I370" t="n">
        <v>3</v>
      </c>
      <c r="J370" s="3" t="n">
        <v>525.5700000000001</v>
      </c>
      <c r="K370" s="3" t="n">
        <v>26.28</v>
      </c>
      <c r="L370" s="3" t="n">
        <v>499.29</v>
      </c>
      <c r="M370" s="3" t="n">
        <v>337.23</v>
      </c>
      <c r="N370" s="3" t="n">
        <v>162.06</v>
      </c>
      <c r="O370">
        <f>TEXT(A370,"yyyy-mm")</f>
        <v/>
      </c>
    </row>
    <row r="371">
      <c r="A371" s="2" t="n">
        <v>45591</v>
      </c>
      <c r="B371" t="n">
        <v>2024</v>
      </c>
      <c r="C371" t="inlineStr">
        <is>
          <t>October</t>
        </is>
      </c>
      <c r="D371" t="inlineStr">
        <is>
          <t>Essential Jacket</t>
        </is>
      </c>
      <c r="E371" t="inlineStr">
        <is>
          <t>Clothing</t>
        </is>
      </c>
      <c r="F371" t="inlineStr">
        <is>
          <t>Clara Johnson</t>
        </is>
      </c>
      <c r="G371" t="inlineStr">
        <is>
          <t>United Kingdom</t>
        </is>
      </c>
      <c r="H371" t="inlineStr">
        <is>
          <t>Marketplace</t>
        </is>
      </c>
      <c r="I371" t="n">
        <v>1</v>
      </c>
      <c r="J371" s="3" t="n">
        <v>142.8</v>
      </c>
      <c r="K371" s="3" t="n">
        <v>14.28</v>
      </c>
      <c r="L371" s="3" t="n">
        <v>128.52</v>
      </c>
      <c r="M371" s="3" t="n">
        <v>85.34999999999999</v>
      </c>
      <c r="N371" s="3" t="n">
        <v>43.17</v>
      </c>
      <c r="O371">
        <f>TEXT(A371,"yyyy-mm")</f>
        <v/>
      </c>
    </row>
    <row r="372">
      <c r="A372" s="2" t="n">
        <v>45591</v>
      </c>
      <c r="B372" t="n">
        <v>2024</v>
      </c>
      <c r="C372" t="inlineStr">
        <is>
          <t>October</t>
        </is>
      </c>
      <c r="D372" t="inlineStr">
        <is>
          <t>Wireless Coffee Beans</t>
        </is>
      </c>
      <c r="E372" t="inlineStr">
        <is>
          <t>Grocery</t>
        </is>
      </c>
      <c r="F372" t="inlineStr">
        <is>
          <t>Clara Johnson</t>
        </is>
      </c>
      <c r="G372" t="inlineStr">
        <is>
          <t>United Kingdom</t>
        </is>
      </c>
      <c r="H372" t="inlineStr">
        <is>
          <t>Marketplace</t>
        </is>
      </c>
      <c r="I372" t="n">
        <v>1</v>
      </c>
      <c r="J372" s="3" t="n">
        <v>120.45</v>
      </c>
      <c r="K372" s="3" t="n">
        <v>24.09</v>
      </c>
      <c r="L372" s="3" t="n">
        <v>96.36</v>
      </c>
      <c r="M372" s="3" t="n">
        <v>79.37</v>
      </c>
      <c r="N372" s="3" t="n">
        <v>16.99</v>
      </c>
      <c r="O372">
        <f>TEXT(A372,"yyyy-mm")</f>
        <v/>
      </c>
    </row>
    <row r="373">
      <c r="A373" s="2" t="n">
        <v>45591</v>
      </c>
      <c r="B373" t="n">
        <v>2024</v>
      </c>
      <c r="C373" t="inlineStr">
        <is>
          <t>October</t>
        </is>
      </c>
      <c r="D373" t="inlineStr">
        <is>
          <t>Classic Charger</t>
        </is>
      </c>
      <c r="E373" t="inlineStr">
        <is>
          <t>Electronics</t>
        </is>
      </c>
      <c r="F373" t="inlineStr">
        <is>
          <t>Clara Johnson</t>
        </is>
      </c>
      <c r="G373" t="inlineStr">
        <is>
          <t>United Kingdom</t>
        </is>
      </c>
      <c r="H373" t="inlineStr">
        <is>
          <t>Marketplace</t>
        </is>
      </c>
      <c r="I373" t="n">
        <v>2</v>
      </c>
      <c r="J373" s="3" t="n">
        <v>194.74</v>
      </c>
      <c r="K373" s="3" t="n">
        <v>19.47</v>
      </c>
      <c r="L373" s="3" t="n">
        <v>175.27</v>
      </c>
      <c r="M373" s="3" t="n">
        <v>124.42</v>
      </c>
      <c r="N373" s="3" t="n">
        <v>50.85</v>
      </c>
      <c r="O373">
        <f>TEXT(A373,"yyyy-mm")</f>
        <v/>
      </c>
    </row>
    <row r="374">
      <c r="A374" s="2" t="n">
        <v>45591</v>
      </c>
      <c r="B374" t="n">
        <v>2024</v>
      </c>
      <c r="C374" t="inlineStr">
        <is>
          <t>October</t>
        </is>
      </c>
      <c r="D374" t="inlineStr">
        <is>
          <t>Portable Puzzle</t>
        </is>
      </c>
      <c r="E374" t="inlineStr">
        <is>
          <t>Toys &amp; Games</t>
        </is>
      </c>
      <c r="F374" t="inlineStr">
        <is>
          <t>Julia Wojcik</t>
        </is>
      </c>
      <c r="G374" t="inlineStr">
        <is>
          <t>France</t>
        </is>
      </c>
      <c r="H374" t="inlineStr">
        <is>
          <t>Retail Store</t>
        </is>
      </c>
      <c r="I374" t="n">
        <v>4</v>
      </c>
      <c r="J374" s="3" t="n">
        <v>1308.16</v>
      </c>
      <c r="K374" s="3" t="n">
        <v>130.82</v>
      </c>
      <c r="L374" s="3" t="n">
        <v>1177.34</v>
      </c>
      <c r="M374" s="3" t="n">
        <v>694.64</v>
      </c>
      <c r="N374" s="3" t="n">
        <v>482.7</v>
      </c>
      <c r="O374">
        <f>TEXT(A374,"yyyy-mm")</f>
        <v/>
      </c>
    </row>
    <row r="375">
      <c r="A375" s="2" t="n">
        <v>45591</v>
      </c>
      <c r="B375" t="n">
        <v>2024</v>
      </c>
      <c r="C375" t="inlineStr">
        <is>
          <t>October</t>
        </is>
      </c>
      <c r="D375" t="inlineStr">
        <is>
          <t>Compact Pasta</t>
        </is>
      </c>
      <c r="E375" t="inlineStr">
        <is>
          <t>Grocery</t>
        </is>
      </c>
      <c r="F375" t="inlineStr">
        <is>
          <t>Julia Wojcik</t>
        </is>
      </c>
      <c r="G375" t="inlineStr">
        <is>
          <t>France</t>
        </is>
      </c>
      <c r="H375" t="inlineStr">
        <is>
          <t>Retail Store</t>
        </is>
      </c>
      <c r="I375" t="n">
        <v>3</v>
      </c>
      <c r="J375" s="3" t="n">
        <v>970.29</v>
      </c>
      <c r="K375" s="3" t="n">
        <v>194.06</v>
      </c>
      <c r="L375" s="3" t="n">
        <v>776.23</v>
      </c>
      <c r="M375" s="3" t="n">
        <v>598.2</v>
      </c>
      <c r="N375" s="3" t="n">
        <v>178.03</v>
      </c>
      <c r="O375">
        <f>TEXT(A375,"yyyy-mm")</f>
        <v/>
      </c>
    </row>
    <row r="376">
      <c r="A376" s="2" t="n">
        <v>45591</v>
      </c>
      <c r="B376" t="n">
        <v>2024</v>
      </c>
      <c r="C376" t="inlineStr">
        <is>
          <t>October</t>
        </is>
      </c>
      <c r="D376" t="inlineStr">
        <is>
          <t>Premium Cookbook</t>
        </is>
      </c>
      <c r="E376" t="inlineStr">
        <is>
          <t>Books</t>
        </is>
      </c>
      <c r="F376" t="inlineStr">
        <is>
          <t>Julia Wojcik</t>
        </is>
      </c>
      <c r="G376" t="inlineStr">
        <is>
          <t>France</t>
        </is>
      </c>
      <c r="H376" t="inlineStr">
        <is>
          <t>Retail Store</t>
        </is>
      </c>
      <c r="I376" t="n">
        <v>2</v>
      </c>
      <c r="J376" s="3" t="n">
        <v>271.26</v>
      </c>
      <c r="K376" s="3" t="n">
        <v>27.13</v>
      </c>
      <c r="L376" s="3" t="n">
        <v>244.13</v>
      </c>
      <c r="M376" s="3" t="n">
        <v>189.96</v>
      </c>
      <c r="N376" s="3" t="n">
        <v>54.17</v>
      </c>
      <c r="O376">
        <f>TEXT(A376,"yyyy-mm")</f>
        <v/>
      </c>
    </row>
    <row r="377">
      <c r="A377" s="2" t="n">
        <v>45591</v>
      </c>
      <c r="B377" t="n">
        <v>2024</v>
      </c>
      <c r="C377" t="inlineStr">
        <is>
          <t>October</t>
        </is>
      </c>
      <c r="D377" t="inlineStr">
        <is>
          <t>Portable Toolset</t>
        </is>
      </c>
      <c r="E377" t="inlineStr">
        <is>
          <t>Home &amp; Garden</t>
        </is>
      </c>
      <c r="F377" t="inlineStr">
        <is>
          <t>Julia Wojcik</t>
        </is>
      </c>
      <c r="G377" t="inlineStr">
        <is>
          <t>France</t>
        </is>
      </c>
      <c r="H377" t="inlineStr">
        <is>
          <t>Retail Store</t>
        </is>
      </c>
      <c r="I377" t="n">
        <v>3</v>
      </c>
      <c r="J377" s="3" t="n">
        <v>254.4</v>
      </c>
      <c r="K377" s="3" t="n">
        <v>0</v>
      </c>
      <c r="L377" s="3" t="n">
        <v>254.4</v>
      </c>
      <c r="M377" s="3" t="n">
        <v>151.62</v>
      </c>
      <c r="N377" s="3" t="n">
        <v>102.78</v>
      </c>
      <c r="O377">
        <f>TEXT(A377,"yyyy-mm")</f>
        <v/>
      </c>
    </row>
    <row r="378">
      <c r="A378" s="2" t="n">
        <v>45592</v>
      </c>
      <c r="B378" t="n">
        <v>2024</v>
      </c>
      <c r="C378" t="inlineStr">
        <is>
          <t>October</t>
        </is>
      </c>
      <c r="D378" t="inlineStr">
        <is>
          <t>Classic Yoga Mat</t>
        </is>
      </c>
      <c r="E378" t="inlineStr">
        <is>
          <t>Sports &amp; Outdoors</t>
        </is>
      </c>
      <c r="F378" t="inlineStr">
        <is>
          <t>Thomas Lopez</t>
        </is>
      </c>
      <c r="G378" t="inlineStr">
        <is>
          <t>Spain</t>
        </is>
      </c>
      <c r="H378" t="inlineStr">
        <is>
          <t>Retail Store</t>
        </is>
      </c>
      <c r="I378" t="n">
        <v>1</v>
      </c>
      <c r="J378" s="3" t="n">
        <v>318.58</v>
      </c>
      <c r="K378" s="3" t="n">
        <v>0</v>
      </c>
      <c r="L378" s="3" t="n">
        <v>318.58</v>
      </c>
      <c r="M378" s="3" t="n">
        <v>195.7</v>
      </c>
      <c r="N378" s="3" t="n">
        <v>122.88</v>
      </c>
      <c r="O378">
        <f>TEXT(A378,"yyyy-mm")</f>
        <v/>
      </c>
    </row>
    <row r="379">
      <c r="A379" s="2" t="n">
        <v>45592</v>
      </c>
      <c r="B379" t="n">
        <v>2024</v>
      </c>
      <c r="C379" t="inlineStr">
        <is>
          <t>October</t>
        </is>
      </c>
      <c r="D379" t="inlineStr">
        <is>
          <t>Essential Cushion</t>
        </is>
      </c>
      <c r="E379" t="inlineStr">
        <is>
          <t>Home &amp; Garden</t>
        </is>
      </c>
      <c r="F379" t="inlineStr">
        <is>
          <t>Thomas Lopez</t>
        </is>
      </c>
      <c r="G379" t="inlineStr">
        <is>
          <t>Spain</t>
        </is>
      </c>
      <c r="H379" t="inlineStr">
        <is>
          <t>Retail Store</t>
        </is>
      </c>
      <c r="I379" t="n">
        <v>5</v>
      </c>
      <c r="J379" s="3" t="n">
        <v>231.2</v>
      </c>
      <c r="K379" s="3" t="n">
        <v>0</v>
      </c>
      <c r="L379" s="3" t="n">
        <v>231.2</v>
      </c>
      <c r="M379" s="3" t="n">
        <v>152.75</v>
      </c>
      <c r="N379" s="3" t="n">
        <v>78.45</v>
      </c>
      <c r="O379">
        <f>TEXT(A379,"yyyy-mm")</f>
        <v/>
      </c>
    </row>
    <row r="380">
      <c r="A380" s="2" t="n">
        <v>45592</v>
      </c>
      <c r="B380" t="n">
        <v>2024</v>
      </c>
      <c r="C380" t="inlineStr">
        <is>
          <t>October</t>
        </is>
      </c>
      <c r="D380" t="inlineStr">
        <is>
          <t>Premium Tent</t>
        </is>
      </c>
      <c r="E380" t="inlineStr">
        <is>
          <t>Sports &amp; Outdoors</t>
        </is>
      </c>
      <c r="F380" t="inlineStr">
        <is>
          <t>Julia Schmidt</t>
        </is>
      </c>
      <c r="G380" t="inlineStr">
        <is>
          <t>France</t>
        </is>
      </c>
      <c r="H380" t="inlineStr">
        <is>
          <t>Marketplace</t>
        </is>
      </c>
      <c r="I380" t="n">
        <v>5</v>
      </c>
      <c r="J380" s="3" t="n">
        <v>1239.1</v>
      </c>
      <c r="K380" s="3" t="n">
        <v>61.96</v>
      </c>
      <c r="L380" s="3" t="n">
        <v>1177.14</v>
      </c>
      <c r="M380" s="3" t="n">
        <v>695.2</v>
      </c>
      <c r="N380" s="3" t="n">
        <v>481.95</v>
      </c>
      <c r="O380">
        <f>TEXT(A380,"yyyy-mm")</f>
        <v/>
      </c>
    </row>
    <row r="381">
      <c r="A381" s="2" t="n">
        <v>45592</v>
      </c>
      <c r="B381" t="n">
        <v>2024</v>
      </c>
      <c r="C381" t="inlineStr">
        <is>
          <t>October</t>
        </is>
      </c>
      <c r="D381" t="inlineStr">
        <is>
          <t>Classic Tent</t>
        </is>
      </c>
      <c r="E381" t="inlineStr">
        <is>
          <t>Sports &amp; Outdoors</t>
        </is>
      </c>
      <c r="F381" t="inlineStr">
        <is>
          <t>Julia Schmidt</t>
        </is>
      </c>
      <c r="G381" t="inlineStr">
        <is>
          <t>France</t>
        </is>
      </c>
      <c r="H381" t="inlineStr">
        <is>
          <t>Marketplace</t>
        </is>
      </c>
      <c r="I381" t="n">
        <v>5</v>
      </c>
      <c r="J381" s="3" t="n">
        <v>1063.4</v>
      </c>
      <c r="K381" s="3" t="n">
        <v>0</v>
      </c>
      <c r="L381" s="3" t="n">
        <v>1063.4</v>
      </c>
      <c r="M381" s="3" t="n">
        <v>590.1</v>
      </c>
      <c r="N381" s="3" t="n">
        <v>473.3</v>
      </c>
      <c r="O381">
        <f>TEXT(A381,"yyyy-mm")</f>
        <v/>
      </c>
    </row>
    <row r="382">
      <c r="A382" s="2" t="n">
        <v>45592</v>
      </c>
      <c r="B382" t="n">
        <v>2024</v>
      </c>
      <c r="C382" t="inlineStr">
        <is>
          <t>October</t>
        </is>
      </c>
      <c r="D382" t="inlineStr">
        <is>
          <t>Wireless Coffee Beans</t>
        </is>
      </c>
      <c r="E382" t="inlineStr">
        <is>
          <t>Grocery</t>
        </is>
      </c>
      <c r="F382" t="inlineStr">
        <is>
          <t>Olivia Wilson</t>
        </is>
      </c>
      <c r="G382" t="inlineStr">
        <is>
          <t>Germany</t>
        </is>
      </c>
      <c r="H382" t="inlineStr">
        <is>
          <t>Retail Store</t>
        </is>
      </c>
      <c r="I382" t="n">
        <v>2</v>
      </c>
      <c r="J382" s="3" t="n">
        <v>235.62</v>
      </c>
      <c r="K382" s="3" t="n">
        <v>0</v>
      </c>
      <c r="L382" s="3" t="n">
        <v>235.62</v>
      </c>
      <c r="M382" s="3" t="n">
        <v>158.74</v>
      </c>
      <c r="N382" s="3" t="n">
        <v>76.88</v>
      </c>
      <c r="O382">
        <f>TEXT(A382,"yyyy-mm")</f>
        <v/>
      </c>
    </row>
    <row r="383">
      <c r="A383" s="2" t="n">
        <v>45592</v>
      </c>
      <c r="B383" t="n">
        <v>2024</v>
      </c>
      <c r="C383" t="inlineStr">
        <is>
          <t>October</t>
        </is>
      </c>
      <c r="D383" t="inlineStr">
        <is>
          <t>Essential Notebook</t>
        </is>
      </c>
      <c r="E383" t="inlineStr">
        <is>
          <t>Books</t>
        </is>
      </c>
      <c r="F383" t="inlineStr">
        <is>
          <t>Olivia Wilson</t>
        </is>
      </c>
      <c r="G383" t="inlineStr">
        <is>
          <t>Germany</t>
        </is>
      </c>
      <c r="H383" t="inlineStr">
        <is>
          <t>Retail Store</t>
        </is>
      </c>
      <c r="I383" t="n">
        <v>2</v>
      </c>
      <c r="J383" s="3" t="n">
        <v>232.56</v>
      </c>
      <c r="K383" s="3" t="n">
        <v>11.63</v>
      </c>
      <c r="L383" s="3" t="n">
        <v>220.93</v>
      </c>
      <c r="M383" s="3" t="n">
        <v>158.2</v>
      </c>
      <c r="N383" s="3" t="n">
        <v>62.73</v>
      </c>
      <c r="O383">
        <f>TEXT(A383,"yyyy-mm")</f>
        <v/>
      </c>
    </row>
    <row r="384">
      <c r="A384" s="2" t="n">
        <v>45592</v>
      </c>
      <c r="B384" t="n">
        <v>2024</v>
      </c>
      <c r="C384" t="inlineStr">
        <is>
          <t>October</t>
        </is>
      </c>
      <c r="D384" t="inlineStr">
        <is>
          <t>Classic Yoga Mat</t>
        </is>
      </c>
      <c r="E384" t="inlineStr">
        <is>
          <t>Sports &amp; Outdoors</t>
        </is>
      </c>
      <c r="F384" t="inlineStr">
        <is>
          <t>Olivia Wilson</t>
        </is>
      </c>
      <c r="G384" t="inlineStr">
        <is>
          <t>Germany</t>
        </is>
      </c>
      <c r="H384" t="inlineStr">
        <is>
          <t>Retail Store</t>
        </is>
      </c>
      <c r="I384" t="n">
        <v>4</v>
      </c>
      <c r="J384" s="3" t="n">
        <v>1319.36</v>
      </c>
      <c r="K384" s="3" t="n">
        <v>0</v>
      </c>
      <c r="L384" s="3" t="n">
        <v>1319.36</v>
      </c>
      <c r="M384" s="3" t="n">
        <v>782.8</v>
      </c>
      <c r="N384" s="3" t="n">
        <v>536.5599999999999</v>
      </c>
      <c r="O384">
        <f>TEXT(A384,"yyyy-mm")</f>
        <v/>
      </c>
    </row>
    <row r="385">
      <c r="A385" s="2" t="n">
        <v>45592</v>
      </c>
      <c r="B385" t="n">
        <v>2024</v>
      </c>
      <c r="C385" t="inlineStr">
        <is>
          <t>October</t>
        </is>
      </c>
      <c r="D385" t="inlineStr">
        <is>
          <t>Classic Atlas</t>
        </is>
      </c>
      <c r="E385" t="inlineStr">
        <is>
          <t>Books</t>
        </is>
      </c>
      <c r="F385" t="inlineStr">
        <is>
          <t>Olivia Wilson</t>
        </is>
      </c>
      <c r="G385" t="inlineStr">
        <is>
          <t>Germany</t>
        </is>
      </c>
      <c r="H385" t="inlineStr">
        <is>
          <t>Retail Store</t>
        </is>
      </c>
      <c r="I385" t="n">
        <v>3</v>
      </c>
      <c r="J385" s="3" t="n">
        <v>186.87</v>
      </c>
      <c r="K385" s="3" t="n">
        <v>0</v>
      </c>
      <c r="L385" s="3" t="n">
        <v>186.87</v>
      </c>
      <c r="M385" s="3" t="n">
        <v>103.77</v>
      </c>
      <c r="N385" s="3" t="n">
        <v>83.09999999999999</v>
      </c>
      <c r="O385">
        <f>TEXT(A385,"yyyy-mm")</f>
        <v/>
      </c>
    </row>
    <row r="386">
      <c r="A386" s="2" t="n">
        <v>45592</v>
      </c>
      <c r="B386" t="n">
        <v>2024</v>
      </c>
      <c r="C386" t="inlineStr">
        <is>
          <t>October</t>
        </is>
      </c>
      <c r="D386" t="inlineStr">
        <is>
          <t>Classic Yoga Mat</t>
        </is>
      </c>
      <c r="E386" t="inlineStr">
        <is>
          <t>Sports &amp; Outdoors</t>
        </is>
      </c>
      <c r="F386" t="inlineStr">
        <is>
          <t>David Weber</t>
        </is>
      </c>
      <c r="G386" t="inlineStr">
        <is>
          <t>Germany</t>
        </is>
      </c>
      <c r="H386" t="inlineStr">
        <is>
          <t>Web Store</t>
        </is>
      </c>
      <c r="I386" t="n">
        <v>3</v>
      </c>
      <c r="J386" s="3" t="n">
        <v>966.9</v>
      </c>
      <c r="K386" s="3" t="n">
        <v>48.35</v>
      </c>
      <c r="L386" s="3" t="n">
        <v>918.5599999999999</v>
      </c>
      <c r="M386" s="3" t="n">
        <v>587.1</v>
      </c>
      <c r="N386" s="3" t="n">
        <v>331.46</v>
      </c>
      <c r="O386">
        <f>TEXT(A386,"yyyy-mm")</f>
        <v/>
      </c>
    </row>
    <row r="387">
      <c r="A387" s="2" t="n">
        <v>45592</v>
      </c>
      <c r="B387" t="n">
        <v>2024</v>
      </c>
      <c r="C387" t="inlineStr">
        <is>
          <t>October</t>
        </is>
      </c>
      <c r="D387" t="inlineStr">
        <is>
          <t>Deluxe Toothbrush</t>
        </is>
      </c>
      <c r="E387" t="inlineStr">
        <is>
          <t>Beauty &amp; Health</t>
        </is>
      </c>
      <c r="F387" t="inlineStr">
        <is>
          <t>Thomas Lopez</t>
        </is>
      </c>
      <c r="G387" t="inlineStr">
        <is>
          <t>Spain</t>
        </is>
      </c>
      <c r="H387" t="inlineStr">
        <is>
          <t>Retail Store</t>
        </is>
      </c>
      <c r="I387" t="n">
        <v>1</v>
      </c>
      <c r="J387" s="3" t="n">
        <v>321.08</v>
      </c>
      <c r="K387" s="3" t="n">
        <v>0</v>
      </c>
      <c r="L387" s="3" t="n">
        <v>321.08</v>
      </c>
      <c r="M387" s="3" t="n">
        <v>174.57</v>
      </c>
      <c r="N387" s="3" t="n">
        <v>146.51</v>
      </c>
      <c r="O387">
        <f>TEXT(A387,"yyyy-mm")</f>
        <v/>
      </c>
    </row>
    <row r="388">
      <c r="A388" s="2" t="n">
        <v>45592</v>
      </c>
      <c r="B388" t="n">
        <v>2024</v>
      </c>
      <c r="C388" t="inlineStr">
        <is>
          <t>October</t>
        </is>
      </c>
      <c r="D388" t="inlineStr">
        <is>
          <t>Premium Cookbook</t>
        </is>
      </c>
      <c r="E388" t="inlineStr">
        <is>
          <t>Books</t>
        </is>
      </c>
      <c r="F388" t="inlineStr">
        <is>
          <t>Peter Schmidt</t>
        </is>
      </c>
      <c r="G388" t="inlineStr">
        <is>
          <t>United Kingdom</t>
        </is>
      </c>
      <c r="H388" t="inlineStr">
        <is>
          <t>Mobile App</t>
        </is>
      </c>
      <c r="I388" t="n">
        <v>2</v>
      </c>
      <c r="J388" s="3" t="n">
        <v>250.84</v>
      </c>
      <c r="K388" s="3" t="n">
        <v>0</v>
      </c>
      <c r="L388" s="3" t="n">
        <v>250.84</v>
      </c>
      <c r="M388" s="3" t="n">
        <v>189.96</v>
      </c>
      <c r="N388" s="3" t="n">
        <v>60.88</v>
      </c>
      <c r="O388">
        <f>TEXT(A388,"yyyy-mm")</f>
        <v/>
      </c>
    </row>
    <row r="389">
      <c r="A389" s="2" t="n">
        <v>45592</v>
      </c>
      <c r="B389" t="n">
        <v>2024</v>
      </c>
      <c r="C389" t="inlineStr">
        <is>
          <t>October</t>
        </is>
      </c>
      <c r="D389" t="inlineStr">
        <is>
          <t>Ultra Backpack</t>
        </is>
      </c>
      <c r="E389" t="inlineStr">
        <is>
          <t>Sports &amp; Outdoors</t>
        </is>
      </c>
      <c r="F389" t="inlineStr">
        <is>
          <t>David Weber</t>
        </is>
      </c>
      <c r="G389" t="inlineStr">
        <is>
          <t>Germany</t>
        </is>
      </c>
      <c r="H389" t="inlineStr">
        <is>
          <t>Web Store</t>
        </is>
      </c>
      <c r="I389" t="n">
        <v>3</v>
      </c>
      <c r="J389" s="3" t="n">
        <v>962.13</v>
      </c>
      <c r="K389" s="3" t="n">
        <v>96.20999999999999</v>
      </c>
      <c r="L389" s="3" t="n">
        <v>865.92</v>
      </c>
      <c r="M389" s="3" t="n">
        <v>521.0700000000001</v>
      </c>
      <c r="N389" s="3" t="n">
        <v>344.85</v>
      </c>
      <c r="O389">
        <f>TEXT(A389,"yyyy-mm")</f>
        <v/>
      </c>
    </row>
    <row r="390">
      <c r="A390" s="2" t="n">
        <v>45592</v>
      </c>
      <c r="B390" t="n">
        <v>2024</v>
      </c>
      <c r="C390" t="inlineStr">
        <is>
          <t>October</t>
        </is>
      </c>
      <c r="D390" t="inlineStr">
        <is>
          <t>Premium Water Bottle</t>
        </is>
      </c>
      <c r="E390" t="inlineStr">
        <is>
          <t>Sports &amp; Outdoors</t>
        </is>
      </c>
      <c r="F390" t="inlineStr">
        <is>
          <t>David Weber</t>
        </is>
      </c>
      <c r="G390" t="inlineStr">
        <is>
          <t>Germany</t>
        </is>
      </c>
      <c r="H390" t="inlineStr">
        <is>
          <t>Web Store</t>
        </is>
      </c>
      <c r="I390" t="n">
        <v>4</v>
      </c>
      <c r="J390" s="3" t="n">
        <v>1238.32</v>
      </c>
      <c r="K390" s="3" t="n">
        <v>185.75</v>
      </c>
      <c r="L390" s="3" t="n">
        <v>1052.57</v>
      </c>
      <c r="M390" s="3" t="n">
        <v>724.64</v>
      </c>
      <c r="N390" s="3" t="n">
        <v>327.93</v>
      </c>
      <c r="O390">
        <f>TEXT(A390,"yyyy-mm")</f>
        <v/>
      </c>
    </row>
    <row r="391">
      <c r="A391" s="2" t="n">
        <v>45592</v>
      </c>
      <c r="B391" t="n">
        <v>2024</v>
      </c>
      <c r="C391" t="inlineStr">
        <is>
          <t>October</t>
        </is>
      </c>
      <c r="D391" t="inlineStr">
        <is>
          <t>Deluxe Cookbook</t>
        </is>
      </c>
      <c r="E391" t="inlineStr">
        <is>
          <t>Books</t>
        </is>
      </c>
      <c r="F391" t="inlineStr">
        <is>
          <t>David Weber</t>
        </is>
      </c>
      <c r="G391" t="inlineStr">
        <is>
          <t>Germany</t>
        </is>
      </c>
      <c r="H391" t="inlineStr">
        <is>
          <t>Web Store</t>
        </is>
      </c>
      <c r="I391" t="n">
        <v>5</v>
      </c>
      <c r="J391" s="3" t="n">
        <v>677.6</v>
      </c>
      <c r="K391" s="3" t="n">
        <v>67.76000000000001</v>
      </c>
      <c r="L391" s="3" t="n">
        <v>609.84</v>
      </c>
      <c r="M391" s="3" t="n">
        <v>426.35</v>
      </c>
      <c r="N391" s="3" t="n">
        <v>183.49</v>
      </c>
      <c r="O391">
        <f>TEXT(A391,"yyyy-mm")</f>
        <v/>
      </c>
    </row>
    <row r="392">
      <c r="A392" s="2" t="n">
        <v>45592</v>
      </c>
      <c r="B392" t="n">
        <v>2024</v>
      </c>
      <c r="C392" t="inlineStr">
        <is>
          <t>October</t>
        </is>
      </c>
      <c r="D392" t="inlineStr">
        <is>
          <t>Smart Charger</t>
        </is>
      </c>
      <c r="E392" t="inlineStr">
        <is>
          <t>Electronics</t>
        </is>
      </c>
      <c r="F392" t="inlineStr">
        <is>
          <t>Peter Schmidt</t>
        </is>
      </c>
      <c r="G392" t="inlineStr">
        <is>
          <t>United Kingdom</t>
        </is>
      </c>
      <c r="H392" t="inlineStr">
        <is>
          <t>Mobile App</t>
        </is>
      </c>
      <c r="I392" t="n">
        <v>5</v>
      </c>
      <c r="J392" s="3" t="n">
        <v>195.05</v>
      </c>
      <c r="K392" s="3" t="n">
        <v>0</v>
      </c>
      <c r="L392" s="3" t="n">
        <v>195.05</v>
      </c>
      <c r="M392" s="3" t="n">
        <v>138.2</v>
      </c>
      <c r="N392" s="3" t="n">
        <v>56.85</v>
      </c>
      <c r="O392">
        <f>TEXT(A392,"yyyy-mm")</f>
        <v/>
      </c>
    </row>
    <row r="393">
      <c r="A393" s="2" t="n">
        <v>45593</v>
      </c>
      <c r="B393" t="n">
        <v>2024</v>
      </c>
      <c r="C393" t="inlineStr">
        <is>
          <t>October</t>
        </is>
      </c>
      <c r="D393" t="inlineStr">
        <is>
          <t>Essential Toolset</t>
        </is>
      </c>
      <c r="E393" t="inlineStr">
        <is>
          <t>Home &amp; Garden</t>
        </is>
      </c>
      <c r="F393" t="inlineStr">
        <is>
          <t>Daniel Garcia</t>
        </is>
      </c>
      <c r="G393" t="inlineStr">
        <is>
          <t>Italy</t>
        </is>
      </c>
      <c r="H393" t="inlineStr">
        <is>
          <t>Web Store</t>
        </is>
      </c>
      <c r="I393" t="n">
        <v>5</v>
      </c>
      <c r="J393" s="3" t="n">
        <v>1050.2</v>
      </c>
      <c r="K393" s="3" t="n">
        <v>0</v>
      </c>
      <c r="L393" s="3" t="n">
        <v>1050.2</v>
      </c>
      <c r="M393" s="3" t="n">
        <v>752.65</v>
      </c>
      <c r="N393" s="3" t="n">
        <v>297.55</v>
      </c>
      <c r="O393">
        <f>TEXT(A393,"yyyy-mm")</f>
        <v/>
      </c>
    </row>
    <row r="394">
      <c r="A394" s="2" t="n">
        <v>45593</v>
      </c>
      <c r="B394" t="n">
        <v>2024</v>
      </c>
      <c r="C394" t="inlineStr">
        <is>
          <t>October</t>
        </is>
      </c>
      <c r="D394" t="inlineStr">
        <is>
          <t>Classic Charger</t>
        </is>
      </c>
      <c r="E394" t="inlineStr">
        <is>
          <t>Electronics</t>
        </is>
      </c>
      <c r="F394" t="inlineStr">
        <is>
          <t>Daniel Garcia</t>
        </is>
      </c>
      <c r="G394" t="inlineStr">
        <is>
          <t>Italy</t>
        </is>
      </c>
      <c r="H394" t="inlineStr">
        <is>
          <t>Web Store</t>
        </is>
      </c>
      <c r="I394" t="n">
        <v>2</v>
      </c>
      <c r="J394" s="3" t="n">
        <v>192.76</v>
      </c>
      <c r="K394" s="3" t="n">
        <v>0</v>
      </c>
      <c r="L394" s="3" t="n">
        <v>192.76</v>
      </c>
      <c r="M394" s="3" t="n">
        <v>124.42</v>
      </c>
      <c r="N394" s="3" t="n">
        <v>68.34</v>
      </c>
      <c r="O394">
        <f>TEXT(A394,"yyyy-mm")</f>
        <v/>
      </c>
    </row>
    <row r="395">
      <c r="A395" s="2" t="n">
        <v>45593</v>
      </c>
      <c r="B395" t="n">
        <v>2024</v>
      </c>
      <c r="C395" t="inlineStr">
        <is>
          <t>October</t>
        </is>
      </c>
      <c r="D395" t="inlineStr">
        <is>
          <t>Essential Toolset</t>
        </is>
      </c>
      <c r="E395" t="inlineStr">
        <is>
          <t>Home &amp; Garden</t>
        </is>
      </c>
      <c r="F395" t="inlineStr">
        <is>
          <t>Maria Rossi</t>
        </is>
      </c>
      <c r="G395" t="inlineStr">
        <is>
          <t>Spain</t>
        </is>
      </c>
      <c r="H395" t="inlineStr">
        <is>
          <t>Mobile App</t>
        </is>
      </c>
      <c r="I395" t="n">
        <v>5</v>
      </c>
      <c r="J395" s="3" t="n">
        <v>1086.35</v>
      </c>
      <c r="K395" s="3" t="n">
        <v>0</v>
      </c>
      <c r="L395" s="3" t="n">
        <v>1086.35</v>
      </c>
      <c r="M395" s="3" t="n">
        <v>752.65</v>
      </c>
      <c r="N395" s="3" t="n">
        <v>333.7</v>
      </c>
      <c r="O395">
        <f>TEXT(A395,"yyyy-mm")</f>
        <v/>
      </c>
    </row>
    <row r="396">
      <c r="A396" s="2" t="n">
        <v>45593</v>
      </c>
      <c r="B396" t="n">
        <v>2024</v>
      </c>
      <c r="C396" t="inlineStr">
        <is>
          <t>October</t>
        </is>
      </c>
      <c r="D396" t="inlineStr">
        <is>
          <t>Classic Coffee Beans</t>
        </is>
      </c>
      <c r="E396" t="inlineStr">
        <is>
          <t>Grocery</t>
        </is>
      </c>
      <c r="F396" t="inlineStr">
        <is>
          <t>Maria Rossi</t>
        </is>
      </c>
      <c r="G396" t="inlineStr">
        <is>
          <t>Spain</t>
        </is>
      </c>
      <c r="H396" t="inlineStr">
        <is>
          <t>Mobile App</t>
        </is>
      </c>
      <c r="I396" t="n">
        <v>5</v>
      </c>
      <c r="J396" s="3" t="n">
        <v>1649.35</v>
      </c>
      <c r="K396" s="3" t="n">
        <v>0</v>
      </c>
      <c r="L396" s="3" t="n">
        <v>1649.35</v>
      </c>
      <c r="M396" s="3" t="n">
        <v>973.8</v>
      </c>
      <c r="N396" s="3" t="n">
        <v>675.55</v>
      </c>
      <c r="O396">
        <f>TEXT(A396,"yyyy-mm")</f>
        <v/>
      </c>
    </row>
    <row r="397">
      <c r="A397" s="2" t="n">
        <v>45593</v>
      </c>
      <c r="B397" t="n">
        <v>2024</v>
      </c>
      <c r="C397" t="inlineStr">
        <is>
          <t>October</t>
        </is>
      </c>
      <c r="D397" t="inlineStr">
        <is>
          <t>Compact Jacket</t>
        </is>
      </c>
      <c r="E397" t="inlineStr">
        <is>
          <t>Clothing</t>
        </is>
      </c>
      <c r="F397" t="inlineStr">
        <is>
          <t>Maria Rossi</t>
        </is>
      </c>
      <c r="G397" t="inlineStr">
        <is>
          <t>Spain</t>
        </is>
      </c>
      <c r="H397" t="inlineStr">
        <is>
          <t>Mobile App</t>
        </is>
      </c>
      <c r="I397" t="n">
        <v>5</v>
      </c>
      <c r="J397" s="3" t="n">
        <v>183.95</v>
      </c>
      <c r="K397" s="3" t="n">
        <v>36.79</v>
      </c>
      <c r="L397" s="3" t="n">
        <v>147.16</v>
      </c>
      <c r="M397" s="3" t="n">
        <v>102</v>
      </c>
      <c r="N397" s="3" t="n">
        <v>45.16</v>
      </c>
      <c r="O397">
        <f>TEXT(A397,"yyyy-mm")</f>
        <v/>
      </c>
    </row>
    <row r="398">
      <c r="A398" s="2" t="n">
        <v>45593</v>
      </c>
      <c r="B398" t="n">
        <v>2024</v>
      </c>
      <c r="C398" t="inlineStr">
        <is>
          <t>October</t>
        </is>
      </c>
      <c r="D398" t="inlineStr">
        <is>
          <t>Ultra Toolset</t>
        </is>
      </c>
      <c r="E398" t="inlineStr">
        <is>
          <t>Home &amp; Garden</t>
        </is>
      </c>
      <c r="F398" t="inlineStr">
        <is>
          <t>Daniel Garcia</t>
        </is>
      </c>
      <c r="G398" t="inlineStr">
        <is>
          <t>Italy</t>
        </is>
      </c>
      <c r="H398" t="inlineStr">
        <is>
          <t>Web Store</t>
        </is>
      </c>
      <c r="I398" t="n">
        <v>4</v>
      </c>
      <c r="J398" s="3" t="n">
        <v>1452.56</v>
      </c>
      <c r="K398" s="3" t="n">
        <v>217.88</v>
      </c>
      <c r="L398" s="3" t="n">
        <v>1234.68</v>
      </c>
      <c r="M398" s="3" t="n">
        <v>761.6</v>
      </c>
      <c r="N398" s="3" t="n">
        <v>473.08</v>
      </c>
      <c r="O398">
        <f>TEXT(A398,"yyyy-mm")</f>
        <v/>
      </c>
    </row>
    <row r="399">
      <c r="A399" s="2" t="n">
        <v>45593</v>
      </c>
      <c r="B399" t="n">
        <v>2024</v>
      </c>
      <c r="C399" t="inlineStr">
        <is>
          <t>October</t>
        </is>
      </c>
      <c r="D399" t="inlineStr">
        <is>
          <t>Classic Bike Helmet</t>
        </is>
      </c>
      <c r="E399" t="inlineStr">
        <is>
          <t>Sports &amp; Outdoors</t>
        </is>
      </c>
      <c r="F399" t="inlineStr">
        <is>
          <t>Daniel Garcia</t>
        </is>
      </c>
      <c r="G399" t="inlineStr">
        <is>
          <t>Italy</t>
        </is>
      </c>
      <c r="H399" t="inlineStr">
        <is>
          <t>Web Store</t>
        </is>
      </c>
      <c r="I399" t="n">
        <v>2</v>
      </c>
      <c r="J399" s="3" t="n">
        <v>423.06</v>
      </c>
      <c r="K399" s="3" t="n">
        <v>0</v>
      </c>
      <c r="L399" s="3" t="n">
        <v>423.06</v>
      </c>
      <c r="M399" s="3" t="n">
        <v>307.62</v>
      </c>
      <c r="N399" s="3" t="n">
        <v>115.44</v>
      </c>
      <c r="O399">
        <f>TEXT(A399,"yyyy-mm")</f>
        <v/>
      </c>
    </row>
    <row r="400">
      <c r="A400" s="2" t="n">
        <v>45593</v>
      </c>
      <c r="B400" t="n">
        <v>2024</v>
      </c>
      <c r="C400" t="inlineStr">
        <is>
          <t>October</t>
        </is>
      </c>
      <c r="D400" t="inlineStr">
        <is>
          <t>Wireless Cookbook</t>
        </is>
      </c>
      <c r="E400" t="inlineStr">
        <is>
          <t>Books</t>
        </is>
      </c>
      <c r="F400" t="inlineStr">
        <is>
          <t>Anna Dubois</t>
        </is>
      </c>
      <c r="G400" t="inlineStr">
        <is>
          <t>Germany</t>
        </is>
      </c>
      <c r="H400" t="inlineStr">
        <is>
          <t>Retail Store</t>
        </is>
      </c>
      <c r="I400" t="n">
        <v>3</v>
      </c>
      <c r="J400" s="3" t="n">
        <v>231.33</v>
      </c>
      <c r="K400" s="3" t="n">
        <v>0</v>
      </c>
      <c r="L400" s="3" t="n">
        <v>231.33</v>
      </c>
      <c r="M400" s="3" t="n">
        <v>169.83</v>
      </c>
      <c r="N400" s="3" t="n">
        <v>61.5</v>
      </c>
      <c r="O400">
        <f>TEXT(A400,"yyyy-mm")</f>
        <v/>
      </c>
    </row>
    <row r="401">
      <c r="A401" s="2" t="n">
        <v>45593</v>
      </c>
      <c r="B401" t="n">
        <v>2024</v>
      </c>
      <c r="C401" t="inlineStr">
        <is>
          <t>October</t>
        </is>
      </c>
      <c r="D401" t="inlineStr">
        <is>
          <t>Essential Jacket</t>
        </is>
      </c>
      <c r="E401" t="inlineStr">
        <is>
          <t>Clothing</t>
        </is>
      </c>
      <c r="F401" t="inlineStr">
        <is>
          <t>Anna Dubois</t>
        </is>
      </c>
      <c r="G401" t="inlineStr">
        <is>
          <t>Germany</t>
        </is>
      </c>
      <c r="H401" t="inlineStr">
        <is>
          <t>Retail Store</t>
        </is>
      </c>
      <c r="I401" t="n">
        <v>4</v>
      </c>
      <c r="J401" s="3" t="n">
        <v>567.76</v>
      </c>
      <c r="K401" s="3" t="n">
        <v>0</v>
      </c>
      <c r="L401" s="3" t="n">
        <v>567.76</v>
      </c>
      <c r="M401" s="3" t="n">
        <v>341.4</v>
      </c>
      <c r="N401" s="3" t="n">
        <v>226.36</v>
      </c>
      <c r="O401">
        <f>TEXT(A401,"yyyy-mm")</f>
        <v/>
      </c>
    </row>
    <row r="402">
      <c r="A402" s="2" t="n">
        <v>45593</v>
      </c>
      <c r="B402" t="n">
        <v>2024</v>
      </c>
      <c r="C402" t="inlineStr">
        <is>
          <t>October</t>
        </is>
      </c>
      <c r="D402" t="inlineStr">
        <is>
          <t>Smart Cookbook</t>
        </is>
      </c>
      <c r="E402" t="inlineStr">
        <is>
          <t>Books</t>
        </is>
      </c>
      <c r="F402" t="inlineStr">
        <is>
          <t>Anna Dubois</t>
        </is>
      </c>
      <c r="G402" t="inlineStr">
        <is>
          <t>Germany</t>
        </is>
      </c>
      <c r="H402" t="inlineStr">
        <is>
          <t>Retail Store</t>
        </is>
      </c>
      <c r="I402" t="n">
        <v>4</v>
      </c>
      <c r="J402" s="3" t="n">
        <v>72.04000000000001</v>
      </c>
      <c r="K402" s="3" t="n">
        <v>0</v>
      </c>
      <c r="L402" s="3" t="n">
        <v>72.04000000000001</v>
      </c>
      <c r="M402" s="3" t="n">
        <v>39.52</v>
      </c>
      <c r="N402" s="3" t="n">
        <v>32.52</v>
      </c>
      <c r="O402">
        <f>TEXT(A402,"yyyy-mm")</f>
        <v/>
      </c>
    </row>
    <row r="403">
      <c r="A403" s="2" t="n">
        <v>45593</v>
      </c>
      <c r="B403" t="n">
        <v>2024</v>
      </c>
      <c r="C403" t="inlineStr">
        <is>
          <t>October</t>
        </is>
      </c>
      <c r="D403" t="inlineStr">
        <is>
          <t>Premium Water Bottle</t>
        </is>
      </c>
      <c r="E403" t="inlineStr">
        <is>
          <t>Sports &amp; Outdoors</t>
        </is>
      </c>
      <c r="F403" t="inlineStr">
        <is>
          <t>Maria Rossi</t>
        </is>
      </c>
      <c r="G403" t="inlineStr">
        <is>
          <t>Spain</t>
        </is>
      </c>
      <c r="H403" t="inlineStr">
        <is>
          <t>Mobile App</t>
        </is>
      </c>
      <c r="I403" t="n">
        <v>2</v>
      </c>
      <c r="J403" s="3" t="n">
        <v>252.78</v>
      </c>
      <c r="K403" s="3" t="n">
        <v>0</v>
      </c>
      <c r="L403" s="3" t="n">
        <v>252.78</v>
      </c>
      <c r="M403" s="3" t="n">
        <v>179.24</v>
      </c>
      <c r="N403" s="3" t="n">
        <v>73.54000000000001</v>
      </c>
      <c r="O403">
        <f>TEXT(A403,"yyyy-mm")</f>
        <v/>
      </c>
    </row>
    <row r="404">
      <c r="A404" s="2" t="n">
        <v>45594</v>
      </c>
      <c r="B404" t="n">
        <v>2024</v>
      </c>
      <c r="C404" t="inlineStr">
        <is>
          <t>October</t>
        </is>
      </c>
      <c r="D404" t="inlineStr">
        <is>
          <t>Compact Biography</t>
        </is>
      </c>
      <c r="E404" t="inlineStr">
        <is>
          <t>Books</t>
        </is>
      </c>
      <c r="F404" t="inlineStr">
        <is>
          <t>John Conti</t>
        </is>
      </c>
      <c r="G404" t="inlineStr">
        <is>
          <t>Germany</t>
        </is>
      </c>
      <c r="H404" t="inlineStr">
        <is>
          <t>Retail Store</t>
        </is>
      </c>
      <c r="I404" t="n">
        <v>1</v>
      </c>
      <c r="J404" s="3" t="n">
        <v>268.06</v>
      </c>
      <c r="K404" s="3" t="n">
        <v>0</v>
      </c>
      <c r="L404" s="3" t="n">
        <v>268.06</v>
      </c>
      <c r="M404" s="3" t="n">
        <v>140.33</v>
      </c>
      <c r="N404" s="3" t="n">
        <v>127.73</v>
      </c>
      <c r="O404">
        <f>TEXT(A404,"yyyy-mm")</f>
        <v/>
      </c>
    </row>
    <row r="405">
      <c r="A405" s="2" t="n">
        <v>45594</v>
      </c>
      <c r="B405" t="n">
        <v>2024</v>
      </c>
      <c r="C405" t="inlineStr">
        <is>
          <t>October</t>
        </is>
      </c>
      <c r="D405" t="inlineStr">
        <is>
          <t>Portable Toolset</t>
        </is>
      </c>
      <c r="E405" t="inlineStr">
        <is>
          <t>Home &amp; Garden</t>
        </is>
      </c>
      <c r="F405" t="inlineStr">
        <is>
          <t>Maria Garcia</t>
        </is>
      </c>
      <c r="G405" t="inlineStr">
        <is>
          <t>Italy</t>
        </is>
      </c>
      <c r="H405" t="inlineStr">
        <is>
          <t>Marketplace</t>
        </is>
      </c>
      <c r="I405" t="n">
        <v>1</v>
      </c>
      <c r="J405" s="3" t="n">
        <v>91.98</v>
      </c>
      <c r="K405" s="3" t="n">
        <v>0</v>
      </c>
      <c r="L405" s="3" t="n">
        <v>91.98</v>
      </c>
      <c r="M405" s="3" t="n">
        <v>50.54</v>
      </c>
      <c r="N405" s="3" t="n">
        <v>41.44</v>
      </c>
      <c r="O405">
        <f>TEXT(A405,"yyyy-mm")</f>
        <v/>
      </c>
    </row>
    <row r="406">
      <c r="A406" s="2" t="n">
        <v>45594</v>
      </c>
      <c r="B406" t="n">
        <v>2024</v>
      </c>
      <c r="C406" t="inlineStr">
        <is>
          <t>October</t>
        </is>
      </c>
      <c r="D406" t="inlineStr">
        <is>
          <t>Eco Biography</t>
        </is>
      </c>
      <c r="E406" t="inlineStr">
        <is>
          <t>Books</t>
        </is>
      </c>
      <c r="F406" t="inlineStr">
        <is>
          <t>Maria Garcia</t>
        </is>
      </c>
      <c r="G406" t="inlineStr">
        <is>
          <t>Italy</t>
        </is>
      </c>
      <c r="H406" t="inlineStr">
        <is>
          <t>Marketplace</t>
        </is>
      </c>
      <c r="I406" t="n">
        <v>1</v>
      </c>
      <c r="J406" s="3" t="n">
        <v>117.34</v>
      </c>
      <c r="K406" s="3" t="n">
        <v>17.6</v>
      </c>
      <c r="L406" s="3" t="n">
        <v>99.73999999999999</v>
      </c>
      <c r="M406" s="3" t="n">
        <v>71.02</v>
      </c>
      <c r="N406" s="3" t="n">
        <v>28.72</v>
      </c>
      <c r="O406">
        <f>TEXT(A406,"yyyy-mm")</f>
        <v/>
      </c>
    </row>
    <row r="407">
      <c r="A407" s="2" t="n">
        <v>45594</v>
      </c>
      <c r="B407" t="n">
        <v>2024</v>
      </c>
      <c r="C407" t="inlineStr">
        <is>
          <t>October</t>
        </is>
      </c>
      <c r="D407" t="inlineStr">
        <is>
          <t>Wireless Cookbook</t>
        </is>
      </c>
      <c r="E407" t="inlineStr">
        <is>
          <t>Books</t>
        </is>
      </c>
      <c r="F407" t="inlineStr">
        <is>
          <t>Maria Garcia</t>
        </is>
      </c>
      <c r="G407" t="inlineStr">
        <is>
          <t>Italy</t>
        </is>
      </c>
      <c r="H407" t="inlineStr">
        <is>
          <t>Marketplace</t>
        </is>
      </c>
      <c r="I407" t="n">
        <v>4</v>
      </c>
      <c r="J407" s="3" t="n">
        <v>312.8</v>
      </c>
      <c r="K407" s="3" t="n">
        <v>31.28</v>
      </c>
      <c r="L407" s="3" t="n">
        <v>281.52</v>
      </c>
      <c r="M407" s="3" t="n">
        <v>226.44</v>
      </c>
      <c r="N407" s="3" t="n">
        <v>55.08</v>
      </c>
      <c r="O407">
        <f>TEXT(A407,"yyyy-mm")</f>
        <v/>
      </c>
    </row>
    <row r="408">
      <c r="A408" s="2" t="n">
        <v>45594</v>
      </c>
      <c r="B408" t="n">
        <v>2024</v>
      </c>
      <c r="C408" t="inlineStr">
        <is>
          <t>October</t>
        </is>
      </c>
      <c r="D408" t="inlineStr">
        <is>
          <t>Ultra Backpack</t>
        </is>
      </c>
      <c r="E408" t="inlineStr">
        <is>
          <t>Sports &amp; Outdoors</t>
        </is>
      </c>
      <c r="F408" t="inlineStr">
        <is>
          <t>John Conti</t>
        </is>
      </c>
      <c r="G408" t="inlineStr">
        <is>
          <t>Germany</t>
        </is>
      </c>
      <c r="H408" t="inlineStr">
        <is>
          <t>Retail Store</t>
        </is>
      </c>
      <c r="I408" t="n">
        <v>5</v>
      </c>
      <c r="J408" s="3" t="n">
        <v>1600.35</v>
      </c>
      <c r="K408" s="3" t="n">
        <v>240.05</v>
      </c>
      <c r="L408" s="3" t="n">
        <v>1360.3</v>
      </c>
      <c r="M408" s="3" t="n">
        <v>868.45</v>
      </c>
      <c r="N408" s="3" t="n">
        <v>491.85</v>
      </c>
      <c r="O408">
        <f>TEXT(A408,"yyyy-mm")</f>
        <v/>
      </c>
    </row>
    <row r="409">
      <c r="A409" s="2" t="n">
        <v>45594</v>
      </c>
      <c r="B409" t="n">
        <v>2024</v>
      </c>
      <c r="C409" t="inlineStr">
        <is>
          <t>October</t>
        </is>
      </c>
      <c r="D409" t="inlineStr">
        <is>
          <t>Wireless Coffee Beans</t>
        </is>
      </c>
      <c r="E409" t="inlineStr">
        <is>
          <t>Grocery</t>
        </is>
      </c>
      <c r="F409" t="inlineStr">
        <is>
          <t>John Conti</t>
        </is>
      </c>
      <c r="G409" t="inlineStr">
        <is>
          <t>Germany</t>
        </is>
      </c>
      <c r="H409" t="inlineStr">
        <is>
          <t>Retail Store</t>
        </is>
      </c>
      <c r="I409" t="n">
        <v>4</v>
      </c>
      <c r="J409" s="3" t="n">
        <v>459.68</v>
      </c>
      <c r="K409" s="3" t="n">
        <v>45.97</v>
      </c>
      <c r="L409" s="3" t="n">
        <v>413.71</v>
      </c>
      <c r="M409" s="3" t="n">
        <v>317.48</v>
      </c>
      <c r="N409" s="3" t="n">
        <v>96.23</v>
      </c>
      <c r="O409">
        <f>TEXT(A409,"yyyy-mm")</f>
        <v/>
      </c>
    </row>
    <row r="410">
      <c r="A410" s="2" t="n">
        <v>45595</v>
      </c>
      <c r="B410" t="n">
        <v>2024</v>
      </c>
      <c r="C410" t="inlineStr">
        <is>
          <t>October</t>
        </is>
      </c>
      <c r="D410" t="inlineStr">
        <is>
          <t>Compact Jacket</t>
        </is>
      </c>
      <c r="E410" t="inlineStr">
        <is>
          <t>Clothing</t>
        </is>
      </c>
      <c r="F410" t="inlineStr">
        <is>
          <t>Nina Fischer</t>
        </is>
      </c>
      <c r="G410" t="inlineStr">
        <is>
          <t>Netherlands</t>
        </is>
      </c>
      <c r="H410" t="inlineStr">
        <is>
          <t>Mobile App</t>
        </is>
      </c>
      <c r="I410" t="n">
        <v>1</v>
      </c>
      <c r="J410" s="3" t="n">
        <v>36.61</v>
      </c>
      <c r="K410" s="3" t="n">
        <v>0</v>
      </c>
      <c r="L410" s="3" t="n">
        <v>36.61</v>
      </c>
      <c r="M410" s="3" t="n">
        <v>20.4</v>
      </c>
      <c r="N410" s="3" t="n">
        <v>16.21</v>
      </c>
      <c r="O410">
        <f>TEXT(A410,"yyyy-mm")</f>
        <v/>
      </c>
    </row>
    <row r="411">
      <c r="A411" s="2" t="n">
        <v>45595</v>
      </c>
      <c r="B411" t="n">
        <v>2024</v>
      </c>
      <c r="C411" t="inlineStr">
        <is>
          <t>October</t>
        </is>
      </c>
      <c r="D411" t="inlineStr">
        <is>
          <t>Essential Toolset</t>
        </is>
      </c>
      <c r="E411" t="inlineStr">
        <is>
          <t>Home &amp; Garden</t>
        </is>
      </c>
      <c r="F411" t="inlineStr">
        <is>
          <t>Nina Fischer</t>
        </is>
      </c>
      <c r="G411" t="inlineStr">
        <is>
          <t>Netherlands</t>
        </is>
      </c>
      <c r="H411" t="inlineStr">
        <is>
          <t>Mobile App</t>
        </is>
      </c>
      <c r="I411" t="n">
        <v>5</v>
      </c>
      <c r="J411" s="3" t="n">
        <v>1086.25</v>
      </c>
      <c r="K411" s="3" t="n">
        <v>108.62</v>
      </c>
      <c r="L411" s="3" t="n">
        <v>977.62</v>
      </c>
      <c r="M411" s="3" t="n">
        <v>752.65</v>
      </c>
      <c r="N411" s="3" t="n">
        <v>224.98</v>
      </c>
      <c r="O411">
        <f>TEXT(A411,"yyyy-mm")</f>
        <v/>
      </c>
    </row>
    <row r="412">
      <c r="A412" s="2" t="n">
        <v>45595</v>
      </c>
      <c r="B412" t="n">
        <v>2024</v>
      </c>
      <c r="C412" t="inlineStr">
        <is>
          <t>October</t>
        </is>
      </c>
      <c r="D412" t="inlineStr">
        <is>
          <t>Smart Olive Oil</t>
        </is>
      </c>
      <c r="E412" t="inlineStr">
        <is>
          <t>Grocery</t>
        </is>
      </c>
      <c r="F412" t="inlineStr">
        <is>
          <t>Nina Fischer</t>
        </is>
      </c>
      <c r="G412" t="inlineStr">
        <is>
          <t>Netherlands</t>
        </is>
      </c>
      <c r="H412" t="inlineStr">
        <is>
          <t>Mobile App</t>
        </is>
      </c>
      <c r="I412" t="n">
        <v>2</v>
      </c>
      <c r="J412" s="3" t="n">
        <v>330.76</v>
      </c>
      <c r="K412" s="3" t="n">
        <v>33.08</v>
      </c>
      <c r="L412" s="3" t="n">
        <v>297.68</v>
      </c>
      <c r="M412" s="3" t="n">
        <v>220.04</v>
      </c>
      <c r="N412" s="3" t="n">
        <v>77.64</v>
      </c>
      <c r="O412">
        <f>TEXT(A412,"yyyy-mm")</f>
        <v/>
      </c>
    </row>
    <row r="413">
      <c r="A413" s="2" t="n">
        <v>45595</v>
      </c>
      <c r="B413" t="n">
        <v>2024</v>
      </c>
      <c r="C413" t="inlineStr">
        <is>
          <t>October</t>
        </is>
      </c>
      <c r="D413" t="inlineStr">
        <is>
          <t>Portable Puzzle</t>
        </is>
      </c>
      <c r="E413" t="inlineStr">
        <is>
          <t>Toys &amp; Games</t>
        </is>
      </c>
      <c r="F413" t="inlineStr">
        <is>
          <t>Clara Johnson</t>
        </is>
      </c>
      <c r="G413" t="inlineStr">
        <is>
          <t>France</t>
        </is>
      </c>
      <c r="H413" t="inlineStr">
        <is>
          <t>Web Store</t>
        </is>
      </c>
      <c r="I413" t="n">
        <v>2</v>
      </c>
      <c r="J413" s="3" t="n">
        <v>220.9</v>
      </c>
      <c r="K413" s="3" t="n">
        <v>22.09</v>
      </c>
      <c r="L413" s="3" t="n">
        <v>198.81</v>
      </c>
      <c r="M413" s="3" t="n">
        <v>117.6</v>
      </c>
      <c r="N413" s="3" t="n">
        <v>81.20999999999999</v>
      </c>
      <c r="O413">
        <f>TEXT(A413,"yyyy-mm")</f>
        <v/>
      </c>
    </row>
    <row r="414">
      <c r="A414" s="2" t="n">
        <v>45595</v>
      </c>
      <c r="B414" t="n">
        <v>2024</v>
      </c>
      <c r="C414" t="inlineStr">
        <is>
          <t>October</t>
        </is>
      </c>
      <c r="D414" t="inlineStr">
        <is>
          <t>Portable Toolset</t>
        </is>
      </c>
      <c r="E414" t="inlineStr">
        <is>
          <t>Home &amp; Garden</t>
        </is>
      </c>
      <c r="F414" t="inlineStr">
        <is>
          <t>Clara Johnson</t>
        </is>
      </c>
      <c r="G414" t="inlineStr">
        <is>
          <t>France</t>
        </is>
      </c>
      <c r="H414" t="inlineStr">
        <is>
          <t>Web Store</t>
        </is>
      </c>
      <c r="I414" t="n">
        <v>2</v>
      </c>
      <c r="J414" s="3" t="n">
        <v>176.04</v>
      </c>
      <c r="K414" s="3" t="n">
        <v>26.41</v>
      </c>
      <c r="L414" s="3" t="n">
        <v>149.63</v>
      </c>
      <c r="M414" s="3" t="n">
        <v>101.08</v>
      </c>
      <c r="N414" s="3" t="n">
        <v>48.55</v>
      </c>
      <c r="O414">
        <f>TEXT(A414,"yyyy-mm")</f>
        <v/>
      </c>
    </row>
    <row r="415">
      <c r="A415" s="2" t="n">
        <v>45595</v>
      </c>
      <c r="B415" t="n">
        <v>2024</v>
      </c>
      <c r="C415" t="inlineStr">
        <is>
          <t>October</t>
        </is>
      </c>
      <c r="D415" t="inlineStr">
        <is>
          <t>Wireless Honey</t>
        </is>
      </c>
      <c r="E415" t="inlineStr">
        <is>
          <t>Grocery</t>
        </is>
      </c>
      <c r="F415" t="inlineStr">
        <is>
          <t>Clara Johnson</t>
        </is>
      </c>
      <c r="G415" t="inlineStr">
        <is>
          <t>France</t>
        </is>
      </c>
      <c r="H415" t="inlineStr">
        <is>
          <t>Web Store</t>
        </is>
      </c>
      <c r="I415" t="n">
        <v>1</v>
      </c>
      <c r="J415" s="3" t="n">
        <v>126.95</v>
      </c>
      <c r="K415" s="3" t="n">
        <v>12.7</v>
      </c>
      <c r="L415" s="3" t="n">
        <v>114.26</v>
      </c>
      <c r="M415" s="3" t="n">
        <v>94.06999999999999</v>
      </c>
      <c r="N415" s="3" t="n">
        <v>20.19</v>
      </c>
      <c r="O415">
        <f>TEXT(A415,"yyyy-mm")</f>
        <v/>
      </c>
    </row>
    <row r="416">
      <c r="A416" s="2" t="n">
        <v>45595</v>
      </c>
      <c r="B416" t="n">
        <v>2024</v>
      </c>
      <c r="C416" t="inlineStr">
        <is>
          <t>October</t>
        </is>
      </c>
      <c r="D416" t="inlineStr">
        <is>
          <t>Compact Pasta</t>
        </is>
      </c>
      <c r="E416" t="inlineStr">
        <is>
          <t>Grocery</t>
        </is>
      </c>
      <c r="F416" t="inlineStr">
        <is>
          <t>Clara Johnson</t>
        </is>
      </c>
      <c r="G416" t="inlineStr">
        <is>
          <t>France</t>
        </is>
      </c>
      <c r="H416" t="inlineStr">
        <is>
          <t>Web Store</t>
        </is>
      </c>
      <c r="I416" t="n">
        <v>3</v>
      </c>
      <c r="J416" s="3" t="n">
        <v>909.6900000000001</v>
      </c>
      <c r="K416" s="3" t="n">
        <v>0</v>
      </c>
      <c r="L416" s="3" t="n">
        <v>909.6900000000001</v>
      </c>
      <c r="M416" s="3" t="n">
        <v>598.2</v>
      </c>
      <c r="N416" s="3" t="n">
        <v>311.49</v>
      </c>
      <c r="O416">
        <f>TEXT(A416,"yyyy-mm")</f>
        <v/>
      </c>
    </row>
    <row r="417">
      <c r="A417" s="2" t="n">
        <v>45596</v>
      </c>
      <c r="B417" t="n">
        <v>2024</v>
      </c>
      <c r="C417" t="inlineStr">
        <is>
          <t>October</t>
        </is>
      </c>
      <c r="D417" t="inlineStr">
        <is>
          <t>Portable Toolset</t>
        </is>
      </c>
      <c r="E417" t="inlineStr">
        <is>
          <t>Home &amp; Garden</t>
        </is>
      </c>
      <c r="F417" t="inlineStr">
        <is>
          <t>Robert Fischer</t>
        </is>
      </c>
      <c r="G417" t="inlineStr">
        <is>
          <t>Netherlands</t>
        </is>
      </c>
      <c r="H417" t="inlineStr">
        <is>
          <t>Mobile App</t>
        </is>
      </c>
      <c r="I417" t="n">
        <v>1</v>
      </c>
      <c r="J417" s="3" t="n">
        <v>151.45</v>
      </c>
      <c r="K417" s="3" t="n">
        <v>22.72</v>
      </c>
      <c r="L417" s="3" t="n">
        <v>128.73</v>
      </c>
      <c r="M417" s="3" t="n">
        <v>92.84999999999999</v>
      </c>
      <c r="N417" s="3" t="n">
        <v>35.88</v>
      </c>
      <c r="O417">
        <f>TEXT(A417,"yyyy-mm")</f>
        <v/>
      </c>
    </row>
    <row r="418">
      <c r="A418" s="2" t="n">
        <v>45596</v>
      </c>
      <c r="B418" t="n">
        <v>2024</v>
      </c>
      <c r="C418" t="inlineStr">
        <is>
          <t>October</t>
        </is>
      </c>
      <c r="D418" t="inlineStr">
        <is>
          <t>Premium Water Bottle</t>
        </is>
      </c>
      <c r="E418" t="inlineStr">
        <is>
          <t>Sports &amp; Outdoors</t>
        </is>
      </c>
      <c r="F418" t="inlineStr">
        <is>
          <t>Robert Fischer</t>
        </is>
      </c>
      <c r="G418" t="inlineStr">
        <is>
          <t>Netherlands</t>
        </is>
      </c>
      <c r="H418" t="inlineStr">
        <is>
          <t>Mobile App</t>
        </is>
      </c>
      <c r="I418" t="n">
        <v>2</v>
      </c>
      <c r="J418" s="3" t="n">
        <v>597.7</v>
      </c>
      <c r="K418" s="3" t="n">
        <v>119.54</v>
      </c>
      <c r="L418" s="3" t="n">
        <v>478.16</v>
      </c>
      <c r="M418" s="3" t="n">
        <v>362.32</v>
      </c>
      <c r="N418" s="3" t="n">
        <v>115.84</v>
      </c>
      <c r="O418">
        <f>TEXT(A418,"yyyy-mm")</f>
        <v/>
      </c>
    </row>
    <row r="419">
      <c r="A419" s="2" t="n">
        <v>45596</v>
      </c>
      <c r="B419" t="n">
        <v>2024</v>
      </c>
      <c r="C419" t="inlineStr">
        <is>
          <t>October</t>
        </is>
      </c>
      <c r="D419" t="inlineStr">
        <is>
          <t>Portable Toolset</t>
        </is>
      </c>
      <c r="E419" t="inlineStr">
        <is>
          <t>Home &amp; Garden</t>
        </is>
      </c>
      <c r="F419" t="inlineStr">
        <is>
          <t>Emily Garcia</t>
        </is>
      </c>
      <c r="G419" t="inlineStr">
        <is>
          <t>Germany</t>
        </is>
      </c>
      <c r="H419" t="inlineStr">
        <is>
          <t>Web Store</t>
        </is>
      </c>
      <c r="I419" t="n">
        <v>5</v>
      </c>
      <c r="J419" s="3" t="n">
        <v>694.3</v>
      </c>
      <c r="K419" s="3" t="n">
        <v>138.86</v>
      </c>
      <c r="L419" s="3" t="n">
        <v>555.4400000000001</v>
      </c>
      <c r="M419" s="3" t="n">
        <v>464.25</v>
      </c>
      <c r="N419" s="3" t="n">
        <v>91.19</v>
      </c>
      <c r="O419">
        <f>TEXT(A419,"yyyy-mm")</f>
        <v/>
      </c>
    </row>
    <row r="420">
      <c r="A420" s="2" t="n">
        <v>45597</v>
      </c>
      <c r="B420" t="n">
        <v>2024</v>
      </c>
      <c r="C420" t="inlineStr">
        <is>
          <t>November</t>
        </is>
      </c>
      <c r="D420" t="inlineStr">
        <is>
          <t>Compact Jacket</t>
        </is>
      </c>
      <c r="E420" t="inlineStr">
        <is>
          <t>Clothing</t>
        </is>
      </c>
      <c r="F420" t="inlineStr">
        <is>
          <t>Thomas Lopez</t>
        </is>
      </c>
      <c r="G420" t="inlineStr">
        <is>
          <t>United States</t>
        </is>
      </c>
      <c r="H420" t="inlineStr">
        <is>
          <t>Web Store</t>
        </is>
      </c>
      <c r="I420" t="n">
        <v>2</v>
      </c>
      <c r="J420" s="3" t="n">
        <v>71.45999999999999</v>
      </c>
      <c r="K420" s="3" t="n">
        <v>7.15</v>
      </c>
      <c r="L420" s="3" t="n">
        <v>64.31</v>
      </c>
      <c r="M420" s="3" t="n">
        <v>40.8</v>
      </c>
      <c r="N420" s="3" t="n">
        <v>23.51</v>
      </c>
      <c r="O420">
        <f>TEXT(A420,"yyyy-mm")</f>
        <v/>
      </c>
    </row>
    <row r="421">
      <c r="A421" s="2" t="n">
        <v>45597</v>
      </c>
      <c r="B421" t="n">
        <v>2024</v>
      </c>
      <c r="C421" t="inlineStr">
        <is>
          <t>November</t>
        </is>
      </c>
      <c r="D421" t="inlineStr">
        <is>
          <t>Premium Tent</t>
        </is>
      </c>
      <c r="E421" t="inlineStr">
        <is>
          <t>Sports &amp; Outdoors</t>
        </is>
      </c>
      <c r="F421" t="inlineStr">
        <is>
          <t>Thomas Lopez</t>
        </is>
      </c>
      <c r="G421" t="inlineStr">
        <is>
          <t>United States</t>
        </is>
      </c>
      <c r="H421" t="inlineStr">
        <is>
          <t>Web Store</t>
        </is>
      </c>
      <c r="I421" t="n">
        <v>4</v>
      </c>
      <c r="J421" s="3" t="n">
        <v>984.72</v>
      </c>
      <c r="K421" s="3" t="n">
        <v>147.71</v>
      </c>
      <c r="L421" s="3" t="n">
        <v>837.01</v>
      </c>
      <c r="M421" s="3" t="n">
        <v>556.16</v>
      </c>
      <c r="N421" s="3" t="n">
        <v>280.85</v>
      </c>
      <c r="O421">
        <f>TEXT(A421,"yyyy-mm")</f>
        <v/>
      </c>
    </row>
    <row r="422">
      <c r="A422" s="2" t="n">
        <v>45597</v>
      </c>
      <c r="B422" t="n">
        <v>2024</v>
      </c>
      <c r="C422" t="inlineStr">
        <is>
          <t>November</t>
        </is>
      </c>
      <c r="D422" t="inlineStr">
        <is>
          <t>Classic Yoga Mat</t>
        </is>
      </c>
      <c r="E422" t="inlineStr">
        <is>
          <t>Sports &amp; Outdoors</t>
        </is>
      </c>
      <c r="F422" t="inlineStr">
        <is>
          <t>Thomas Lopez</t>
        </is>
      </c>
      <c r="G422" t="inlineStr">
        <is>
          <t>United States</t>
        </is>
      </c>
      <c r="H422" t="inlineStr">
        <is>
          <t>Web Store</t>
        </is>
      </c>
      <c r="I422" t="n">
        <v>1</v>
      </c>
      <c r="J422" s="3" t="n">
        <v>333.09</v>
      </c>
      <c r="K422" s="3" t="n">
        <v>0</v>
      </c>
      <c r="L422" s="3" t="n">
        <v>333.09</v>
      </c>
      <c r="M422" s="3" t="n">
        <v>195.7</v>
      </c>
      <c r="N422" s="3" t="n">
        <v>137.39</v>
      </c>
      <c r="O422">
        <f>TEXT(A422,"yyyy-mm")</f>
        <v/>
      </c>
    </row>
    <row r="423">
      <c r="A423" s="2" t="n">
        <v>45597</v>
      </c>
      <c r="B423" t="n">
        <v>2024</v>
      </c>
      <c r="C423" t="inlineStr">
        <is>
          <t>November</t>
        </is>
      </c>
      <c r="D423" t="inlineStr">
        <is>
          <t>Essential Charger</t>
        </is>
      </c>
      <c r="E423" t="inlineStr">
        <is>
          <t>Electronics</t>
        </is>
      </c>
      <c r="F423" t="inlineStr">
        <is>
          <t>Maria Wilson</t>
        </is>
      </c>
      <c r="G423" t="inlineStr">
        <is>
          <t>Poland</t>
        </is>
      </c>
      <c r="H423" t="inlineStr">
        <is>
          <t>Web Store</t>
        </is>
      </c>
      <c r="I423" t="n">
        <v>4</v>
      </c>
      <c r="J423" s="3" t="n">
        <v>181.84</v>
      </c>
      <c r="K423" s="3" t="n">
        <v>0</v>
      </c>
      <c r="L423" s="3" t="n">
        <v>181.84</v>
      </c>
      <c r="M423" s="3" t="n">
        <v>116.4</v>
      </c>
      <c r="N423" s="3" t="n">
        <v>65.44</v>
      </c>
      <c r="O423">
        <f>TEXT(A423,"yyyy-mm")</f>
        <v/>
      </c>
    </row>
    <row r="424">
      <c r="A424" s="2" t="n">
        <v>45597</v>
      </c>
      <c r="B424" t="n">
        <v>2024</v>
      </c>
      <c r="C424" t="inlineStr">
        <is>
          <t>November</t>
        </is>
      </c>
      <c r="D424" t="inlineStr">
        <is>
          <t>Deluxe Puzzle</t>
        </is>
      </c>
      <c r="E424" t="inlineStr">
        <is>
          <t>Toys &amp; Games</t>
        </is>
      </c>
      <c r="F424" t="inlineStr">
        <is>
          <t>Thomas Lopez</t>
        </is>
      </c>
      <c r="G424" t="inlineStr">
        <is>
          <t>United States</t>
        </is>
      </c>
      <c r="H424" t="inlineStr">
        <is>
          <t>Web Store</t>
        </is>
      </c>
      <c r="I424" t="n">
        <v>3</v>
      </c>
      <c r="J424" s="3" t="n">
        <v>628.65</v>
      </c>
      <c r="K424" s="3" t="n">
        <v>0</v>
      </c>
      <c r="L424" s="3" t="n">
        <v>628.65</v>
      </c>
      <c r="M424" s="3" t="n">
        <v>333.51</v>
      </c>
      <c r="N424" s="3" t="n">
        <v>295.14</v>
      </c>
      <c r="O424">
        <f>TEXT(A424,"yyyy-mm")</f>
        <v/>
      </c>
    </row>
    <row r="425">
      <c r="A425" s="2" t="n">
        <v>45598</v>
      </c>
      <c r="B425" t="n">
        <v>2024</v>
      </c>
      <c r="C425" t="inlineStr">
        <is>
          <t>November</t>
        </is>
      </c>
      <c r="D425" t="inlineStr">
        <is>
          <t>Premium Rug</t>
        </is>
      </c>
      <c r="E425" t="inlineStr">
        <is>
          <t>Home &amp; Garden</t>
        </is>
      </c>
      <c r="F425" t="inlineStr">
        <is>
          <t>Nina Wojcik</t>
        </is>
      </c>
      <c r="G425" t="inlineStr">
        <is>
          <t>Germany</t>
        </is>
      </c>
      <c r="H425" t="inlineStr">
        <is>
          <t>Web Store</t>
        </is>
      </c>
      <c r="I425" t="n">
        <v>3</v>
      </c>
      <c r="J425" s="3" t="n">
        <v>543.03</v>
      </c>
      <c r="K425" s="3" t="n">
        <v>0</v>
      </c>
      <c r="L425" s="3" t="n">
        <v>543.03</v>
      </c>
      <c r="M425" s="3" t="n">
        <v>333.57</v>
      </c>
      <c r="N425" s="3" t="n">
        <v>209.46</v>
      </c>
      <c r="O425">
        <f>TEXT(A425,"yyyy-mm")</f>
        <v/>
      </c>
    </row>
    <row r="426">
      <c r="A426" s="2" t="n">
        <v>45598</v>
      </c>
      <c r="B426" t="n">
        <v>2024</v>
      </c>
      <c r="C426" t="inlineStr">
        <is>
          <t>November</t>
        </is>
      </c>
      <c r="D426" t="inlineStr">
        <is>
          <t>Smart Olive Oil</t>
        </is>
      </c>
      <c r="E426" t="inlineStr">
        <is>
          <t>Grocery</t>
        </is>
      </c>
      <c r="F426" t="inlineStr">
        <is>
          <t>Nina Wojcik</t>
        </is>
      </c>
      <c r="G426" t="inlineStr">
        <is>
          <t>Germany</t>
        </is>
      </c>
      <c r="H426" t="inlineStr">
        <is>
          <t>Web Store</t>
        </is>
      </c>
      <c r="I426" t="n">
        <v>4</v>
      </c>
      <c r="J426" s="3" t="n">
        <v>671.08</v>
      </c>
      <c r="K426" s="3" t="n">
        <v>134.22</v>
      </c>
      <c r="L426" s="3" t="n">
        <v>536.86</v>
      </c>
      <c r="M426" s="3" t="n">
        <v>440.08</v>
      </c>
      <c r="N426" s="3" t="n">
        <v>96.78</v>
      </c>
      <c r="O426">
        <f>TEXT(A426,"yyyy-mm")</f>
        <v/>
      </c>
    </row>
    <row r="427">
      <c r="A427" s="2" t="n">
        <v>45598</v>
      </c>
      <c r="B427" t="n">
        <v>2024</v>
      </c>
      <c r="C427" t="inlineStr">
        <is>
          <t>November</t>
        </is>
      </c>
      <c r="D427" t="inlineStr">
        <is>
          <t>Deluxe Headphones</t>
        </is>
      </c>
      <c r="E427" t="inlineStr">
        <is>
          <t>Electronics</t>
        </is>
      </c>
      <c r="F427" t="inlineStr">
        <is>
          <t>Nina Wojcik</t>
        </is>
      </c>
      <c r="G427" t="inlineStr">
        <is>
          <t>Germany</t>
        </is>
      </c>
      <c r="H427" t="inlineStr">
        <is>
          <t>Web Store</t>
        </is>
      </c>
      <c r="I427" t="n">
        <v>4</v>
      </c>
      <c r="J427" s="3" t="n">
        <v>292.28</v>
      </c>
      <c r="K427" s="3" t="n">
        <v>58.46</v>
      </c>
      <c r="L427" s="3" t="n">
        <v>233.82</v>
      </c>
      <c r="M427" s="3" t="n">
        <v>210</v>
      </c>
      <c r="N427" s="3" t="n">
        <v>23.82</v>
      </c>
      <c r="O427">
        <f>TEXT(A427,"yyyy-mm")</f>
        <v/>
      </c>
    </row>
    <row r="428">
      <c r="A428" s="2" t="n">
        <v>45598</v>
      </c>
      <c r="B428" t="n">
        <v>2024</v>
      </c>
      <c r="C428" t="inlineStr">
        <is>
          <t>November</t>
        </is>
      </c>
      <c r="D428" t="inlineStr">
        <is>
          <t>Classic Tent</t>
        </is>
      </c>
      <c r="E428" t="inlineStr">
        <is>
          <t>Sports &amp; Outdoors</t>
        </is>
      </c>
      <c r="F428" t="inlineStr">
        <is>
          <t>Sophie Bianchi</t>
        </is>
      </c>
      <c r="G428" t="inlineStr">
        <is>
          <t>United States</t>
        </is>
      </c>
      <c r="H428" t="inlineStr">
        <is>
          <t>Marketplace</t>
        </is>
      </c>
      <c r="I428" t="n">
        <v>2</v>
      </c>
      <c r="J428" s="3" t="n">
        <v>391.1</v>
      </c>
      <c r="K428" s="3" t="n">
        <v>0</v>
      </c>
      <c r="L428" s="3" t="n">
        <v>391.1</v>
      </c>
      <c r="M428" s="3" t="n">
        <v>236.04</v>
      </c>
      <c r="N428" s="3" t="n">
        <v>155.06</v>
      </c>
      <c r="O428">
        <f>TEXT(A428,"yyyy-mm")</f>
        <v/>
      </c>
    </row>
    <row r="429">
      <c r="A429" s="2" t="n">
        <v>45598</v>
      </c>
      <c r="B429" t="n">
        <v>2024</v>
      </c>
      <c r="C429" t="inlineStr">
        <is>
          <t>November</t>
        </is>
      </c>
      <c r="D429" t="inlineStr">
        <is>
          <t>Eco Planter</t>
        </is>
      </c>
      <c r="E429" t="inlineStr">
        <is>
          <t>Home &amp; Garden</t>
        </is>
      </c>
      <c r="F429" t="inlineStr">
        <is>
          <t>Sophie Bianchi</t>
        </is>
      </c>
      <c r="G429" t="inlineStr">
        <is>
          <t>United States</t>
        </is>
      </c>
      <c r="H429" t="inlineStr">
        <is>
          <t>Marketplace</t>
        </is>
      </c>
      <c r="I429" t="n">
        <v>5</v>
      </c>
      <c r="J429" s="3" t="n">
        <v>903.8</v>
      </c>
      <c r="K429" s="3" t="n">
        <v>0</v>
      </c>
      <c r="L429" s="3" t="n">
        <v>903.8</v>
      </c>
      <c r="M429" s="3" t="n">
        <v>562.05</v>
      </c>
      <c r="N429" s="3" t="n">
        <v>341.75</v>
      </c>
      <c r="O429">
        <f>TEXT(A429,"yyyy-mm")</f>
        <v/>
      </c>
    </row>
    <row r="430">
      <c r="A430" s="2" t="n">
        <v>45598</v>
      </c>
      <c r="B430" t="n">
        <v>2024</v>
      </c>
      <c r="C430" t="inlineStr">
        <is>
          <t>November</t>
        </is>
      </c>
      <c r="D430" t="inlineStr">
        <is>
          <t>Essential Lamp</t>
        </is>
      </c>
      <c r="E430" t="inlineStr">
        <is>
          <t>Home &amp; Garden</t>
        </is>
      </c>
      <c r="F430" t="inlineStr">
        <is>
          <t>Emma Schmidt</t>
        </is>
      </c>
      <c r="G430" t="inlineStr">
        <is>
          <t>France</t>
        </is>
      </c>
      <c r="H430" t="inlineStr">
        <is>
          <t>Retail Store</t>
        </is>
      </c>
      <c r="I430" t="n">
        <v>1</v>
      </c>
      <c r="J430" s="3" t="n">
        <v>64.45</v>
      </c>
      <c r="K430" s="3" t="n">
        <v>12.89</v>
      </c>
      <c r="L430" s="3" t="n">
        <v>51.56</v>
      </c>
      <c r="M430" s="3" t="n">
        <v>45.4</v>
      </c>
      <c r="N430" s="3" t="n">
        <v>6.16</v>
      </c>
      <c r="O430">
        <f>TEXT(A430,"yyyy-mm")</f>
        <v/>
      </c>
    </row>
    <row r="431">
      <c r="A431" s="2" t="n">
        <v>45598</v>
      </c>
      <c r="B431" t="n">
        <v>2024</v>
      </c>
      <c r="C431" t="inlineStr">
        <is>
          <t>November</t>
        </is>
      </c>
      <c r="D431" t="inlineStr">
        <is>
          <t>Portable Puzzle</t>
        </is>
      </c>
      <c r="E431" t="inlineStr">
        <is>
          <t>Toys &amp; Games</t>
        </is>
      </c>
      <c r="F431" t="inlineStr">
        <is>
          <t>Emma Schmidt</t>
        </is>
      </c>
      <c r="G431" t="inlineStr">
        <is>
          <t>France</t>
        </is>
      </c>
      <c r="H431" t="inlineStr">
        <is>
          <t>Retail Store</t>
        </is>
      </c>
      <c r="I431" t="n">
        <v>1</v>
      </c>
      <c r="J431" s="3" t="n">
        <v>109.97</v>
      </c>
      <c r="K431" s="3" t="n">
        <v>16.5</v>
      </c>
      <c r="L431" s="3" t="n">
        <v>93.47</v>
      </c>
      <c r="M431" s="3" t="n">
        <v>58.8</v>
      </c>
      <c r="N431" s="3" t="n">
        <v>34.67</v>
      </c>
      <c r="O431">
        <f>TEXT(A431,"yyyy-mm")</f>
        <v/>
      </c>
    </row>
    <row r="432">
      <c r="A432" s="2" t="n">
        <v>45598</v>
      </c>
      <c r="B432" t="n">
        <v>2024</v>
      </c>
      <c r="C432" t="inlineStr">
        <is>
          <t>November</t>
        </is>
      </c>
      <c r="D432" t="inlineStr">
        <is>
          <t>Smart Charger</t>
        </is>
      </c>
      <c r="E432" t="inlineStr">
        <is>
          <t>Electronics</t>
        </is>
      </c>
      <c r="F432" t="inlineStr">
        <is>
          <t>Nina Wojcik</t>
        </is>
      </c>
      <c r="G432" t="inlineStr">
        <is>
          <t>Germany</t>
        </is>
      </c>
      <c r="H432" t="inlineStr">
        <is>
          <t>Web Store</t>
        </is>
      </c>
      <c r="I432" t="n">
        <v>4</v>
      </c>
      <c r="J432" s="3" t="n">
        <v>159.4</v>
      </c>
      <c r="K432" s="3" t="n">
        <v>0</v>
      </c>
      <c r="L432" s="3" t="n">
        <v>159.4</v>
      </c>
      <c r="M432" s="3" t="n">
        <v>110.56</v>
      </c>
      <c r="N432" s="3" t="n">
        <v>48.84</v>
      </c>
      <c r="O432">
        <f>TEXT(A432,"yyyy-mm")</f>
        <v/>
      </c>
    </row>
    <row r="433">
      <c r="A433" s="2" t="n">
        <v>45599</v>
      </c>
      <c r="B433" t="n">
        <v>2024</v>
      </c>
      <c r="C433" t="inlineStr">
        <is>
          <t>November</t>
        </is>
      </c>
      <c r="D433" t="inlineStr">
        <is>
          <t>Smart Board Game</t>
        </is>
      </c>
      <c r="E433" t="inlineStr">
        <is>
          <t>Toys &amp; Games</t>
        </is>
      </c>
      <c r="F433" t="inlineStr">
        <is>
          <t>Laura Johnson</t>
        </is>
      </c>
      <c r="G433" t="inlineStr">
        <is>
          <t>Germany</t>
        </is>
      </c>
      <c r="H433" t="inlineStr">
        <is>
          <t>Retail Store</t>
        </is>
      </c>
      <c r="I433" t="n">
        <v>5</v>
      </c>
      <c r="J433" s="3" t="n">
        <v>677</v>
      </c>
      <c r="K433" s="3" t="n">
        <v>0</v>
      </c>
      <c r="L433" s="3" t="n">
        <v>677</v>
      </c>
      <c r="M433" s="3" t="n">
        <v>458.6</v>
      </c>
      <c r="N433" s="3" t="n">
        <v>218.4</v>
      </c>
      <c r="O433">
        <f>TEXT(A433,"yyyy-mm")</f>
        <v/>
      </c>
    </row>
    <row r="434">
      <c r="A434" s="2" t="n">
        <v>45599</v>
      </c>
      <c r="B434" t="n">
        <v>2024</v>
      </c>
      <c r="C434" t="inlineStr">
        <is>
          <t>November</t>
        </is>
      </c>
      <c r="D434" t="inlineStr">
        <is>
          <t>Wireless Coffee Beans</t>
        </is>
      </c>
      <c r="E434" t="inlineStr">
        <is>
          <t>Grocery</t>
        </is>
      </c>
      <c r="F434" t="inlineStr">
        <is>
          <t>Paul Wojcik</t>
        </is>
      </c>
      <c r="G434" t="inlineStr">
        <is>
          <t>United States</t>
        </is>
      </c>
      <c r="H434" t="inlineStr">
        <is>
          <t>Web Store</t>
        </is>
      </c>
      <c r="I434" t="n">
        <v>3</v>
      </c>
      <c r="J434" s="3" t="n">
        <v>642.6</v>
      </c>
      <c r="K434" s="3" t="n">
        <v>0</v>
      </c>
      <c r="L434" s="3" t="n">
        <v>642.6</v>
      </c>
      <c r="M434" s="3" t="n">
        <v>390.39</v>
      </c>
      <c r="N434" s="3" t="n">
        <v>252.21</v>
      </c>
      <c r="O434">
        <f>TEXT(A434,"yyyy-mm")</f>
        <v/>
      </c>
    </row>
    <row r="435">
      <c r="A435" s="2" t="n">
        <v>45599</v>
      </c>
      <c r="B435" t="n">
        <v>2024</v>
      </c>
      <c r="C435" t="inlineStr">
        <is>
          <t>November</t>
        </is>
      </c>
      <c r="D435" t="inlineStr">
        <is>
          <t>Smart Camera</t>
        </is>
      </c>
      <c r="E435" t="inlineStr">
        <is>
          <t>Electronics</t>
        </is>
      </c>
      <c r="F435" t="inlineStr">
        <is>
          <t>Paul Wojcik</t>
        </is>
      </c>
      <c r="G435" t="inlineStr">
        <is>
          <t>United States</t>
        </is>
      </c>
      <c r="H435" t="inlineStr">
        <is>
          <t>Web Store</t>
        </is>
      </c>
      <c r="I435" t="n">
        <v>1</v>
      </c>
      <c r="J435" s="3" t="n">
        <v>115.88</v>
      </c>
      <c r="K435" s="3" t="n">
        <v>11.59</v>
      </c>
      <c r="L435" s="3" t="n">
        <v>104.29</v>
      </c>
      <c r="M435" s="3" t="n">
        <v>85.58</v>
      </c>
      <c r="N435" s="3" t="n">
        <v>18.71</v>
      </c>
      <c r="O435">
        <f>TEXT(A435,"yyyy-mm")</f>
        <v/>
      </c>
    </row>
    <row r="436">
      <c r="A436" s="2" t="n">
        <v>45599</v>
      </c>
      <c r="B436" t="n">
        <v>2024</v>
      </c>
      <c r="C436" t="inlineStr">
        <is>
          <t>November</t>
        </is>
      </c>
      <c r="D436" t="inlineStr">
        <is>
          <t>Eco Sweater</t>
        </is>
      </c>
      <c r="E436" t="inlineStr">
        <is>
          <t>Clothing</t>
        </is>
      </c>
      <c r="F436" t="inlineStr">
        <is>
          <t>Paul Wojcik</t>
        </is>
      </c>
      <c r="G436" t="inlineStr">
        <is>
          <t>United States</t>
        </is>
      </c>
      <c r="H436" t="inlineStr">
        <is>
          <t>Web Store</t>
        </is>
      </c>
      <c r="I436" t="n">
        <v>2</v>
      </c>
      <c r="J436" s="3" t="n">
        <v>305.88</v>
      </c>
      <c r="K436" s="3" t="n">
        <v>15.29</v>
      </c>
      <c r="L436" s="3" t="n">
        <v>290.59</v>
      </c>
      <c r="M436" s="3" t="n">
        <v>208.46</v>
      </c>
      <c r="N436" s="3" t="n">
        <v>82.13</v>
      </c>
      <c r="O436">
        <f>TEXT(A436,"yyyy-mm")</f>
        <v/>
      </c>
    </row>
    <row r="437">
      <c r="A437" s="2" t="n">
        <v>45599</v>
      </c>
      <c r="B437" t="n">
        <v>2024</v>
      </c>
      <c r="C437" t="inlineStr">
        <is>
          <t>November</t>
        </is>
      </c>
      <c r="D437" t="inlineStr">
        <is>
          <t>Essential Planter</t>
        </is>
      </c>
      <c r="E437" t="inlineStr">
        <is>
          <t>Home &amp; Garden</t>
        </is>
      </c>
      <c r="F437" t="inlineStr">
        <is>
          <t>Paul Wojcik</t>
        </is>
      </c>
      <c r="G437" t="inlineStr">
        <is>
          <t>United States</t>
        </is>
      </c>
      <c r="H437" t="inlineStr">
        <is>
          <t>Web Store</t>
        </is>
      </c>
      <c r="I437" t="n">
        <v>1</v>
      </c>
      <c r="J437" s="3" t="n">
        <v>24.36</v>
      </c>
      <c r="K437" s="3" t="n">
        <v>3.65</v>
      </c>
      <c r="L437" s="3" t="n">
        <v>20.71</v>
      </c>
      <c r="M437" s="3" t="n">
        <v>19.64</v>
      </c>
      <c r="N437" s="3" t="n">
        <v>1.07</v>
      </c>
      <c r="O437">
        <f>TEXT(A437,"yyyy-mm")</f>
        <v/>
      </c>
    </row>
    <row r="438">
      <c r="A438" s="2" t="n">
        <v>45599</v>
      </c>
      <c r="B438" t="n">
        <v>2024</v>
      </c>
      <c r="C438" t="inlineStr">
        <is>
          <t>November</t>
        </is>
      </c>
      <c r="D438" t="inlineStr">
        <is>
          <t>Deluxe Cookbook</t>
        </is>
      </c>
      <c r="E438" t="inlineStr">
        <is>
          <t>Books</t>
        </is>
      </c>
      <c r="F438" t="inlineStr">
        <is>
          <t>Sophie Garcia</t>
        </is>
      </c>
      <c r="G438" t="inlineStr">
        <is>
          <t>France</t>
        </is>
      </c>
      <c r="H438" t="inlineStr">
        <is>
          <t>Mobile App</t>
        </is>
      </c>
      <c r="I438" t="n">
        <v>4</v>
      </c>
      <c r="J438" s="3" t="n">
        <v>541.6799999999999</v>
      </c>
      <c r="K438" s="3" t="n">
        <v>27.08</v>
      </c>
      <c r="L438" s="3" t="n">
        <v>514.6</v>
      </c>
      <c r="M438" s="3" t="n">
        <v>341.08</v>
      </c>
      <c r="N438" s="3" t="n">
        <v>173.52</v>
      </c>
      <c r="O438">
        <f>TEXT(A438,"yyyy-mm")</f>
        <v/>
      </c>
    </row>
    <row r="439">
      <c r="A439" s="2" t="n">
        <v>45599</v>
      </c>
      <c r="B439" t="n">
        <v>2024</v>
      </c>
      <c r="C439" t="inlineStr">
        <is>
          <t>November</t>
        </is>
      </c>
      <c r="D439" t="inlineStr">
        <is>
          <t>Essential Charger</t>
        </is>
      </c>
      <c r="E439" t="inlineStr">
        <is>
          <t>Electronics</t>
        </is>
      </c>
      <c r="F439" t="inlineStr">
        <is>
          <t>Sophie Garcia</t>
        </is>
      </c>
      <c r="G439" t="inlineStr">
        <is>
          <t>France</t>
        </is>
      </c>
      <c r="H439" t="inlineStr">
        <is>
          <t>Mobile App</t>
        </is>
      </c>
      <c r="I439" t="n">
        <v>1</v>
      </c>
      <c r="J439" s="3" t="n">
        <v>43.16</v>
      </c>
      <c r="K439" s="3" t="n">
        <v>0</v>
      </c>
      <c r="L439" s="3" t="n">
        <v>43.16</v>
      </c>
      <c r="M439" s="3" t="n">
        <v>29.1</v>
      </c>
      <c r="N439" s="3" t="n">
        <v>14.06</v>
      </c>
      <c r="O439">
        <f>TEXT(A439,"yyyy-mm")</f>
        <v/>
      </c>
    </row>
    <row r="440">
      <c r="A440" s="2" t="n">
        <v>45599</v>
      </c>
      <c r="B440" t="n">
        <v>2024</v>
      </c>
      <c r="C440" t="inlineStr">
        <is>
          <t>November</t>
        </is>
      </c>
      <c r="D440" t="inlineStr">
        <is>
          <t>Eco Tent</t>
        </is>
      </c>
      <c r="E440" t="inlineStr">
        <is>
          <t>Sports &amp; Outdoors</t>
        </is>
      </c>
      <c r="F440" t="inlineStr">
        <is>
          <t>Sophie Brown</t>
        </is>
      </c>
      <c r="G440" t="inlineStr">
        <is>
          <t>Poland</t>
        </is>
      </c>
      <c r="H440" t="inlineStr">
        <is>
          <t>Mobile App</t>
        </is>
      </c>
      <c r="I440" t="n">
        <v>4</v>
      </c>
      <c r="J440" s="3" t="n">
        <v>967.12</v>
      </c>
      <c r="K440" s="3" t="n">
        <v>48.36</v>
      </c>
      <c r="L440" s="3" t="n">
        <v>918.76</v>
      </c>
      <c r="M440" s="3" t="n">
        <v>540.12</v>
      </c>
      <c r="N440" s="3" t="n">
        <v>378.64</v>
      </c>
      <c r="O440">
        <f>TEXT(A440,"yyyy-mm")</f>
        <v/>
      </c>
    </row>
    <row r="441">
      <c r="A441" s="2" t="n">
        <v>45599</v>
      </c>
      <c r="B441" t="n">
        <v>2024</v>
      </c>
      <c r="C441" t="inlineStr">
        <is>
          <t>November</t>
        </is>
      </c>
      <c r="D441" t="inlineStr">
        <is>
          <t>Premium Water Bottle</t>
        </is>
      </c>
      <c r="E441" t="inlineStr">
        <is>
          <t>Sports &amp; Outdoors</t>
        </is>
      </c>
      <c r="F441" t="inlineStr">
        <is>
          <t>Sophie Garcia</t>
        </is>
      </c>
      <c r="G441" t="inlineStr">
        <is>
          <t>France</t>
        </is>
      </c>
      <c r="H441" t="inlineStr">
        <is>
          <t>Mobile App</t>
        </is>
      </c>
      <c r="I441" t="n">
        <v>1</v>
      </c>
      <c r="J441" s="3" t="n">
        <v>30.61</v>
      </c>
      <c r="K441" s="3" t="n">
        <v>0</v>
      </c>
      <c r="L441" s="3" t="n">
        <v>30.61</v>
      </c>
      <c r="M441" s="3" t="n">
        <v>16.63</v>
      </c>
      <c r="N441" s="3" t="n">
        <v>13.98</v>
      </c>
      <c r="O441">
        <f>TEXT(A441,"yyyy-mm")</f>
        <v/>
      </c>
    </row>
    <row r="442">
      <c r="A442" s="2" t="n">
        <v>45600</v>
      </c>
      <c r="B442" t="n">
        <v>2024</v>
      </c>
      <c r="C442" t="inlineStr">
        <is>
          <t>November</t>
        </is>
      </c>
      <c r="D442" t="inlineStr">
        <is>
          <t>Smart Puzzle</t>
        </is>
      </c>
      <c r="E442" t="inlineStr">
        <is>
          <t>Toys &amp; Games</t>
        </is>
      </c>
      <c r="F442" t="inlineStr">
        <is>
          <t>Michael Weber</t>
        </is>
      </c>
      <c r="G442" t="inlineStr">
        <is>
          <t>France</t>
        </is>
      </c>
      <c r="H442" t="inlineStr">
        <is>
          <t>Web Store</t>
        </is>
      </c>
      <c r="I442" t="n">
        <v>5</v>
      </c>
      <c r="J442" s="3" t="n">
        <v>215.5</v>
      </c>
      <c r="K442" s="3" t="n">
        <v>43.1</v>
      </c>
      <c r="L442" s="3" t="n">
        <v>172.4</v>
      </c>
      <c r="M442" s="3" t="n">
        <v>122.2</v>
      </c>
      <c r="N442" s="3" t="n">
        <v>50.2</v>
      </c>
      <c r="O442">
        <f>TEXT(A442,"yyyy-mm")</f>
        <v/>
      </c>
    </row>
    <row r="443">
      <c r="A443" s="2" t="n">
        <v>45600</v>
      </c>
      <c r="B443" t="n">
        <v>2024</v>
      </c>
      <c r="C443" t="inlineStr">
        <is>
          <t>November</t>
        </is>
      </c>
      <c r="D443" t="inlineStr">
        <is>
          <t>Deluxe Headphones</t>
        </is>
      </c>
      <c r="E443" t="inlineStr">
        <is>
          <t>Electronics</t>
        </is>
      </c>
      <c r="F443" t="inlineStr">
        <is>
          <t>Michael Weber</t>
        </is>
      </c>
      <c r="G443" t="inlineStr">
        <is>
          <t>France</t>
        </is>
      </c>
      <c r="H443" t="inlineStr">
        <is>
          <t>Web Store</t>
        </is>
      </c>
      <c r="I443" t="n">
        <v>4</v>
      </c>
      <c r="J443" s="3" t="n">
        <v>286.04</v>
      </c>
      <c r="K443" s="3" t="n">
        <v>28.6</v>
      </c>
      <c r="L443" s="3" t="n">
        <v>257.44</v>
      </c>
      <c r="M443" s="3" t="n">
        <v>210</v>
      </c>
      <c r="N443" s="3" t="n">
        <v>47.44</v>
      </c>
      <c r="O443">
        <f>TEXT(A443,"yyyy-mm")</f>
        <v/>
      </c>
    </row>
    <row r="444">
      <c r="A444" s="2" t="n">
        <v>45600</v>
      </c>
      <c r="B444" t="n">
        <v>2024</v>
      </c>
      <c r="C444" t="inlineStr">
        <is>
          <t>November</t>
        </is>
      </c>
      <c r="D444" t="inlineStr">
        <is>
          <t>Ultra Backpack</t>
        </is>
      </c>
      <c r="E444" t="inlineStr">
        <is>
          <t>Sports &amp; Outdoors</t>
        </is>
      </c>
      <c r="F444" t="inlineStr">
        <is>
          <t>Michael Weber</t>
        </is>
      </c>
      <c r="G444" t="inlineStr">
        <is>
          <t>France</t>
        </is>
      </c>
      <c r="H444" t="inlineStr">
        <is>
          <t>Web Store</t>
        </is>
      </c>
      <c r="I444" t="n">
        <v>4</v>
      </c>
      <c r="J444" s="3" t="n">
        <v>1194.88</v>
      </c>
      <c r="K444" s="3" t="n">
        <v>119.49</v>
      </c>
      <c r="L444" s="3" t="n">
        <v>1075.39</v>
      </c>
      <c r="M444" s="3" t="n">
        <v>694.76</v>
      </c>
      <c r="N444" s="3" t="n">
        <v>380.63</v>
      </c>
      <c r="O444">
        <f>TEXT(A444,"yyyy-mm")</f>
        <v/>
      </c>
    </row>
    <row r="445">
      <c r="A445" s="2" t="n">
        <v>45600</v>
      </c>
      <c r="B445" t="n">
        <v>2024</v>
      </c>
      <c r="C445" t="inlineStr">
        <is>
          <t>November</t>
        </is>
      </c>
      <c r="D445" t="inlineStr">
        <is>
          <t>Ultra Toolset</t>
        </is>
      </c>
      <c r="E445" t="inlineStr">
        <is>
          <t>Home &amp; Garden</t>
        </is>
      </c>
      <c r="F445" t="inlineStr">
        <is>
          <t>Laura Moreau</t>
        </is>
      </c>
      <c r="G445" t="inlineStr">
        <is>
          <t>Spain</t>
        </is>
      </c>
      <c r="H445" t="inlineStr">
        <is>
          <t>Mobile App</t>
        </is>
      </c>
      <c r="I445" t="n">
        <v>1</v>
      </c>
      <c r="J445" s="3" t="n">
        <v>375.13</v>
      </c>
      <c r="K445" s="3" t="n">
        <v>75.03</v>
      </c>
      <c r="L445" s="3" t="n">
        <v>300.1</v>
      </c>
      <c r="M445" s="3" t="n">
        <v>190.4</v>
      </c>
      <c r="N445" s="3" t="n">
        <v>109.7</v>
      </c>
      <c r="O445">
        <f>TEXT(A445,"yyyy-mm")</f>
        <v/>
      </c>
    </row>
    <row r="446">
      <c r="A446" s="2" t="n">
        <v>45600</v>
      </c>
      <c r="B446" t="n">
        <v>2024</v>
      </c>
      <c r="C446" t="inlineStr">
        <is>
          <t>November</t>
        </is>
      </c>
      <c r="D446" t="inlineStr">
        <is>
          <t>Essential Planter</t>
        </is>
      </c>
      <c r="E446" t="inlineStr">
        <is>
          <t>Home &amp; Garden</t>
        </is>
      </c>
      <c r="F446" t="inlineStr">
        <is>
          <t>Michael Weber</t>
        </is>
      </c>
      <c r="G446" t="inlineStr">
        <is>
          <t>France</t>
        </is>
      </c>
      <c r="H446" t="inlineStr">
        <is>
          <t>Web Store</t>
        </is>
      </c>
      <c r="I446" t="n">
        <v>1</v>
      </c>
      <c r="J446" s="3" t="n">
        <v>24.54</v>
      </c>
      <c r="K446" s="3" t="n">
        <v>0</v>
      </c>
      <c r="L446" s="3" t="n">
        <v>24.54</v>
      </c>
      <c r="M446" s="3" t="n">
        <v>19.64</v>
      </c>
      <c r="N446" s="3" t="n">
        <v>4.9</v>
      </c>
      <c r="O446">
        <f>TEXT(A446,"yyyy-mm")</f>
        <v/>
      </c>
    </row>
    <row r="447">
      <c r="A447" s="2" t="n">
        <v>45600</v>
      </c>
      <c r="B447" t="n">
        <v>2024</v>
      </c>
      <c r="C447" t="inlineStr">
        <is>
          <t>November</t>
        </is>
      </c>
      <c r="D447" t="inlineStr">
        <is>
          <t>Eco Tent</t>
        </is>
      </c>
      <c r="E447" t="inlineStr">
        <is>
          <t>Sports &amp; Outdoors</t>
        </is>
      </c>
      <c r="F447" t="inlineStr">
        <is>
          <t>Laura Moreau</t>
        </is>
      </c>
      <c r="G447" t="inlineStr">
        <is>
          <t>Spain</t>
        </is>
      </c>
      <c r="H447" t="inlineStr">
        <is>
          <t>Mobile App</t>
        </is>
      </c>
      <c r="I447" t="n">
        <v>4</v>
      </c>
      <c r="J447" s="3" t="n">
        <v>969.52</v>
      </c>
      <c r="K447" s="3" t="n">
        <v>48.48</v>
      </c>
      <c r="L447" s="3" t="n">
        <v>921.04</v>
      </c>
      <c r="M447" s="3" t="n">
        <v>540.12</v>
      </c>
      <c r="N447" s="3" t="n">
        <v>380.92</v>
      </c>
      <c r="O447">
        <f>TEXT(A447,"yyyy-mm")</f>
        <v/>
      </c>
    </row>
    <row r="448">
      <c r="A448" s="2" t="n">
        <v>45600</v>
      </c>
      <c r="B448" t="n">
        <v>2024</v>
      </c>
      <c r="C448" t="inlineStr">
        <is>
          <t>November</t>
        </is>
      </c>
      <c r="D448" t="inlineStr">
        <is>
          <t>Smart Coffee Beans</t>
        </is>
      </c>
      <c r="E448" t="inlineStr">
        <is>
          <t>Grocery</t>
        </is>
      </c>
      <c r="F448" t="inlineStr">
        <is>
          <t>Laura Moreau</t>
        </is>
      </c>
      <c r="G448" t="inlineStr">
        <is>
          <t>Spain</t>
        </is>
      </c>
      <c r="H448" t="inlineStr">
        <is>
          <t>Mobile App</t>
        </is>
      </c>
      <c r="I448" t="n">
        <v>5</v>
      </c>
      <c r="J448" s="3" t="n">
        <v>544.3</v>
      </c>
      <c r="K448" s="3" t="n">
        <v>81.64</v>
      </c>
      <c r="L448" s="3" t="n">
        <v>462.66</v>
      </c>
      <c r="M448" s="3" t="n">
        <v>364.25</v>
      </c>
      <c r="N448" s="3" t="n">
        <v>98.40000000000001</v>
      </c>
      <c r="O448">
        <f>TEXT(A448,"yyyy-mm")</f>
        <v/>
      </c>
    </row>
    <row r="449">
      <c r="A449" s="2" t="n">
        <v>45600</v>
      </c>
      <c r="B449" t="n">
        <v>2024</v>
      </c>
      <c r="C449" t="inlineStr">
        <is>
          <t>November</t>
        </is>
      </c>
      <c r="D449" t="inlineStr">
        <is>
          <t>Classic Coffee Beans</t>
        </is>
      </c>
      <c r="E449" t="inlineStr">
        <is>
          <t>Grocery</t>
        </is>
      </c>
      <c r="F449" t="inlineStr">
        <is>
          <t>Laura Moreau</t>
        </is>
      </c>
      <c r="G449" t="inlineStr">
        <is>
          <t>Spain</t>
        </is>
      </c>
      <c r="H449" t="inlineStr">
        <is>
          <t>Mobile App</t>
        </is>
      </c>
      <c r="I449" t="n">
        <v>1</v>
      </c>
      <c r="J449" s="3" t="n">
        <v>319.76</v>
      </c>
      <c r="K449" s="3" t="n">
        <v>0</v>
      </c>
      <c r="L449" s="3" t="n">
        <v>319.76</v>
      </c>
      <c r="M449" s="3" t="n">
        <v>194.76</v>
      </c>
      <c r="N449" s="3" t="n">
        <v>125</v>
      </c>
      <c r="O449">
        <f>TEXT(A449,"yyyy-mm")</f>
        <v/>
      </c>
    </row>
    <row r="450">
      <c r="A450" s="2" t="n">
        <v>45601</v>
      </c>
      <c r="B450" t="n">
        <v>2024</v>
      </c>
      <c r="C450" t="inlineStr">
        <is>
          <t>November</t>
        </is>
      </c>
      <c r="D450" t="inlineStr">
        <is>
          <t>Eco Backpack</t>
        </is>
      </c>
      <c r="E450" t="inlineStr">
        <is>
          <t>Sports &amp; Outdoors</t>
        </is>
      </c>
      <c r="F450" t="inlineStr">
        <is>
          <t>Paul Zielinski</t>
        </is>
      </c>
      <c r="G450" t="inlineStr">
        <is>
          <t>Germany</t>
        </is>
      </c>
      <c r="H450" t="inlineStr">
        <is>
          <t>Web Store</t>
        </is>
      </c>
      <c r="I450" t="n">
        <v>4</v>
      </c>
      <c r="J450" s="3" t="n">
        <v>1098.64</v>
      </c>
      <c r="K450" s="3" t="n">
        <v>219.73</v>
      </c>
      <c r="L450" s="3" t="n">
        <v>878.91</v>
      </c>
      <c r="M450" s="3" t="n">
        <v>586.3200000000001</v>
      </c>
      <c r="N450" s="3" t="n">
        <v>292.59</v>
      </c>
      <c r="O450">
        <f>TEXT(A450,"yyyy-mm")</f>
        <v/>
      </c>
    </row>
    <row r="451">
      <c r="A451" s="2" t="n">
        <v>45601</v>
      </c>
      <c r="B451" t="n">
        <v>2024</v>
      </c>
      <c r="C451" t="inlineStr">
        <is>
          <t>November</t>
        </is>
      </c>
      <c r="D451" t="inlineStr">
        <is>
          <t>Wireless Backpack</t>
        </is>
      </c>
      <c r="E451" t="inlineStr">
        <is>
          <t>Sports &amp; Outdoors</t>
        </is>
      </c>
      <c r="F451" t="inlineStr">
        <is>
          <t>Paul Zielinski</t>
        </is>
      </c>
      <c r="G451" t="inlineStr">
        <is>
          <t>Germany</t>
        </is>
      </c>
      <c r="H451" t="inlineStr">
        <is>
          <t>Web Store</t>
        </is>
      </c>
      <c r="I451" t="n">
        <v>4</v>
      </c>
      <c r="J451" s="3" t="n">
        <v>198.36</v>
      </c>
      <c r="K451" s="3" t="n">
        <v>0</v>
      </c>
      <c r="L451" s="3" t="n">
        <v>198.36</v>
      </c>
      <c r="M451" s="3" t="n">
        <v>112.4</v>
      </c>
      <c r="N451" s="3" t="n">
        <v>85.95999999999999</v>
      </c>
      <c r="O451">
        <f>TEXT(A451,"yyyy-mm")</f>
        <v/>
      </c>
    </row>
    <row r="452">
      <c r="A452" s="2" t="n">
        <v>45602</v>
      </c>
      <c r="B452" t="n">
        <v>2024</v>
      </c>
      <c r="C452" t="inlineStr">
        <is>
          <t>November</t>
        </is>
      </c>
      <c r="D452" t="inlineStr">
        <is>
          <t>Smart Tea Set</t>
        </is>
      </c>
      <c r="E452" t="inlineStr">
        <is>
          <t>Grocery</t>
        </is>
      </c>
      <c r="F452" t="inlineStr">
        <is>
          <t>David Johnson</t>
        </is>
      </c>
      <c r="G452" t="inlineStr">
        <is>
          <t>Spain</t>
        </is>
      </c>
      <c r="H452" t="inlineStr">
        <is>
          <t>Retail Store</t>
        </is>
      </c>
      <c r="I452" t="n">
        <v>3</v>
      </c>
      <c r="J452" s="3" t="n">
        <v>278.7</v>
      </c>
      <c r="K452" s="3" t="n">
        <v>41.81</v>
      </c>
      <c r="L452" s="3" t="n">
        <v>236.9</v>
      </c>
      <c r="M452" s="3" t="n">
        <v>185.4</v>
      </c>
      <c r="N452" s="3" t="n">
        <v>51.5</v>
      </c>
      <c r="O452">
        <f>TEXT(A452,"yyyy-mm")</f>
        <v/>
      </c>
    </row>
    <row r="453">
      <c r="A453" s="2" t="n">
        <v>45602</v>
      </c>
      <c r="B453" t="n">
        <v>2024</v>
      </c>
      <c r="C453" t="inlineStr">
        <is>
          <t>November</t>
        </is>
      </c>
      <c r="D453" t="inlineStr">
        <is>
          <t>Portable Toolset</t>
        </is>
      </c>
      <c r="E453" t="inlineStr">
        <is>
          <t>Home &amp; Garden</t>
        </is>
      </c>
      <c r="F453" t="inlineStr">
        <is>
          <t>David Johnson</t>
        </is>
      </c>
      <c r="G453" t="inlineStr">
        <is>
          <t>Spain</t>
        </is>
      </c>
      <c r="H453" t="inlineStr">
        <is>
          <t>Retail Store</t>
        </is>
      </c>
      <c r="I453" t="n">
        <v>1</v>
      </c>
      <c r="J453" s="3" t="n">
        <v>91.13</v>
      </c>
      <c r="K453" s="3" t="n">
        <v>4.56</v>
      </c>
      <c r="L453" s="3" t="n">
        <v>86.56999999999999</v>
      </c>
      <c r="M453" s="3" t="n">
        <v>50.54</v>
      </c>
      <c r="N453" s="3" t="n">
        <v>36.03</v>
      </c>
      <c r="O453">
        <f>TEXT(A453,"yyyy-mm")</f>
        <v/>
      </c>
    </row>
    <row r="454">
      <c r="A454" s="2" t="n">
        <v>45602</v>
      </c>
      <c r="B454" t="n">
        <v>2024</v>
      </c>
      <c r="C454" t="inlineStr">
        <is>
          <t>November</t>
        </is>
      </c>
      <c r="D454" t="inlineStr">
        <is>
          <t>Compact Sunscreen</t>
        </is>
      </c>
      <c r="E454" t="inlineStr">
        <is>
          <t>Beauty &amp; Health</t>
        </is>
      </c>
      <c r="F454" t="inlineStr">
        <is>
          <t>David Johnson</t>
        </is>
      </c>
      <c r="G454" t="inlineStr">
        <is>
          <t>Spain</t>
        </is>
      </c>
      <c r="H454" t="inlineStr">
        <is>
          <t>Retail Store</t>
        </is>
      </c>
      <c r="I454" t="n">
        <v>4</v>
      </c>
      <c r="J454" s="3" t="n">
        <v>1227.64</v>
      </c>
      <c r="K454" s="3" t="n">
        <v>0</v>
      </c>
      <c r="L454" s="3" t="n">
        <v>1227.64</v>
      </c>
      <c r="M454" s="3" t="n">
        <v>710.64</v>
      </c>
      <c r="N454" s="3" t="n">
        <v>517</v>
      </c>
      <c r="O454">
        <f>TEXT(A454,"yyyy-mm")</f>
        <v/>
      </c>
    </row>
    <row r="455">
      <c r="A455" s="2" t="n">
        <v>45603</v>
      </c>
      <c r="B455" t="n">
        <v>2024</v>
      </c>
      <c r="C455" t="inlineStr">
        <is>
          <t>November</t>
        </is>
      </c>
      <c r="D455" t="inlineStr">
        <is>
          <t>Deluxe Smartwatch</t>
        </is>
      </c>
      <c r="E455" t="inlineStr">
        <is>
          <t>Electronics</t>
        </is>
      </c>
      <c r="F455" t="inlineStr">
        <is>
          <t>Daniel Rossi</t>
        </is>
      </c>
      <c r="G455" t="inlineStr">
        <is>
          <t>Poland</t>
        </is>
      </c>
      <c r="H455" t="inlineStr">
        <is>
          <t>Retail Store</t>
        </is>
      </c>
      <c r="I455" t="n">
        <v>2</v>
      </c>
      <c r="J455" s="3" t="n">
        <v>315.84</v>
      </c>
      <c r="K455" s="3" t="n">
        <v>0</v>
      </c>
      <c r="L455" s="3" t="n">
        <v>315.84</v>
      </c>
      <c r="M455" s="3" t="n">
        <v>245.44</v>
      </c>
      <c r="N455" s="3" t="n">
        <v>70.40000000000001</v>
      </c>
      <c r="O455">
        <f>TEXT(A455,"yyyy-mm")</f>
        <v/>
      </c>
    </row>
    <row r="456">
      <c r="A456" s="2" t="n">
        <v>45603</v>
      </c>
      <c r="B456" t="n">
        <v>2024</v>
      </c>
      <c r="C456" t="inlineStr">
        <is>
          <t>November</t>
        </is>
      </c>
      <c r="D456" t="inlineStr">
        <is>
          <t>Compact Biography</t>
        </is>
      </c>
      <c r="E456" t="inlineStr">
        <is>
          <t>Books</t>
        </is>
      </c>
      <c r="F456" t="inlineStr">
        <is>
          <t>Daniel Rossi</t>
        </is>
      </c>
      <c r="G456" t="inlineStr">
        <is>
          <t>Poland</t>
        </is>
      </c>
      <c r="H456" t="inlineStr">
        <is>
          <t>Retail Store</t>
        </is>
      </c>
      <c r="I456" t="n">
        <v>5</v>
      </c>
      <c r="J456" s="3" t="n">
        <v>1302.15</v>
      </c>
      <c r="K456" s="3" t="n">
        <v>130.22</v>
      </c>
      <c r="L456" s="3" t="n">
        <v>1171.94</v>
      </c>
      <c r="M456" s="3" t="n">
        <v>701.65</v>
      </c>
      <c r="N456" s="3" t="n">
        <v>470.29</v>
      </c>
      <c r="O456">
        <f>TEXT(A456,"yyyy-mm")</f>
        <v/>
      </c>
    </row>
    <row r="457">
      <c r="A457" s="2" t="n">
        <v>45603</v>
      </c>
      <c r="B457" t="n">
        <v>2024</v>
      </c>
      <c r="C457" t="inlineStr">
        <is>
          <t>November</t>
        </is>
      </c>
      <c r="D457" t="inlineStr">
        <is>
          <t>Deluxe Scarf</t>
        </is>
      </c>
      <c r="E457" t="inlineStr">
        <is>
          <t>Clothing</t>
        </is>
      </c>
      <c r="F457" t="inlineStr">
        <is>
          <t>Daniel Rossi</t>
        </is>
      </c>
      <c r="G457" t="inlineStr">
        <is>
          <t>Poland</t>
        </is>
      </c>
      <c r="H457" t="inlineStr">
        <is>
          <t>Retail Store</t>
        </is>
      </c>
      <c r="I457" t="n">
        <v>1</v>
      </c>
      <c r="J457" s="3" t="n">
        <v>198.66</v>
      </c>
      <c r="K457" s="3" t="n">
        <v>29.8</v>
      </c>
      <c r="L457" s="3" t="n">
        <v>168.86</v>
      </c>
      <c r="M457" s="3" t="n">
        <v>108.52</v>
      </c>
      <c r="N457" s="3" t="n">
        <v>60.34</v>
      </c>
      <c r="O457">
        <f>TEXT(A457,"yyyy-mm")</f>
        <v/>
      </c>
    </row>
    <row r="458">
      <c r="A458" s="2" t="n">
        <v>45603</v>
      </c>
      <c r="B458" t="n">
        <v>2024</v>
      </c>
      <c r="C458" t="inlineStr">
        <is>
          <t>November</t>
        </is>
      </c>
      <c r="D458" t="inlineStr">
        <is>
          <t>Classic Tent</t>
        </is>
      </c>
      <c r="E458" t="inlineStr">
        <is>
          <t>Sports &amp; Outdoors</t>
        </is>
      </c>
      <c r="F458" t="inlineStr">
        <is>
          <t>Daniel Rossi</t>
        </is>
      </c>
      <c r="G458" t="inlineStr">
        <is>
          <t>Poland</t>
        </is>
      </c>
      <c r="H458" t="inlineStr">
        <is>
          <t>Retail Store</t>
        </is>
      </c>
      <c r="I458" t="n">
        <v>1</v>
      </c>
      <c r="J458" s="3" t="n">
        <v>201.72</v>
      </c>
      <c r="K458" s="3" t="n">
        <v>30.26</v>
      </c>
      <c r="L458" s="3" t="n">
        <v>171.46</v>
      </c>
      <c r="M458" s="3" t="n">
        <v>118.02</v>
      </c>
      <c r="N458" s="3" t="n">
        <v>53.44</v>
      </c>
      <c r="O458">
        <f>TEXT(A458,"yyyy-mm")</f>
        <v/>
      </c>
    </row>
    <row r="459">
      <c r="A459" s="2" t="n">
        <v>45605</v>
      </c>
      <c r="B459" t="n">
        <v>2024</v>
      </c>
      <c r="C459" t="inlineStr">
        <is>
          <t>November</t>
        </is>
      </c>
      <c r="D459" t="inlineStr">
        <is>
          <t>Eco Tent</t>
        </is>
      </c>
      <c r="E459" t="inlineStr">
        <is>
          <t>Sports &amp; Outdoors</t>
        </is>
      </c>
      <c r="F459" t="inlineStr">
        <is>
          <t>Clara Nowak</t>
        </is>
      </c>
      <c r="G459" t="inlineStr">
        <is>
          <t>Italy</t>
        </is>
      </c>
      <c r="H459" t="inlineStr">
        <is>
          <t>Marketplace</t>
        </is>
      </c>
      <c r="I459" t="n">
        <v>5</v>
      </c>
      <c r="J459" s="3" t="n">
        <v>1229.1</v>
      </c>
      <c r="K459" s="3" t="n">
        <v>0</v>
      </c>
      <c r="L459" s="3" t="n">
        <v>1229.1</v>
      </c>
      <c r="M459" s="3" t="n">
        <v>675.15</v>
      </c>
      <c r="N459" s="3" t="n">
        <v>553.95</v>
      </c>
      <c r="O459">
        <f>TEXT(A459,"yyyy-mm")</f>
        <v/>
      </c>
    </row>
    <row r="460">
      <c r="A460" s="2" t="n">
        <v>45605</v>
      </c>
      <c r="B460" t="n">
        <v>2024</v>
      </c>
      <c r="C460" t="inlineStr">
        <is>
          <t>November</t>
        </is>
      </c>
      <c r="D460" t="inlineStr">
        <is>
          <t>Ultra Rug</t>
        </is>
      </c>
      <c r="E460" t="inlineStr">
        <is>
          <t>Home &amp; Garden</t>
        </is>
      </c>
      <c r="F460" t="inlineStr">
        <is>
          <t>David Garcia</t>
        </is>
      </c>
      <c r="G460" t="inlineStr">
        <is>
          <t>United Kingdom</t>
        </is>
      </c>
      <c r="H460" t="inlineStr">
        <is>
          <t>Retail Store</t>
        </is>
      </c>
      <c r="I460" t="n">
        <v>3</v>
      </c>
      <c r="J460" s="3" t="n">
        <v>156.96</v>
      </c>
      <c r="K460" s="3" t="n">
        <v>0</v>
      </c>
      <c r="L460" s="3" t="n">
        <v>156.96</v>
      </c>
      <c r="M460" s="3" t="n">
        <v>98.73</v>
      </c>
      <c r="N460" s="3" t="n">
        <v>58.23</v>
      </c>
      <c r="O460">
        <f>TEXT(A460,"yyyy-mm")</f>
        <v/>
      </c>
    </row>
    <row r="461">
      <c r="A461" s="2" t="n">
        <v>45605</v>
      </c>
      <c r="B461" t="n">
        <v>2024</v>
      </c>
      <c r="C461" t="inlineStr">
        <is>
          <t>November</t>
        </is>
      </c>
      <c r="D461" t="inlineStr">
        <is>
          <t>Deluxe Headphones</t>
        </is>
      </c>
      <c r="E461" t="inlineStr">
        <is>
          <t>Electronics</t>
        </is>
      </c>
      <c r="F461" t="inlineStr">
        <is>
          <t>David Garcia</t>
        </is>
      </c>
      <c r="G461" t="inlineStr">
        <is>
          <t>United Kingdom</t>
        </is>
      </c>
      <c r="H461" t="inlineStr">
        <is>
          <t>Retail Store</t>
        </is>
      </c>
      <c r="I461" t="n">
        <v>2</v>
      </c>
      <c r="J461" s="3" t="n">
        <v>144.24</v>
      </c>
      <c r="K461" s="3" t="n">
        <v>7.21</v>
      </c>
      <c r="L461" s="3" t="n">
        <v>137.03</v>
      </c>
      <c r="M461" s="3" t="n">
        <v>105</v>
      </c>
      <c r="N461" s="3" t="n">
        <v>32.03</v>
      </c>
      <c r="O461">
        <f>TEXT(A461,"yyyy-mm")</f>
        <v/>
      </c>
    </row>
    <row r="462">
      <c r="A462" s="2" t="n">
        <v>45605</v>
      </c>
      <c r="B462" t="n">
        <v>2024</v>
      </c>
      <c r="C462" t="inlineStr">
        <is>
          <t>November</t>
        </is>
      </c>
      <c r="D462" t="inlineStr">
        <is>
          <t>Classic Tea Set</t>
        </is>
      </c>
      <c r="E462" t="inlineStr">
        <is>
          <t>Grocery</t>
        </is>
      </c>
      <c r="F462" t="inlineStr">
        <is>
          <t>David Garcia</t>
        </is>
      </c>
      <c r="G462" t="inlineStr">
        <is>
          <t>United Kingdom</t>
        </is>
      </c>
      <c r="H462" t="inlineStr">
        <is>
          <t>Retail Store</t>
        </is>
      </c>
      <c r="I462" t="n">
        <v>4</v>
      </c>
      <c r="J462" s="3" t="n">
        <v>748.08</v>
      </c>
      <c r="K462" s="3" t="n">
        <v>0</v>
      </c>
      <c r="L462" s="3" t="n">
        <v>748.08</v>
      </c>
      <c r="M462" s="3" t="n">
        <v>501.6</v>
      </c>
      <c r="N462" s="3" t="n">
        <v>246.48</v>
      </c>
      <c r="O462">
        <f>TEXT(A462,"yyyy-mm")</f>
        <v/>
      </c>
    </row>
    <row r="463">
      <c r="A463" s="2" t="n">
        <v>45606</v>
      </c>
      <c r="B463" t="n">
        <v>2024</v>
      </c>
      <c r="C463" t="inlineStr">
        <is>
          <t>November</t>
        </is>
      </c>
      <c r="D463" t="inlineStr">
        <is>
          <t>Deluxe Cookbook</t>
        </is>
      </c>
      <c r="E463" t="inlineStr">
        <is>
          <t>Books</t>
        </is>
      </c>
      <c r="F463" t="inlineStr">
        <is>
          <t>Thomas Lopez</t>
        </is>
      </c>
      <c r="G463" t="inlineStr">
        <is>
          <t>United States</t>
        </is>
      </c>
      <c r="H463" t="inlineStr">
        <is>
          <t>Retail Store</t>
        </is>
      </c>
      <c r="I463" t="n">
        <v>5</v>
      </c>
      <c r="J463" s="3" t="n">
        <v>658.1</v>
      </c>
      <c r="K463" s="3" t="n">
        <v>98.72</v>
      </c>
      <c r="L463" s="3" t="n">
        <v>559.38</v>
      </c>
      <c r="M463" s="3" t="n">
        <v>426.35</v>
      </c>
      <c r="N463" s="3" t="n">
        <v>133.04</v>
      </c>
      <c r="O463">
        <f>TEXT(A463,"yyyy-mm")</f>
        <v/>
      </c>
    </row>
    <row r="464">
      <c r="A464" s="2" t="n">
        <v>45606</v>
      </c>
      <c r="B464" t="n">
        <v>2024</v>
      </c>
      <c r="C464" t="inlineStr">
        <is>
          <t>November</t>
        </is>
      </c>
      <c r="D464" t="inlineStr">
        <is>
          <t>Portable Bike Helmet</t>
        </is>
      </c>
      <c r="E464" t="inlineStr">
        <is>
          <t>Sports &amp; Outdoors</t>
        </is>
      </c>
      <c r="F464" t="inlineStr">
        <is>
          <t>Robert Brown</t>
        </is>
      </c>
      <c r="G464" t="inlineStr">
        <is>
          <t>United Kingdom</t>
        </is>
      </c>
      <c r="H464" t="inlineStr">
        <is>
          <t>Retail Store</t>
        </is>
      </c>
      <c r="I464" t="n">
        <v>3</v>
      </c>
      <c r="J464" s="3" t="n">
        <v>898.62</v>
      </c>
      <c r="K464" s="3" t="n">
        <v>44.93</v>
      </c>
      <c r="L464" s="3" t="n">
        <v>853.6900000000001</v>
      </c>
      <c r="M464" s="3" t="n">
        <v>496.11</v>
      </c>
      <c r="N464" s="3" t="n">
        <v>357.58</v>
      </c>
      <c r="O464">
        <f>TEXT(A464,"yyyy-mm")</f>
        <v/>
      </c>
    </row>
    <row r="465">
      <c r="A465" s="2" t="n">
        <v>45606</v>
      </c>
      <c r="B465" t="n">
        <v>2024</v>
      </c>
      <c r="C465" t="inlineStr">
        <is>
          <t>November</t>
        </is>
      </c>
      <c r="D465" t="inlineStr">
        <is>
          <t>Essential Vitamins</t>
        </is>
      </c>
      <c r="E465" t="inlineStr">
        <is>
          <t>Beauty &amp; Health</t>
        </is>
      </c>
      <c r="F465" t="inlineStr">
        <is>
          <t>Thomas Lopez</t>
        </is>
      </c>
      <c r="G465" t="inlineStr">
        <is>
          <t>United States</t>
        </is>
      </c>
      <c r="H465" t="inlineStr">
        <is>
          <t>Retail Store</t>
        </is>
      </c>
      <c r="I465" t="n">
        <v>2</v>
      </c>
      <c r="J465" s="3" t="n">
        <v>330.66</v>
      </c>
      <c r="K465" s="3" t="n">
        <v>0</v>
      </c>
      <c r="L465" s="3" t="n">
        <v>330.66</v>
      </c>
      <c r="M465" s="3" t="n">
        <v>220.6</v>
      </c>
      <c r="N465" s="3" t="n">
        <v>110.06</v>
      </c>
      <c r="O465">
        <f>TEXT(A465,"yyyy-mm")</f>
        <v/>
      </c>
    </row>
    <row r="466">
      <c r="A466" s="2" t="n">
        <v>45606</v>
      </c>
      <c r="B466" t="n">
        <v>2024</v>
      </c>
      <c r="C466" t="inlineStr">
        <is>
          <t>November</t>
        </is>
      </c>
      <c r="D466" t="inlineStr">
        <is>
          <t>Eco Backpack</t>
        </is>
      </c>
      <c r="E466" t="inlineStr">
        <is>
          <t>Sports &amp; Outdoors</t>
        </is>
      </c>
      <c r="F466" t="inlineStr">
        <is>
          <t>Robert Brown</t>
        </is>
      </c>
      <c r="G466" t="inlineStr">
        <is>
          <t>United Kingdom</t>
        </is>
      </c>
      <c r="H466" t="inlineStr">
        <is>
          <t>Retail Store</t>
        </is>
      </c>
      <c r="I466" t="n">
        <v>4</v>
      </c>
      <c r="J466" s="3" t="n">
        <v>1106.64</v>
      </c>
      <c r="K466" s="3" t="n">
        <v>221.33</v>
      </c>
      <c r="L466" s="3" t="n">
        <v>885.3099999999999</v>
      </c>
      <c r="M466" s="3" t="n">
        <v>586.3200000000001</v>
      </c>
      <c r="N466" s="3" t="n">
        <v>298.99</v>
      </c>
      <c r="O466">
        <f>TEXT(A466,"yyyy-mm")</f>
        <v/>
      </c>
    </row>
    <row r="467">
      <c r="A467" s="2" t="n">
        <v>45606</v>
      </c>
      <c r="B467" t="n">
        <v>2024</v>
      </c>
      <c r="C467" t="inlineStr">
        <is>
          <t>November</t>
        </is>
      </c>
      <c r="D467" t="inlineStr">
        <is>
          <t>Essential Cushion</t>
        </is>
      </c>
      <c r="E467" t="inlineStr">
        <is>
          <t>Home &amp; Garden</t>
        </is>
      </c>
      <c r="F467" t="inlineStr">
        <is>
          <t>Robert Brown</t>
        </is>
      </c>
      <c r="G467" t="inlineStr">
        <is>
          <t>United Kingdom</t>
        </is>
      </c>
      <c r="H467" t="inlineStr">
        <is>
          <t>Retail Store</t>
        </is>
      </c>
      <c r="I467" t="n">
        <v>4</v>
      </c>
      <c r="J467" s="3" t="n">
        <v>188.16</v>
      </c>
      <c r="K467" s="3" t="n">
        <v>18.82</v>
      </c>
      <c r="L467" s="3" t="n">
        <v>169.34</v>
      </c>
      <c r="M467" s="3" t="n">
        <v>122.2</v>
      </c>
      <c r="N467" s="3" t="n">
        <v>47.14</v>
      </c>
      <c r="O467">
        <f>TEXT(A467,"yyyy-mm")</f>
        <v/>
      </c>
    </row>
    <row r="468">
      <c r="A468" s="2" t="n">
        <v>45607</v>
      </c>
      <c r="B468" t="n">
        <v>2024</v>
      </c>
      <c r="C468" t="inlineStr">
        <is>
          <t>November</t>
        </is>
      </c>
      <c r="D468" t="inlineStr">
        <is>
          <t>Eco Backpack</t>
        </is>
      </c>
      <c r="E468" t="inlineStr">
        <is>
          <t>Sports &amp; Outdoors</t>
        </is>
      </c>
      <c r="F468" t="inlineStr">
        <is>
          <t>Nina Schmidt</t>
        </is>
      </c>
      <c r="G468" t="inlineStr">
        <is>
          <t>Italy</t>
        </is>
      </c>
      <c r="H468" t="inlineStr">
        <is>
          <t>Retail Store</t>
        </is>
      </c>
      <c r="I468" t="n">
        <v>5</v>
      </c>
      <c r="J468" s="3" t="n">
        <v>1312.2</v>
      </c>
      <c r="K468" s="3" t="n">
        <v>65.61</v>
      </c>
      <c r="L468" s="3" t="n">
        <v>1246.59</v>
      </c>
      <c r="M468" s="3" t="n">
        <v>732.9</v>
      </c>
      <c r="N468" s="3" t="n">
        <v>513.6900000000001</v>
      </c>
      <c r="O468">
        <f>TEXT(A468,"yyyy-mm")</f>
        <v/>
      </c>
    </row>
    <row r="469">
      <c r="A469" s="2" t="n">
        <v>45607</v>
      </c>
      <c r="B469" t="n">
        <v>2024</v>
      </c>
      <c r="C469" t="inlineStr">
        <is>
          <t>November</t>
        </is>
      </c>
      <c r="D469" t="inlineStr">
        <is>
          <t>Wireless Drone</t>
        </is>
      </c>
      <c r="E469" t="inlineStr">
        <is>
          <t>Toys &amp; Games</t>
        </is>
      </c>
      <c r="F469" t="inlineStr">
        <is>
          <t>Nina Schmidt</t>
        </is>
      </c>
      <c r="G469" t="inlineStr">
        <is>
          <t>Italy</t>
        </is>
      </c>
      <c r="H469" t="inlineStr">
        <is>
          <t>Retail Store</t>
        </is>
      </c>
      <c r="I469" t="n">
        <v>1</v>
      </c>
      <c r="J469" s="3" t="n">
        <v>230.59</v>
      </c>
      <c r="K469" s="3" t="n">
        <v>0</v>
      </c>
      <c r="L469" s="3" t="n">
        <v>230.59</v>
      </c>
      <c r="M469" s="3" t="n">
        <v>131.29</v>
      </c>
      <c r="N469" s="3" t="n">
        <v>99.3</v>
      </c>
      <c r="O469">
        <f>TEXT(A469,"yyyy-mm")</f>
        <v/>
      </c>
    </row>
    <row r="470">
      <c r="A470" s="2" t="n">
        <v>45607</v>
      </c>
      <c r="B470" t="n">
        <v>2024</v>
      </c>
      <c r="C470" t="inlineStr">
        <is>
          <t>November</t>
        </is>
      </c>
      <c r="D470" t="inlineStr">
        <is>
          <t>Portable Notebook</t>
        </is>
      </c>
      <c r="E470" t="inlineStr">
        <is>
          <t>Books</t>
        </is>
      </c>
      <c r="F470" t="inlineStr">
        <is>
          <t>Nina Schmidt</t>
        </is>
      </c>
      <c r="G470" t="inlineStr">
        <is>
          <t>Italy</t>
        </is>
      </c>
      <c r="H470" t="inlineStr">
        <is>
          <t>Retail Store</t>
        </is>
      </c>
      <c r="I470" t="n">
        <v>3</v>
      </c>
      <c r="J470" s="3" t="n">
        <v>371.16</v>
      </c>
      <c r="K470" s="3" t="n">
        <v>18.56</v>
      </c>
      <c r="L470" s="3" t="n">
        <v>352.6</v>
      </c>
      <c r="M470" s="3" t="n">
        <v>213.84</v>
      </c>
      <c r="N470" s="3" t="n">
        <v>138.76</v>
      </c>
      <c r="O470">
        <f>TEXT(A470,"yyyy-mm")</f>
        <v/>
      </c>
    </row>
    <row r="471">
      <c r="A471" s="2" t="n">
        <v>45607</v>
      </c>
      <c r="B471" t="n">
        <v>2024</v>
      </c>
      <c r="C471" t="inlineStr">
        <is>
          <t>November</t>
        </is>
      </c>
      <c r="D471" t="inlineStr">
        <is>
          <t>Deluxe Cookbook</t>
        </is>
      </c>
      <c r="E471" t="inlineStr">
        <is>
          <t>Books</t>
        </is>
      </c>
      <c r="F471" t="inlineStr">
        <is>
          <t>Nina Bianchi</t>
        </is>
      </c>
      <c r="G471" t="inlineStr">
        <is>
          <t>Italy</t>
        </is>
      </c>
      <c r="H471" t="inlineStr">
        <is>
          <t>Web Store</t>
        </is>
      </c>
      <c r="I471" t="n">
        <v>5</v>
      </c>
      <c r="J471" s="3" t="n">
        <v>649.2</v>
      </c>
      <c r="K471" s="3" t="n">
        <v>32.46</v>
      </c>
      <c r="L471" s="3" t="n">
        <v>616.74</v>
      </c>
      <c r="M471" s="3" t="n">
        <v>426.35</v>
      </c>
      <c r="N471" s="3" t="n">
        <v>190.39</v>
      </c>
      <c r="O471">
        <f>TEXT(A471,"yyyy-mm")</f>
        <v/>
      </c>
    </row>
    <row r="472">
      <c r="A472" s="2" t="n">
        <v>45607</v>
      </c>
      <c r="B472" t="n">
        <v>2024</v>
      </c>
      <c r="C472" t="inlineStr">
        <is>
          <t>November</t>
        </is>
      </c>
      <c r="D472" t="inlineStr">
        <is>
          <t>Wireless Coffee Beans</t>
        </is>
      </c>
      <c r="E472" t="inlineStr">
        <is>
          <t>Grocery</t>
        </is>
      </c>
      <c r="F472" t="inlineStr">
        <is>
          <t>Nina Bianchi</t>
        </is>
      </c>
      <c r="G472" t="inlineStr">
        <is>
          <t>Italy</t>
        </is>
      </c>
      <c r="H472" t="inlineStr">
        <is>
          <t>Web Store</t>
        </is>
      </c>
      <c r="I472" t="n">
        <v>3</v>
      </c>
      <c r="J472" s="3" t="n">
        <v>363.03</v>
      </c>
      <c r="K472" s="3" t="n">
        <v>54.45</v>
      </c>
      <c r="L472" s="3" t="n">
        <v>308.58</v>
      </c>
      <c r="M472" s="3" t="n">
        <v>238.11</v>
      </c>
      <c r="N472" s="3" t="n">
        <v>70.47</v>
      </c>
      <c r="O472">
        <f>TEXT(A472,"yyyy-mm")</f>
        <v/>
      </c>
    </row>
    <row r="473">
      <c r="A473" s="2" t="n">
        <v>45607</v>
      </c>
      <c r="B473" t="n">
        <v>2024</v>
      </c>
      <c r="C473" t="inlineStr">
        <is>
          <t>November</t>
        </is>
      </c>
      <c r="D473" t="inlineStr">
        <is>
          <t>Premium Tent</t>
        </is>
      </c>
      <c r="E473" t="inlineStr">
        <is>
          <t>Sports &amp; Outdoors</t>
        </is>
      </c>
      <c r="F473" t="inlineStr">
        <is>
          <t>Nina Bianchi</t>
        </is>
      </c>
      <c r="G473" t="inlineStr">
        <is>
          <t>Italy</t>
        </is>
      </c>
      <c r="H473" t="inlineStr">
        <is>
          <t>Web Store</t>
        </is>
      </c>
      <c r="I473" t="n">
        <v>2</v>
      </c>
      <c r="J473" s="3" t="n">
        <v>517.92</v>
      </c>
      <c r="K473" s="3" t="n">
        <v>103.58</v>
      </c>
      <c r="L473" s="3" t="n">
        <v>414.34</v>
      </c>
      <c r="M473" s="3" t="n">
        <v>330.62</v>
      </c>
      <c r="N473" s="3" t="n">
        <v>83.72</v>
      </c>
      <c r="O473">
        <f>TEXT(A473,"yyyy-mm")</f>
        <v/>
      </c>
    </row>
    <row r="474">
      <c r="A474" s="2" t="n">
        <v>45607</v>
      </c>
      <c r="B474" t="n">
        <v>2024</v>
      </c>
      <c r="C474" t="inlineStr">
        <is>
          <t>November</t>
        </is>
      </c>
      <c r="D474" t="inlineStr">
        <is>
          <t>Wireless Backpack</t>
        </is>
      </c>
      <c r="E474" t="inlineStr">
        <is>
          <t>Sports &amp; Outdoors</t>
        </is>
      </c>
      <c r="F474" t="inlineStr">
        <is>
          <t>Nina Bianchi</t>
        </is>
      </c>
      <c r="G474" t="inlineStr">
        <is>
          <t>Italy</t>
        </is>
      </c>
      <c r="H474" t="inlineStr">
        <is>
          <t>Web Store</t>
        </is>
      </c>
      <c r="I474" t="n">
        <v>4</v>
      </c>
      <c r="J474" s="3" t="n">
        <v>205.76</v>
      </c>
      <c r="K474" s="3" t="n">
        <v>20.58</v>
      </c>
      <c r="L474" s="3" t="n">
        <v>185.18</v>
      </c>
      <c r="M474" s="3" t="n">
        <v>112.4</v>
      </c>
      <c r="N474" s="3" t="n">
        <v>72.78</v>
      </c>
      <c r="O474">
        <f>TEXT(A474,"yyyy-mm")</f>
        <v/>
      </c>
    </row>
    <row r="475">
      <c r="A475" s="2" t="n">
        <v>45608</v>
      </c>
      <c r="B475" t="n">
        <v>2024</v>
      </c>
      <c r="C475" t="inlineStr">
        <is>
          <t>November</t>
        </is>
      </c>
      <c r="D475" t="inlineStr">
        <is>
          <t>Smart Cookbook</t>
        </is>
      </c>
      <c r="E475" t="inlineStr">
        <is>
          <t>Books</t>
        </is>
      </c>
      <c r="F475" t="inlineStr">
        <is>
          <t>Peter Muller</t>
        </is>
      </c>
      <c r="G475" t="inlineStr">
        <is>
          <t>Italy</t>
        </is>
      </c>
      <c r="H475" t="inlineStr">
        <is>
          <t>Web Store</t>
        </is>
      </c>
      <c r="I475" t="n">
        <v>2</v>
      </c>
      <c r="J475" s="3" t="n">
        <v>35</v>
      </c>
      <c r="K475" s="3" t="n">
        <v>0</v>
      </c>
      <c r="L475" s="3" t="n">
        <v>35</v>
      </c>
      <c r="M475" s="3" t="n">
        <v>19.76</v>
      </c>
      <c r="N475" s="3" t="n">
        <v>15.24</v>
      </c>
      <c r="O475">
        <f>TEXT(A475,"yyyy-mm")</f>
        <v/>
      </c>
    </row>
    <row r="476">
      <c r="A476" s="2" t="n">
        <v>45608</v>
      </c>
      <c r="B476" t="n">
        <v>2024</v>
      </c>
      <c r="C476" t="inlineStr">
        <is>
          <t>November</t>
        </is>
      </c>
      <c r="D476" t="inlineStr">
        <is>
          <t>Wireless Coffee Beans</t>
        </is>
      </c>
      <c r="E476" t="inlineStr">
        <is>
          <t>Grocery</t>
        </is>
      </c>
      <c r="F476" t="inlineStr">
        <is>
          <t>Peter Muller</t>
        </is>
      </c>
      <c r="G476" t="inlineStr">
        <is>
          <t>Italy</t>
        </is>
      </c>
      <c r="H476" t="inlineStr">
        <is>
          <t>Web Store</t>
        </is>
      </c>
      <c r="I476" t="n">
        <v>2</v>
      </c>
      <c r="J476" s="3" t="n">
        <v>233.3</v>
      </c>
      <c r="K476" s="3" t="n">
        <v>0</v>
      </c>
      <c r="L476" s="3" t="n">
        <v>233.3</v>
      </c>
      <c r="M476" s="3" t="n">
        <v>158.74</v>
      </c>
      <c r="N476" s="3" t="n">
        <v>74.56</v>
      </c>
      <c r="O476">
        <f>TEXT(A476,"yyyy-mm")</f>
        <v/>
      </c>
    </row>
    <row r="477">
      <c r="A477" s="2" t="n">
        <v>45608</v>
      </c>
      <c r="B477" t="n">
        <v>2024</v>
      </c>
      <c r="C477" t="inlineStr">
        <is>
          <t>November</t>
        </is>
      </c>
      <c r="D477" t="inlineStr">
        <is>
          <t>Smart Charger</t>
        </is>
      </c>
      <c r="E477" t="inlineStr">
        <is>
          <t>Electronics</t>
        </is>
      </c>
      <c r="F477" t="inlineStr">
        <is>
          <t>Peter Muller</t>
        </is>
      </c>
      <c r="G477" t="inlineStr">
        <is>
          <t>Italy</t>
        </is>
      </c>
      <c r="H477" t="inlineStr">
        <is>
          <t>Web Store</t>
        </is>
      </c>
      <c r="I477" t="n">
        <v>5</v>
      </c>
      <c r="J477" s="3" t="n">
        <v>1330.4</v>
      </c>
      <c r="K477" s="3" t="n">
        <v>66.52</v>
      </c>
      <c r="L477" s="3" t="n">
        <v>1263.88</v>
      </c>
      <c r="M477" s="3" t="n">
        <v>712.6</v>
      </c>
      <c r="N477" s="3" t="n">
        <v>551.28</v>
      </c>
      <c r="O477">
        <f>TEXT(A477,"yyyy-mm")</f>
        <v/>
      </c>
    </row>
    <row r="478">
      <c r="A478" s="2" t="n">
        <v>45608</v>
      </c>
      <c r="B478" t="n">
        <v>2024</v>
      </c>
      <c r="C478" t="inlineStr">
        <is>
          <t>November</t>
        </is>
      </c>
      <c r="D478" t="inlineStr">
        <is>
          <t>Ultra Backpack</t>
        </is>
      </c>
      <c r="E478" t="inlineStr">
        <is>
          <t>Sports &amp; Outdoors</t>
        </is>
      </c>
      <c r="F478" t="inlineStr">
        <is>
          <t>Peter Muller</t>
        </is>
      </c>
      <c r="G478" t="inlineStr">
        <is>
          <t>Italy</t>
        </is>
      </c>
      <c r="H478" t="inlineStr">
        <is>
          <t>Web Store</t>
        </is>
      </c>
      <c r="I478" t="n">
        <v>5</v>
      </c>
      <c r="J478" s="3" t="n">
        <v>1582.8</v>
      </c>
      <c r="K478" s="3" t="n">
        <v>0</v>
      </c>
      <c r="L478" s="3" t="n">
        <v>1582.8</v>
      </c>
      <c r="M478" s="3" t="n">
        <v>868.45</v>
      </c>
      <c r="N478" s="3" t="n">
        <v>714.35</v>
      </c>
      <c r="O478">
        <f>TEXT(A478,"yyyy-mm")</f>
        <v/>
      </c>
    </row>
    <row r="479">
      <c r="A479" s="2" t="n">
        <v>45609</v>
      </c>
      <c r="B479" t="n">
        <v>2024</v>
      </c>
      <c r="C479" t="inlineStr">
        <is>
          <t>November</t>
        </is>
      </c>
      <c r="D479" t="inlineStr">
        <is>
          <t>Deluxe Headphones</t>
        </is>
      </c>
      <c r="E479" t="inlineStr">
        <is>
          <t>Electronics</t>
        </is>
      </c>
      <c r="F479" t="inlineStr">
        <is>
          <t>Anna Martin</t>
        </is>
      </c>
      <c r="G479" t="inlineStr">
        <is>
          <t>France</t>
        </is>
      </c>
      <c r="H479" t="inlineStr">
        <is>
          <t>Mobile App</t>
        </is>
      </c>
      <c r="I479" t="n">
        <v>4</v>
      </c>
      <c r="J479" s="3" t="n">
        <v>275.92</v>
      </c>
      <c r="K479" s="3" t="n">
        <v>0</v>
      </c>
      <c r="L479" s="3" t="n">
        <v>275.92</v>
      </c>
      <c r="M479" s="3" t="n">
        <v>210</v>
      </c>
      <c r="N479" s="3" t="n">
        <v>65.92</v>
      </c>
      <c r="O479">
        <f>TEXT(A479,"yyyy-mm")</f>
        <v/>
      </c>
    </row>
    <row r="480">
      <c r="A480" s="2" t="n">
        <v>45609</v>
      </c>
      <c r="B480" t="n">
        <v>2024</v>
      </c>
      <c r="C480" t="inlineStr">
        <is>
          <t>November</t>
        </is>
      </c>
      <c r="D480" t="inlineStr">
        <is>
          <t>Premium Water Bottle</t>
        </is>
      </c>
      <c r="E480" t="inlineStr">
        <is>
          <t>Sports &amp; Outdoors</t>
        </is>
      </c>
      <c r="F480" t="inlineStr">
        <is>
          <t>Anna Martin</t>
        </is>
      </c>
      <c r="G480" t="inlineStr">
        <is>
          <t>France</t>
        </is>
      </c>
      <c r="H480" t="inlineStr">
        <is>
          <t>Mobile App</t>
        </is>
      </c>
      <c r="I480" t="n">
        <v>4</v>
      </c>
      <c r="J480" s="3" t="n">
        <v>506.84</v>
      </c>
      <c r="K480" s="3" t="n">
        <v>0</v>
      </c>
      <c r="L480" s="3" t="n">
        <v>506.84</v>
      </c>
      <c r="M480" s="3" t="n">
        <v>358.48</v>
      </c>
      <c r="N480" s="3" t="n">
        <v>148.36</v>
      </c>
      <c r="O480">
        <f>TEXT(A480,"yyyy-mm")</f>
        <v/>
      </c>
    </row>
    <row r="481">
      <c r="A481" s="2" t="n">
        <v>45609</v>
      </c>
      <c r="B481" t="n">
        <v>2024</v>
      </c>
      <c r="C481" t="inlineStr">
        <is>
          <t>November</t>
        </is>
      </c>
      <c r="D481" t="inlineStr">
        <is>
          <t>Portable Pasta</t>
        </is>
      </c>
      <c r="E481" t="inlineStr">
        <is>
          <t>Grocery</t>
        </is>
      </c>
      <c r="F481" t="inlineStr">
        <is>
          <t>Anna Martin</t>
        </is>
      </c>
      <c r="G481" t="inlineStr">
        <is>
          <t>France</t>
        </is>
      </c>
      <c r="H481" t="inlineStr">
        <is>
          <t>Mobile App</t>
        </is>
      </c>
      <c r="I481" t="n">
        <v>1</v>
      </c>
      <c r="J481" s="3" t="n">
        <v>36.4</v>
      </c>
      <c r="K481" s="3" t="n">
        <v>0</v>
      </c>
      <c r="L481" s="3" t="n">
        <v>36.4</v>
      </c>
      <c r="M481" s="3" t="n">
        <v>27.75</v>
      </c>
      <c r="N481" s="3" t="n">
        <v>8.65</v>
      </c>
      <c r="O481">
        <f>TEXT(A481,"yyyy-mm")</f>
        <v/>
      </c>
    </row>
    <row r="482">
      <c r="A482" s="2" t="n">
        <v>45609</v>
      </c>
      <c r="B482" t="n">
        <v>2024</v>
      </c>
      <c r="C482" t="inlineStr">
        <is>
          <t>November</t>
        </is>
      </c>
      <c r="D482" t="inlineStr">
        <is>
          <t>Portable Puzzle</t>
        </is>
      </c>
      <c r="E482" t="inlineStr">
        <is>
          <t>Toys &amp; Games</t>
        </is>
      </c>
      <c r="F482" t="inlineStr">
        <is>
          <t>Sophie Conti</t>
        </is>
      </c>
      <c r="G482" t="inlineStr">
        <is>
          <t>Netherlands</t>
        </is>
      </c>
      <c r="H482" t="inlineStr">
        <is>
          <t>Web Store</t>
        </is>
      </c>
      <c r="I482" t="n">
        <v>4</v>
      </c>
      <c r="J482" s="3" t="n">
        <v>462.16</v>
      </c>
      <c r="K482" s="3" t="n">
        <v>0</v>
      </c>
      <c r="L482" s="3" t="n">
        <v>462.16</v>
      </c>
      <c r="M482" s="3" t="n">
        <v>235.2</v>
      </c>
      <c r="N482" s="3" t="n">
        <v>226.96</v>
      </c>
      <c r="O482">
        <f>TEXT(A482,"yyyy-mm")</f>
        <v/>
      </c>
    </row>
    <row r="483">
      <c r="A483" s="2" t="n">
        <v>45609</v>
      </c>
      <c r="B483" t="n">
        <v>2024</v>
      </c>
      <c r="C483" t="inlineStr">
        <is>
          <t>November</t>
        </is>
      </c>
      <c r="D483" t="inlineStr">
        <is>
          <t>Deluxe Headphones</t>
        </is>
      </c>
      <c r="E483" t="inlineStr">
        <is>
          <t>Electronics</t>
        </is>
      </c>
      <c r="F483" t="inlineStr">
        <is>
          <t>Sophie Conti</t>
        </is>
      </c>
      <c r="G483" t="inlineStr">
        <is>
          <t>Netherlands</t>
        </is>
      </c>
      <c r="H483" t="inlineStr">
        <is>
          <t>Web Store</t>
        </is>
      </c>
      <c r="I483" t="n">
        <v>1</v>
      </c>
      <c r="J483" s="3" t="n">
        <v>69.36</v>
      </c>
      <c r="K483" s="3" t="n">
        <v>3.47</v>
      </c>
      <c r="L483" s="3" t="n">
        <v>65.89</v>
      </c>
      <c r="M483" s="3" t="n">
        <v>52.5</v>
      </c>
      <c r="N483" s="3" t="n">
        <v>13.39</v>
      </c>
      <c r="O483">
        <f>TEXT(A483,"yyyy-mm")</f>
        <v/>
      </c>
    </row>
    <row r="484">
      <c r="A484" s="2" t="n">
        <v>45609</v>
      </c>
      <c r="B484" t="n">
        <v>2024</v>
      </c>
      <c r="C484" t="inlineStr">
        <is>
          <t>November</t>
        </is>
      </c>
      <c r="D484" t="inlineStr">
        <is>
          <t>Premium Rug</t>
        </is>
      </c>
      <c r="E484" t="inlineStr">
        <is>
          <t>Home &amp; Garden</t>
        </is>
      </c>
      <c r="F484" t="inlineStr">
        <is>
          <t>Sophie Conti</t>
        </is>
      </c>
      <c r="G484" t="inlineStr">
        <is>
          <t>Netherlands</t>
        </is>
      </c>
      <c r="H484" t="inlineStr">
        <is>
          <t>Web Store</t>
        </is>
      </c>
      <c r="I484" t="n">
        <v>5</v>
      </c>
      <c r="J484" s="3" t="n">
        <v>912.95</v>
      </c>
      <c r="K484" s="3" t="n">
        <v>0</v>
      </c>
      <c r="L484" s="3" t="n">
        <v>912.95</v>
      </c>
      <c r="M484" s="3" t="n">
        <v>555.95</v>
      </c>
      <c r="N484" s="3" t="n">
        <v>357</v>
      </c>
      <c r="O484">
        <f>TEXT(A484,"yyyy-mm")</f>
        <v/>
      </c>
    </row>
    <row r="485">
      <c r="A485" s="2" t="n">
        <v>45609</v>
      </c>
      <c r="B485" t="n">
        <v>2024</v>
      </c>
      <c r="C485" t="inlineStr">
        <is>
          <t>November</t>
        </is>
      </c>
      <c r="D485" t="inlineStr">
        <is>
          <t>Smart Charger</t>
        </is>
      </c>
      <c r="E485" t="inlineStr">
        <is>
          <t>Electronics</t>
        </is>
      </c>
      <c r="F485" t="inlineStr">
        <is>
          <t>Sophie Conti</t>
        </is>
      </c>
      <c r="G485" t="inlineStr">
        <is>
          <t>Netherlands</t>
        </is>
      </c>
      <c r="H485" t="inlineStr">
        <is>
          <t>Web Store</t>
        </is>
      </c>
      <c r="I485" t="n">
        <v>4</v>
      </c>
      <c r="J485" s="3" t="n">
        <v>158.96</v>
      </c>
      <c r="K485" s="3" t="n">
        <v>31.79</v>
      </c>
      <c r="L485" s="3" t="n">
        <v>127.17</v>
      </c>
      <c r="M485" s="3" t="n">
        <v>110.56</v>
      </c>
      <c r="N485" s="3" t="n">
        <v>16.61</v>
      </c>
      <c r="O485">
        <f>TEXT(A485,"yyyy-mm")</f>
        <v/>
      </c>
    </row>
    <row r="486">
      <c r="A486" s="2" t="n">
        <v>45609</v>
      </c>
      <c r="B486" t="n">
        <v>2024</v>
      </c>
      <c r="C486" t="inlineStr">
        <is>
          <t>November</t>
        </is>
      </c>
      <c r="D486" t="inlineStr">
        <is>
          <t>Classic Coffee Beans</t>
        </is>
      </c>
      <c r="E486" t="inlineStr">
        <is>
          <t>Grocery</t>
        </is>
      </c>
      <c r="F486" t="inlineStr">
        <is>
          <t>Nina Fischer</t>
        </is>
      </c>
      <c r="G486" t="inlineStr">
        <is>
          <t>Poland</t>
        </is>
      </c>
      <c r="H486" t="inlineStr">
        <is>
          <t>Marketplace</t>
        </is>
      </c>
      <c r="I486" t="n">
        <v>4</v>
      </c>
      <c r="J486" s="3" t="n">
        <v>1262.4</v>
      </c>
      <c r="K486" s="3" t="n">
        <v>189.36</v>
      </c>
      <c r="L486" s="3" t="n">
        <v>1073.04</v>
      </c>
      <c r="M486" s="3" t="n">
        <v>779.04</v>
      </c>
      <c r="N486" s="3" t="n">
        <v>294</v>
      </c>
      <c r="O486">
        <f>TEXT(A486,"yyyy-mm")</f>
        <v/>
      </c>
    </row>
    <row r="487">
      <c r="A487" s="2" t="n">
        <v>45609</v>
      </c>
      <c r="B487" t="n">
        <v>2024</v>
      </c>
      <c r="C487" t="inlineStr">
        <is>
          <t>November</t>
        </is>
      </c>
      <c r="D487" t="inlineStr">
        <is>
          <t>Smart Honey</t>
        </is>
      </c>
      <c r="E487" t="inlineStr">
        <is>
          <t>Grocery</t>
        </is>
      </c>
      <c r="F487" t="inlineStr">
        <is>
          <t>Nina Fischer</t>
        </is>
      </c>
      <c r="G487" t="inlineStr">
        <is>
          <t>Poland</t>
        </is>
      </c>
      <c r="H487" t="inlineStr">
        <is>
          <t>Marketplace</t>
        </is>
      </c>
      <c r="I487" t="n">
        <v>1</v>
      </c>
      <c r="J487" s="3" t="n">
        <v>133.23</v>
      </c>
      <c r="K487" s="3" t="n">
        <v>26.65</v>
      </c>
      <c r="L487" s="3" t="n">
        <v>106.58</v>
      </c>
      <c r="M487" s="3" t="n">
        <v>71.44</v>
      </c>
      <c r="N487" s="3" t="n">
        <v>35.14</v>
      </c>
      <c r="O487">
        <f>TEXT(A487,"yyyy-mm")</f>
        <v/>
      </c>
    </row>
    <row r="488">
      <c r="A488" s="2" t="n">
        <v>45609</v>
      </c>
      <c r="B488" t="n">
        <v>2024</v>
      </c>
      <c r="C488" t="inlineStr">
        <is>
          <t>November</t>
        </is>
      </c>
      <c r="D488" t="inlineStr">
        <is>
          <t>Smart Tea Set</t>
        </is>
      </c>
      <c r="E488" t="inlineStr">
        <is>
          <t>Grocery</t>
        </is>
      </c>
      <c r="F488" t="inlineStr">
        <is>
          <t>Nina Fischer</t>
        </is>
      </c>
      <c r="G488" t="inlineStr">
        <is>
          <t>Poland</t>
        </is>
      </c>
      <c r="H488" t="inlineStr">
        <is>
          <t>Marketplace</t>
        </is>
      </c>
      <c r="I488" t="n">
        <v>1</v>
      </c>
      <c r="J488" s="3" t="n">
        <v>87.28</v>
      </c>
      <c r="K488" s="3" t="n">
        <v>0</v>
      </c>
      <c r="L488" s="3" t="n">
        <v>87.28</v>
      </c>
      <c r="M488" s="3" t="n">
        <v>61.8</v>
      </c>
      <c r="N488" s="3" t="n">
        <v>25.48</v>
      </c>
      <c r="O488">
        <f>TEXT(A488,"yyyy-mm")</f>
        <v/>
      </c>
    </row>
    <row r="489">
      <c r="A489" s="2" t="n">
        <v>45609</v>
      </c>
      <c r="B489" t="n">
        <v>2024</v>
      </c>
      <c r="C489" t="inlineStr">
        <is>
          <t>November</t>
        </is>
      </c>
      <c r="D489" t="inlineStr">
        <is>
          <t>Portable Toolset</t>
        </is>
      </c>
      <c r="E489" t="inlineStr">
        <is>
          <t>Home &amp; Garden</t>
        </is>
      </c>
      <c r="F489" t="inlineStr">
        <is>
          <t>Paul Zielinski</t>
        </is>
      </c>
      <c r="G489" t="inlineStr">
        <is>
          <t>Poland</t>
        </is>
      </c>
      <c r="H489" t="inlineStr">
        <is>
          <t>Web Store</t>
        </is>
      </c>
      <c r="I489" t="n">
        <v>4</v>
      </c>
      <c r="J489" s="3" t="n">
        <v>564.6</v>
      </c>
      <c r="K489" s="3" t="n">
        <v>56.46</v>
      </c>
      <c r="L489" s="3" t="n">
        <v>508.14</v>
      </c>
      <c r="M489" s="3" t="n">
        <v>371.4</v>
      </c>
      <c r="N489" s="3" t="n">
        <v>136.74</v>
      </c>
      <c r="O489">
        <f>TEXT(A489,"yyyy-mm")</f>
        <v/>
      </c>
    </row>
    <row r="490">
      <c r="A490" s="2" t="n">
        <v>45611</v>
      </c>
      <c r="B490" t="n">
        <v>2024</v>
      </c>
      <c r="C490" t="inlineStr">
        <is>
          <t>November</t>
        </is>
      </c>
      <c r="D490" t="inlineStr">
        <is>
          <t>Portable Puzzle</t>
        </is>
      </c>
      <c r="E490" t="inlineStr">
        <is>
          <t>Toys &amp; Games</t>
        </is>
      </c>
      <c r="F490" t="inlineStr">
        <is>
          <t>Sophie Wilson</t>
        </is>
      </c>
      <c r="G490" t="inlineStr">
        <is>
          <t>Germany</t>
        </is>
      </c>
      <c r="H490" t="inlineStr">
        <is>
          <t>Web Store</t>
        </is>
      </c>
      <c r="I490" t="n">
        <v>4</v>
      </c>
      <c r="J490" s="3" t="n">
        <v>463.04</v>
      </c>
      <c r="K490" s="3" t="n">
        <v>0</v>
      </c>
      <c r="L490" s="3" t="n">
        <v>463.04</v>
      </c>
      <c r="M490" s="3" t="n">
        <v>235.2</v>
      </c>
      <c r="N490" s="3" t="n">
        <v>227.84</v>
      </c>
      <c r="O490">
        <f>TEXT(A490,"yyyy-mm")</f>
        <v/>
      </c>
    </row>
    <row r="491">
      <c r="A491" s="2" t="n">
        <v>45612</v>
      </c>
      <c r="B491" t="n">
        <v>2024</v>
      </c>
      <c r="C491" t="inlineStr">
        <is>
          <t>November</t>
        </is>
      </c>
      <c r="D491" t="inlineStr">
        <is>
          <t>Wireless Honey</t>
        </is>
      </c>
      <c r="E491" t="inlineStr">
        <is>
          <t>Grocery</t>
        </is>
      </c>
      <c r="F491" t="inlineStr">
        <is>
          <t>Paul Smith</t>
        </is>
      </c>
      <c r="G491" t="inlineStr">
        <is>
          <t>Italy</t>
        </is>
      </c>
      <c r="H491" t="inlineStr">
        <is>
          <t>Retail Store</t>
        </is>
      </c>
      <c r="I491" t="n">
        <v>1</v>
      </c>
      <c r="J491" s="3" t="n">
        <v>133.59</v>
      </c>
      <c r="K491" s="3" t="n">
        <v>0</v>
      </c>
      <c r="L491" s="3" t="n">
        <v>133.59</v>
      </c>
      <c r="M491" s="3" t="n">
        <v>94.06999999999999</v>
      </c>
      <c r="N491" s="3" t="n">
        <v>39.52</v>
      </c>
      <c r="O491">
        <f>TEXT(A491,"yyyy-mm")</f>
        <v/>
      </c>
    </row>
    <row r="492">
      <c r="A492" s="2" t="n">
        <v>45612</v>
      </c>
      <c r="B492" t="n">
        <v>2024</v>
      </c>
      <c r="C492" t="inlineStr">
        <is>
          <t>November</t>
        </is>
      </c>
      <c r="D492" t="inlineStr">
        <is>
          <t>Portable Speaker</t>
        </is>
      </c>
      <c r="E492" t="inlineStr">
        <is>
          <t>Electronics</t>
        </is>
      </c>
      <c r="F492" t="inlineStr">
        <is>
          <t>Paul Smith</t>
        </is>
      </c>
      <c r="G492" t="inlineStr">
        <is>
          <t>Italy</t>
        </is>
      </c>
      <c r="H492" t="inlineStr">
        <is>
          <t>Retail Store</t>
        </is>
      </c>
      <c r="I492" t="n">
        <v>3</v>
      </c>
      <c r="J492" s="3" t="n">
        <v>993.36</v>
      </c>
      <c r="K492" s="3" t="n">
        <v>198.67</v>
      </c>
      <c r="L492" s="3" t="n">
        <v>794.6900000000001</v>
      </c>
      <c r="M492" s="3" t="n">
        <v>524.49</v>
      </c>
      <c r="N492" s="3" t="n">
        <v>270.2</v>
      </c>
      <c r="O492">
        <f>TEXT(A492,"yyyy-mm")</f>
        <v/>
      </c>
    </row>
    <row r="493">
      <c r="A493" s="2" t="n">
        <v>45612</v>
      </c>
      <c r="B493" t="n">
        <v>2024</v>
      </c>
      <c r="C493" t="inlineStr">
        <is>
          <t>November</t>
        </is>
      </c>
      <c r="D493" t="inlineStr">
        <is>
          <t>Essential Toolset</t>
        </is>
      </c>
      <c r="E493" t="inlineStr">
        <is>
          <t>Home &amp; Garden</t>
        </is>
      </c>
      <c r="F493" t="inlineStr">
        <is>
          <t>Paul Smith</t>
        </is>
      </c>
      <c r="G493" t="inlineStr">
        <is>
          <t>Italy</t>
        </is>
      </c>
      <c r="H493" t="inlineStr">
        <is>
          <t>Retail Store</t>
        </is>
      </c>
      <c r="I493" t="n">
        <v>5</v>
      </c>
      <c r="J493" s="3" t="n">
        <v>1064.5</v>
      </c>
      <c r="K493" s="3" t="n">
        <v>212.9</v>
      </c>
      <c r="L493" s="3" t="n">
        <v>851.6</v>
      </c>
      <c r="M493" s="3" t="n">
        <v>752.65</v>
      </c>
      <c r="N493" s="3" t="n">
        <v>98.95</v>
      </c>
      <c r="O493">
        <f>TEXT(A493,"yyyy-mm")</f>
        <v/>
      </c>
    </row>
    <row r="494">
      <c r="A494" s="2" t="n">
        <v>45612</v>
      </c>
      <c r="B494" t="n">
        <v>2024</v>
      </c>
      <c r="C494" t="inlineStr">
        <is>
          <t>November</t>
        </is>
      </c>
      <c r="D494" t="inlineStr">
        <is>
          <t>Wireless Coffee Beans</t>
        </is>
      </c>
      <c r="E494" t="inlineStr">
        <is>
          <t>Grocery</t>
        </is>
      </c>
      <c r="F494" t="inlineStr">
        <is>
          <t>Paul Smith</t>
        </is>
      </c>
      <c r="G494" t="inlineStr">
        <is>
          <t>Italy</t>
        </is>
      </c>
      <c r="H494" t="inlineStr">
        <is>
          <t>Retail Store</t>
        </is>
      </c>
      <c r="I494" t="n">
        <v>3</v>
      </c>
      <c r="J494" s="3" t="n">
        <v>376.62</v>
      </c>
      <c r="K494" s="3" t="n">
        <v>75.31999999999999</v>
      </c>
      <c r="L494" s="3" t="n">
        <v>301.3</v>
      </c>
      <c r="M494" s="3" t="n">
        <v>238.11</v>
      </c>
      <c r="N494" s="3" t="n">
        <v>63.19</v>
      </c>
      <c r="O494">
        <f>TEXT(A494,"yyyy-mm")</f>
        <v/>
      </c>
    </row>
    <row r="495">
      <c r="A495" s="2" t="n">
        <v>45613</v>
      </c>
      <c r="B495" t="n">
        <v>2024</v>
      </c>
      <c r="C495" t="inlineStr">
        <is>
          <t>November</t>
        </is>
      </c>
      <c r="D495" t="inlineStr">
        <is>
          <t>Smart Tea Set</t>
        </is>
      </c>
      <c r="E495" t="inlineStr">
        <is>
          <t>Grocery</t>
        </is>
      </c>
      <c r="F495" t="inlineStr">
        <is>
          <t>David Garcia</t>
        </is>
      </c>
      <c r="G495" t="inlineStr">
        <is>
          <t>United Kingdom</t>
        </is>
      </c>
      <c r="H495" t="inlineStr">
        <is>
          <t>Web Store</t>
        </is>
      </c>
      <c r="I495" t="n">
        <v>1</v>
      </c>
      <c r="J495" s="3" t="n">
        <v>92.15000000000001</v>
      </c>
      <c r="K495" s="3" t="n">
        <v>0</v>
      </c>
      <c r="L495" s="3" t="n">
        <v>92.15000000000001</v>
      </c>
      <c r="M495" s="3" t="n">
        <v>61.8</v>
      </c>
      <c r="N495" s="3" t="n">
        <v>30.35</v>
      </c>
      <c r="O495">
        <f>TEXT(A495,"yyyy-mm")</f>
        <v/>
      </c>
    </row>
    <row r="496">
      <c r="A496" s="2" t="n">
        <v>45613</v>
      </c>
      <c r="B496" t="n">
        <v>2024</v>
      </c>
      <c r="C496" t="inlineStr">
        <is>
          <t>November</t>
        </is>
      </c>
      <c r="D496" t="inlineStr">
        <is>
          <t>Compact Jacket</t>
        </is>
      </c>
      <c r="E496" t="inlineStr">
        <is>
          <t>Clothing</t>
        </is>
      </c>
      <c r="F496" t="inlineStr">
        <is>
          <t>Nina Zielinski</t>
        </is>
      </c>
      <c r="G496" t="inlineStr">
        <is>
          <t>United Kingdom</t>
        </is>
      </c>
      <c r="H496" t="inlineStr">
        <is>
          <t>Web Store</t>
        </is>
      </c>
      <c r="I496" t="n">
        <v>1</v>
      </c>
      <c r="J496" s="3" t="n">
        <v>38.92</v>
      </c>
      <c r="K496" s="3" t="n">
        <v>0</v>
      </c>
      <c r="L496" s="3" t="n">
        <v>38.92</v>
      </c>
      <c r="M496" s="3" t="n">
        <v>20.4</v>
      </c>
      <c r="N496" s="3" t="n">
        <v>18.52</v>
      </c>
      <c r="O496">
        <f>TEXT(A496,"yyyy-mm")</f>
        <v/>
      </c>
    </row>
    <row r="497">
      <c r="A497" s="2" t="n">
        <v>45613</v>
      </c>
      <c r="B497" t="n">
        <v>2024</v>
      </c>
      <c r="C497" t="inlineStr">
        <is>
          <t>November</t>
        </is>
      </c>
      <c r="D497" t="inlineStr">
        <is>
          <t>Smart Jeans</t>
        </is>
      </c>
      <c r="E497" t="inlineStr">
        <is>
          <t>Clothing</t>
        </is>
      </c>
      <c r="F497" t="inlineStr">
        <is>
          <t>Nina Zielinski</t>
        </is>
      </c>
      <c r="G497" t="inlineStr">
        <is>
          <t>United Kingdom</t>
        </is>
      </c>
      <c r="H497" t="inlineStr">
        <is>
          <t>Web Store</t>
        </is>
      </c>
      <c r="I497" t="n">
        <v>4</v>
      </c>
      <c r="J497" s="3" t="n">
        <v>1105.68</v>
      </c>
      <c r="K497" s="3" t="n">
        <v>221.14</v>
      </c>
      <c r="L497" s="3" t="n">
        <v>884.54</v>
      </c>
      <c r="M497" s="3" t="n">
        <v>774.5599999999999</v>
      </c>
      <c r="N497" s="3" t="n">
        <v>109.98</v>
      </c>
      <c r="O497">
        <f>TEXT(A497,"yyyy-mm")</f>
        <v/>
      </c>
    </row>
    <row r="498">
      <c r="A498" s="2" t="n">
        <v>45613</v>
      </c>
      <c r="B498" t="n">
        <v>2024</v>
      </c>
      <c r="C498" t="inlineStr">
        <is>
          <t>November</t>
        </is>
      </c>
      <c r="D498" t="inlineStr">
        <is>
          <t>Classic Yoga Mat</t>
        </is>
      </c>
      <c r="E498" t="inlineStr">
        <is>
          <t>Sports &amp; Outdoors</t>
        </is>
      </c>
      <c r="F498" t="inlineStr">
        <is>
          <t>Nina Zielinski</t>
        </is>
      </c>
      <c r="G498" t="inlineStr">
        <is>
          <t>United Kingdom</t>
        </is>
      </c>
      <c r="H498" t="inlineStr">
        <is>
          <t>Web Store</t>
        </is>
      </c>
      <c r="I498" t="n">
        <v>3</v>
      </c>
      <c r="J498" s="3" t="n">
        <v>961.02</v>
      </c>
      <c r="K498" s="3" t="n">
        <v>96.09999999999999</v>
      </c>
      <c r="L498" s="3" t="n">
        <v>864.92</v>
      </c>
      <c r="M498" s="3" t="n">
        <v>587.1</v>
      </c>
      <c r="N498" s="3" t="n">
        <v>277.82</v>
      </c>
      <c r="O498">
        <f>TEXT(A498,"yyyy-mm")</f>
        <v/>
      </c>
    </row>
    <row r="499">
      <c r="A499" s="2" t="n">
        <v>45613</v>
      </c>
      <c r="B499" t="n">
        <v>2024</v>
      </c>
      <c r="C499" t="inlineStr">
        <is>
          <t>November</t>
        </is>
      </c>
      <c r="D499" t="inlineStr">
        <is>
          <t>Wireless Coffee Beans</t>
        </is>
      </c>
      <c r="E499" t="inlineStr">
        <is>
          <t>Grocery</t>
        </is>
      </c>
      <c r="F499" t="inlineStr">
        <is>
          <t>Nina Zielinski</t>
        </is>
      </c>
      <c r="G499" t="inlineStr">
        <is>
          <t>United Kingdom</t>
        </is>
      </c>
      <c r="H499" t="inlineStr">
        <is>
          <t>Web Store</t>
        </is>
      </c>
      <c r="I499" t="n">
        <v>3</v>
      </c>
      <c r="J499" s="3" t="n">
        <v>622.38</v>
      </c>
      <c r="K499" s="3" t="n">
        <v>0</v>
      </c>
      <c r="L499" s="3" t="n">
        <v>622.38</v>
      </c>
      <c r="M499" s="3" t="n">
        <v>390.39</v>
      </c>
      <c r="N499" s="3" t="n">
        <v>231.99</v>
      </c>
      <c r="O499">
        <f>TEXT(A499,"yyyy-mm")</f>
        <v/>
      </c>
    </row>
    <row r="500">
      <c r="A500" s="2" t="n">
        <v>45613</v>
      </c>
      <c r="B500" t="n">
        <v>2024</v>
      </c>
      <c r="C500" t="inlineStr">
        <is>
          <t>November</t>
        </is>
      </c>
      <c r="D500" t="inlineStr">
        <is>
          <t>Eco Tent</t>
        </is>
      </c>
      <c r="E500" t="inlineStr">
        <is>
          <t>Sports &amp; Outdoors</t>
        </is>
      </c>
      <c r="F500" t="inlineStr">
        <is>
          <t>Nina Fischer</t>
        </is>
      </c>
      <c r="G500" t="inlineStr">
        <is>
          <t>Netherlands</t>
        </is>
      </c>
      <c r="H500" t="inlineStr">
        <is>
          <t>Web Store</t>
        </is>
      </c>
      <c r="I500" t="n">
        <v>4</v>
      </c>
      <c r="J500" s="3" t="n">
        <v>274.08</v>
      </c>
      <c r="K500" s="3" t="n">
        <v>27.41</v>
      </c>
      <c r="L500" s="3" t="n">
        <v>246.67</v>
      </c>
      <c r="M500" s="3" t="n">
        <v>175.4</v>
      </c>
      <c r="N500" s="3" t="n">
        <v>71.27</v>
      </c>
      <c r="O500">
        <f>TEXT(A500,"yyyy-mm")</f>
        <v/>
      </c>
    </row>
    <row r="501">
      <c r="A501" s="2" t="n">
        <v>45613</v>
      </c>
      <c r="B501" t="n">
        <v>2024</v>
      </c>
      <c r="C501" t="inlineStr">
        <is>
          <t>November</t>
        </is>
      </c>
      <c r="D501" t="inlineStr">
        <is>
          <t>Wireless Coffee Beans</t>
        </is>
      </c>
      <c r="E501" t="inlineStr">
        <is>
          <t>Grocery</t>
        </is>
      </c>
      <c r="F501" t="inlineStr">
        <is>
          <t>Nina Fischer</t>
        </is>
      </c>
      <c r="G501" t="inlineStr">
        <is>
          <t>Netherlands</t>
        </is>
      </c>
      <c r="H501" t="inlineStr">
        <is>
          <t>Web Store</t>
        </is>
      </c>
      <c r="I501" t="n">
        <v>2</v>
      </c>
      <c r="J501" s="3" t="n">
        <v>423.7</v>
      </c>
      <c r="K501" s="3" t="n">
        <v>21.18</v>
      </c>
      <c r="L501" s="3" t="n">
        <v>402.52</v>
      </c>
      <c r="M501" s="3" t="n">
        <v>260.26</v>
      </c>
      <c r="N501" s="3" t="n">
        <v>142.26</v>
      </c>
      <c r="O501">
        <f>TEXT(A501,"yyyy-mm")</f>
        <v/>
      </c>
    </row>
    <row r="502">
      <c r="A502" s="2" t="n">
        <v>45613</v>
      </c>
      <c r="B502" t="n">
        <v>2024</v>
      </c>
      <c r="C502" t="inlineStr">
        <is>
          <t>November</t>
        </is>
      </c>
      <c r="D502" t="inlineStr">
        <is>
          <t>Essential Cushion</t>
        </is>
      </c>
      <c r="E502" t="inlineStr">
        <is>
          <t>Home &amp; Garden</t>
        </is>
      </c>
      <c r="F502" t="inlineStr">
        <is>
          <t>Nina Fischer</t>
        </is>
      </c>
      <c r="G502" t="inlineStr">
        <is>
          <t>Netherlands</t>
        </is>
      </c>
      <c r="H502" t="inlineStr">
        <is>
          <t>Web Store</t>
        </is>
      </c>
      <c r="I502" t="n">
        <v>4</v>
      </c>
      <c r="J502" s="3" t="n">
        <v>187.8</v>
      </c>
      <c r="K502" s="3" t="n">
        <v>0</v>
      </c>
      <c r="L502" s="3" t="n">
        <v>187.8</v>
      </c>
      <c r="M502" s="3" t="n">
        <v>122.2</v>
      </c>
      <c r="N502" s="3" t="n">
        <v>65.59999999999999</v>
      </c>
      <c r="O502">
        <f>TEXT(A502,"yyyy-mm")</f>
        <v/>
      </c>
    </row>
    <row r="503">
      <c r="A503" s="2" t="n">
        <v>45613</v>
      </c>
      <c r="B503" t="n">
        <v>2024</v>
      </c>
      <c r="C503" t="inlineStr">
        <is>
          <t>November</t>
        </is>
      </c>
      <c r="D503" t="inlineStr">
        <is>
          <t>Compact Jacket</t>
        </is>
      </c>
      <c r="E503" t="inlineStr">
        <is>
          <t>Clothing</t>
        </is>
      </c>
      <c r="F503" t="inlineStr">
        <is>
          <t>David Garcia</t>
        </is>
      </c>
      <c r="G503" t="inlineStr">
        <is>
          <t>United Kingdom</t>
        </is>
      </c>
      <c r="H503" t="inlineStr">
        <is>
          <t>Web Store</t>
        </is>
      </c>
      <c r="I503" t="n">
        <v>2</v>
      </c>
      <c r="J503" s="3" t="n">
        <v>74.90000000000001</v>
      </c>
      <c r="K503" s="3" t="n">
        <v>0</v>
      </c>
      <c r="L503" s="3" t="n">
        <v>74.90000000000001</v>
      </c>
      <c r="M503" s="3" t="n">
        <v>40.8</v>
      </c>
      <c r="N503" s="3" t="n">
        <v>34.1</v>
      </c>
      <c r="O503">
        <f>TEXT(A503,"yyyy-mm")</f>
        <v/>
      </c>
    </row>
    <row r="504">
      <c r="A504" s="2" t="n">
        <v>45614</v>
      </c>
      <c r="B504" t="n">
        <v>2024</v>
      </c>
      <c r="C504" t="inlineStr">
        <is>
          <t>November</t>
        </is>
      </c>
      <c r="D504" t="inlineStr">
        <is>
          <t>Smart Sweater</t>
        </is>
      </c>
      <c r="E504" t="inlineStr">
        <is>
          <t>Clothing</t>
        </is>
      </c>
      <c r="F504" t="inlineStr">
        <is>
          <t>David Wojcik</t>
        </is>
      </c>
      <c r="G504" t="inlineStr">
        <is>
          <t>Germany</t>
        </is>
      </c>
      <c r="H504" t="inlineStr">
        <is>
          <t>Marketplace</t>
        </is>
      </c>
      <c r="I504" t="n">
        <v>1</v>
      </c>
      <c r="J504" s="3" t="n">
        <v>145.08</v>
      </c>
      <c r="K504" s="3" t="n">
        <v>29.02</v>
      </c>
      <c r="L504" s="3" t="n">
        <v>116.06</v>
      </c>
      <c r="M504" s="3" t="n">
        <v>77.34999999999999</v>
      </c>
      <c r="N504" s="3" t="n">
        <v>38.71</v>
      </c>
      <c r="O504">
        <f>TEXT(A504,"yyyy-mm")</f>
        <v/>
      </c>
    </row>
    <row r="505">
      <c r="A505" s="2" t="n">
        <v>45614</v>
      </c>
      <c r="B505" t="n">
        <v>2024</v>
      </c>
      <c r="C505" t="inlineStr">
        <is>
          <t>November</t>
        </is>
      </c>
      <c r="D505" t="inlineStr">
        <is>
          <t>Classic Tea Set</t>
        </is>
      </c>
      <c r="E505" t="inlineStr">
        <is>
          <t>Grocery</t>
        </is>
      </c>
      <c r="F505" t="inlineStr">
        <is>
          <t>Clara Smith</t>
        </is>
      </c>
      <c r="G505" t="inlineStr">
        <is>
          <t>France</t>
        </is>
      </c>
      <c r="H505" t="inlineStr">
        <is>
          <t>Mobile App</t>
        </is>
      </c>
      <c r="I505" t="n">
        <v>4</v>
      </c>
      <c r="J505" s="3" t="n">
        <v>743.92</v>
      </c>
      <c r="K505" s="3" t="n">
        <v>148.78</v>
      </c>
      <c r="L505" s="3" t="n">
        <v>595.14</v>
      </c>
      <c r="M505" s="3" t="n">
        <v>501.6</v>
      </c>
      <c r="N505" s="3" t="n">
        <v>93.54000000000001</v>
      </c>
      <c r="O505">
        <f>TEXT(A505,"yyyy-mm")</f>
        <v/>
      </c>
    </row>
    <row r="506">
      <c r="A506" s="2" t="n">
        <v>45614</v>
      </c>
      <c r="B506" t="n">
        <v>2024</v>
      </c>
      <c r="C506" t="inlineStr">
        <is>
          <t>November</t>
        </is>
      </c>
      <c r="D506" t="inlineStr">
        <is>
          <t>Portable Puzzle</t>
        </is>
      </c>
      <c r="E506" t="inlineStr">
        <is>
          <t>Toys &amp; Games</t>
        </is>
      </c>
      <c r="F506" t="inlineStr">
        <is>
          <t>Clara Smith</t>
        </is>
      </c>
      <c r="G506" t="inlineStr">
        <is>
          <t>France</t>
        </is>
      </c>
      <c r="H506" t="inlineStr">
        <is>
          <t>Mobile App</t>
        </is>
      </c>
      <c r="I506" t="n">
        <v>5</v>
      </c>
      <c r="J506" s="3" t="n">
        <v>1609.9</v>
      </c>
      <c r="K506" s="3" t="n">
        <v>80.5</v>
      </c>
      <c r="L506" s="3" t="n">
        <v>1529.41</v>
      </c>
      <c r="M506" s="3" t="n">
        <v>868.3</v>
      </c>
      <c r="N506" s="3" t="n">
        <v>661.11</v>
      </c>
      <c r="O506">
        <f>TEXT(A506,"yyyy-mm")</f>
        <v/>
      </c>
    </row>
    <row r="507">
      <c r="A507" s="2" t="n">
        <v>45615</v>
      </c>
      <c r="B507" t="n">
        <v>2024</v>
      </c>
      <c r="C507" t="inlineStr">
        <is>
          <t>November</t>
        </is>
      </c>
      <c r="D507" t="inlineStr">
        <is>
          <t>Premium Water Bottle</t>
        </is>
      </c>
      <c r="E507" t="inlineStr">
        <is>
          <t>Sports &amp; Outdoors</t>
        </is>
      </c>
      <c r="F507" t="inlineStr">
        <is>
          <t>Michael Weber</t>
        </is>
      </c>
      <c r="G507" t="inlineStr">
        <is>
          <t>France</t>
        </is>
      </c>
      <c r="H507" t="inlineStr">
        <is>
          <t>Web Store</t>
        </is>
      </c>
      <c r="I507" t="n">
        <v>5</v>
      </c>
      <c r="J507" s="3" t="n">
        <v>141.1</v>
      </c>
      <c r="K507" s="3" t="n">
        <v>21.16</v>
      </c>
      <c r="L507" s="3" t="n">
        <v>119.94</v>
      </c>
      <c r="M507" s="3" t="n">
        <v>83.15000000000001</v>
      </c>
      <c r="N507" s="3" t="n">
        <v>36.79</v>
      </c>
      <c r="O507">
        <f>TEXT(A507,"yyyy-mm")</f>
        <v/>
      </c>
    </row>
    <row r="508">
      <c r="A508" s="2" t="n">
        <v>45615</v>
      </c>
      <c r="B508" t="n">
        <v>2024</v>
      </c>
      <c r="C508" t="inlineStr">
        <is>
          <t>November</t>
        </is>
      </c>
      <c r="D508" t="inlineStr">
        <is>
          <t>Portable Puzzle</t>
        </is>
      </c>
      <c r="E508" t="inlineStr">
        <is>
          <t>Toys &amp; Games</t>
        </is>
      </c>
      <c r="F508" t="inlineStr">
        <is>
          <t>Michael Weber</t>
        </is>
      </c>
      <c r="G508" t="inlineStr">
        <is>
          <t>France</t>
        </is>
      </c>
      <c r="H508" t="inlineStr">
        <is>
          <t>Web Store</t>
        </is>
      </c>
      <c r="I508" t="n">
        <v>3</v>
      </c>
      <c r="J508" s="3" t="n">
        <v>940.2</v>
      </c>
      <c r="K508" s="3" t="n">
        <v>47.01</v>
      </c>
      <c r="L508" s="3" t="n">
        <v>893.1900000000001</v>
      </c>
      <c r="M508" s="3" t="n">
        <v>520.98</v>
      </c>
      <c r="N508" s="3" t="n">
        <v>372.21</v>
      </c>
      <c r="O508">
        <f>TEXT(A508,"yyyy-mm")</f>
        <v/>
      </c>
    </row>
    <row r="509">
      <c r="A509" s="2" t="n">
        <v>45615</v>
      </c>
      <c r="B509" t="n">
        <v>2024</v>
      </c>
      <c r="C509" t="inlineStr">
        <is>
          <t>November</t>
        </is>
      </c>
      <c r="D509" t="inlineStr">
        <is>
          <t>Ultra Toolset</t>
        </is>
      </c>
      <c r="E509" t="inlineStr">
        <is>
          <t>Home &amp; Garden</t>
        </is>
      </c>
      <c r="F509" t="inlineStr">
        <is>
          <t>John Weber</t>
        </is>
      </c>
      <c r="G509" t="inlineStr">
        <is>
          <t>Italy</t>
        </is>
      </c>
      <c r="H509" t="inlineStr">
        <is>
          <t>Marketplace</t>
        </is>
      </c>
      <c r="I509" t="n">
        <v>1</v>
      </c>
      <c r="J509" s="3" t="n">
        <v>365.49</v>
      </c>
      <c r="K509" s="3" t="n">
        <v>0</v>
      </c>
      <c r="L509" s="3" t="n">
        <v>365.49</v>
      </c>
      <c r="M509" s="3" t="n">
        <v>190.4</v>
      </c>
      <c r="N509" s="3" t="n">
        <v>175.09</v>
      </c>
      <c r="O509">
        <f>TEXT(A509,"yyyy-mm")</f>
        <v/>
      </c>
    </row>
    <row r="510">
      <c r="A510" s="2" t="n">
        <v>45615</v>
      </c>
      <c r="B510" t="n">
        <v>2024</v>
      </c>
      <c r="C510" t="inlineStr">
        <is>
          <t>November</t>
        </is>
      </c>
      <c r="D510" t="inlineStr">
        <is>
          <t>Essential Jacket</t>
        </is>
      </c>
      <c r="E510" t="inlineStr">
        <is>
          <t>Clothing</t>
        </is>
      </c>
      <c r="F510" t="inlineStr">
        <is>
          <t>John Weber</t>
        </is>
      </c>
      <c r="G510" t="inlineStr">
        <is>
          <t>Italy</t>
        </is>
      </c>
      <c r="H510" t="inlineStr">
        <is>
          <t>Marketplace</t>
        </is>
      </c>
      <c r="I510" t="n">
        <v>4</v>
      </c>
      <c r="J510" s="3" t="n">
        <v>585.24</v>
      </c>
      <c r="K510" s="3" t="n">
        <v>58.52</v>
      </c>
      <c r="L510" s="3" t="n">
        <v>526.72</v>
      </c>
      <c r="M510" s="3" t="n">
        <v>341.4</v>
      </c>
      <c r="N510" s="3" t="n">
        <v>185.32</v>
      </c>
      <c r="O510">
        <f>TEXT(A510,"yyyy-mm")</f>
        <v/>
      </c>
    </row>
    <row r="511">
      <c r="A511" s="2" t="n">
        <v>45615</v>
      </c>
      <c r="B511" t="n">
        <v>2024</v>
      </c>
      <c r="C511" t="inlineStr">
        <is>
          <t>November</t>
        </is>
      </c>
      <c r="D511" t="inlineStr">
        <is>
          <t>Premium Rug</t>
        </is>
      </c>
      <c r="E511" t="inlineStr">
        <is>
          <t>Home &amp; Garden</t>
        </is>
      </c>
      <c r="F511" t="inlineStr">
        <is>
          <t>John Weber</t>
        </is>
      </c>
      <c r="G511" t="inlineStr">
        <is>
          <t>Italy</t>
        </is>
      </c>
      <c r="H511" t="inlineStr">
        <is>
          <t>Marketplace</t>
        </is>
      </c>
      <c r="I511" t="n">
        <v>2</v>
      </c>
      <c r="J511" s="3" t="n">
        <v>382.24</v>
      </c>
      <c r="K511" s="3" t="n">
        <v>0</v>
      </c>
      <c r="L511" s="3" t="n">
        <v>382.24</v>
      </c>
      <c r="M511" s="3" t="n">
        <v>222.38</v>
      </c>
      <c r="N511" s="3" t="n">
        <v>159.86</v>
      </c>
      <c r="O511">
        <f>TEXT(A511,"yyyy-mm")</f>
        <v/>
      </c>
    </row>
    <row r="512">
      <c r="A512" s="2" t="n">
        <v>45615</v>
      </c>
      <c r="B512" t="n">
        <v>2024</v>
      </c>
      <c r="C512" t="inlineStr">
        <is>
          <t>November</t>
        </is>
      </c>
      <c r="D512" t="inlineStr">
        <is>
          <t>Eco Drone</t>
        </is>
      </c>
      <c r="E512" t="inlineStr">
        <is>
          <t>Toys &amp; Games</t>
        </is>
      </c>
      <c r="F512" t="inlineStr">
        <is>
          <t>Paul Zielinski</t>
        </is>
      </c>
      <c r="G512" t="inlineStr">
        <is>
          <t>Poland</t>
        </is>
      </c>
      <c r="H512" t="inlineStr">
        <is>
          <t>Mobile App</t>
        </is>
      </c>
      <c r="I512" t="n">
        <v>5</v>
      </c>
      <c r="J512" s="3" t="n">
        <v>1012.5</v>
      </c>
      <c r="K512" s="3" t="n">
        <v>151.88</v>
      </c>
      <c r="L512" s="3" t="n">
        <v>860.62</v>
      </c>
      <c r="M512" s="3" t="n">
        <v>647.95</v>
      </c>
      <c r="N512" s="3" t="n">
        <v>212.67</v>
      </c>
      <c r="O512">
        <f>TEXT(A512,"yyyy-mm")</f>
        <v/>
      </c>
    </row>
    <row r="513">
      <c r="A513" s="2" t="n">
        <v>45615</v>
      </c>
      <c r="B513" t="n">
        <v>2024</v>
      </c>
      <c r="C513" t="inlineStr">
        <is>
          <t>November</t>
        </is>
      </c>
      <c r="D513" t="inlineStr">
        <is>
          <t>Ultra Toolset</t>
        </is>
      </c>
      <c r="E513" t="inlineStr">
        <is>
          <t>Home &amp; Garden</t>
        </is>
      </c>
      <c r="F513" t="inlineStr">
        <is>
          <t>David Johnson</t>
        </is>
      </c>
      <c r="G513" t="inlineStr">
        <is>
          <t>Spain</t>
        </is>
      </c>
      <c r="H513" t="inlineStr">
        <is>
          <t>Mobile App</t>
        </is>
      </c>
      <c r="I513" t="n">
        <v>2</v>
      </c>
      <c r="J513" s="3" t="n">
        <v>703.98</v>
      </c>
      <c r="K513" s="3" t="n">
        <v>70.40000000000001</v>
      </c>
      <c r="L513" s="3" t="n">
        <v>633.58</v>
      </c>
      <c r="M513" s="3" t="n">
        <v>380.8</v>
      </c>
      <c r="N513" s="3" t="n">
        <v>252.78</v>
      </c>
      <c r="O513">
        <f>TEXT(A513,"yyyy-mm")</f>
        <v/>
      </c>
    </row>
    <row r="514">
      <c r="A514" s="2" t="n">
        <v>45615</v>
      </c>
      <c r="B514" t="n">
        <v>2024</v>
      </c>
      <c r="C514" t="inlineStr">
        <is>
          <t>November</t>
        </is>
      </c>
      <c r="D514" t="inlineStr">
        <is>
          <t>Premium Tent</t>
        </is>
      </c>
      <c r="E514" t="inlineStr">
        <is>
          <t>Sports &amp; Outdoors</t>
        </is>
      </c>
      <c r="F514" t="inlineStr">
        <is>
          <t>David Johnson</t>
        </is>
      </c>
      <c r="G514" t="inlineStr">
        <is>
          <t>Spain</t>
        </is>
      </c>
      <c r="H514" t="inlineStr">
        <is>
          <t>Mobile App</t>
        </is>
      </c>
      <c r="I514" t="n">
        <v>3</v>
      </c>
      <c r="J514" s="3" t="n">
        <v>743.25</v>
      </c>
      <c r="K514" s="3" t="n">
        <v>0</v>
      </c>
      <c r="L514" s="3" t="n">
        <v>743.25</v>
      </c>
      <c r="M514" s="3" t="n">
        <v>417.12</v>
      </c>
      <c r="N514" s="3" t="n">
        <v>326.13</v>
      </c>
      <c r="O514">
        <f>TEXT(A514,"yyyy-mm")</f>
        <v/>
      </c>
    </row>
    <row r="515">
      <c r="A515" s="2" t="n">
        <v>45615</v>
      </c>
      <c r="B515" t="n">
        <v>2024</v>
      </c>
      <c r="C515" t="inlineStr">
        <is>
          <t>November</t>
        </is>
      </c>
      <c r="D515" t="inlineStr">
        <is>
          <t>Wireless Coffee Beans</t>
        </is>
      </c>
      <c r="E515" t="inlineStr">
        <is>
          <t>Grocery</t>
        </is>
      </c>
      <c r="F515" t="inlineStr">
        <is>
          <t>David Johnson</t>
        </is>
      </c>
      <c r="G515" t="inlineStr">
        <is>
          <t>Spain</t>
        </is>
      </c>
      <c r="H515" t="inlineStr">
        <is>
          <t>Mobile App</t>
        </is>
      </c>
      <c r="I515" t="n">
        <v>5</v>
      </c>
      <c r="J515" s="3" t="n">
        <v>1094</v>
      </c>
      <c r="K515" s="3" t="n">
        <v>109.4</v>
      </c>
      <c r="L515" s="3" t="n">
        <v>984.6</v>
      </c>
      <c r="M515" s="3" t="n">
        <v>650.65</v>
      </c>
      <c r="N515" s="3" t="n">
        <v>333.95</v>
      </c>
      <c r="O515">
        <f>TEXT(A515,"yyyy-mm")</f>
        <v/>
      </c>
    </row>
    <row r="516">
      <c r="A516" s="2" t="n">
        <v>45616</v>
      </c>
      <c r="B516" t="n">
        <v>2024</v>
      </c>
      <c r="C516" t="inlineStr">
        <is>
          <t>November</t>
        </is>
      </c>
      <c r="D516" t="inlineStr">
        <is>
          <t>Compact Pasta</t>
        </is>
      </c>
      <c r="E516" t="inlineStr">
        <is>
          <t>Grocery</t>
        </is>
      </c>
      <c r="F516" t="inlineStr">
        <is>
          <t>Emily Dubois</t>
        </is>
      </c>
      <c r="G516" t="inlineStr">
        <is>
          <t>Italy</t>
        </is>
      </c>
      <c r="H516" t="inlineStr">
        <is>
          <t>Web Store</t>
        </is>
      </c>
      <c r="I516" t="n">
        <v>5</v>
      </c>
      <c r="J516" s="3" t="n">
        <v>1604.7</v>
      </c>
      <c r="K516" s="3" t="n">
        <v>80.23999999999999</v>
      </c>
      <c r="L516" s="3" t="n">
        <v>1524.46</v>
      </c>
      <c r="M516" s="3" t="n">
        <v>997</v>
      </c>
      <c r="N516" s="3" t="n">
        <v>527.47</v>
      </c>
      <c r="O516">
        <f>TEXT(A516,"yyyy-mm")</f>
        <v/>
      </c>
    </row>
    <row r="517">
      <c r="A517" s="2" t="n">
        <v>45616</v>
      </c>
      <c r="B517" t="n">
        <v>2024</v>
      </c>
      <c r="C517" t="inlineStr">
        <is>
          <t>November</t>
        </is>
      </c>
      <c r="D517" t="inlineStr">
        <is>
          <t>Portable Puzzle</t>
        </is>
      </c>
      <c r="E517" t="inlineStr">
        <is>
          <t>Toys &amp; Games</t>
        </is>
      </c>
      <c r="F517" t="inlineStr">
        <is>
          <t>Julia Nowak</t>
        </is>
      </c>
      <c r="G517" t="inlineStr">
        <is>
          <t>Germany</t>
        </is>
      </c>
      <c r="H517" t="inlineStr">
        <is>
          <t>Marketplace</t>
        </is>
      </c>
      <c r="I517" t="n">
        <v>4</v>
      </c>
      <c r="J517" s="3" t="n">
        <v>1281.88</v>
      </c>
      <c r="K517" s="3" t="n">
        <v>256.38</v>
      </c>
      <c r="L517" s="3" t="n">
        <v>1025.5</v>
      </c>
      <c r="M517" s="3" t="n">
        <v>694.64</v>
      </c>
      <c r="N517" s="3" t="n">
        <v>330.86</v>
      </c>
      <c r="O517">
        <f>TEXT(A517,"yyyy-mm")</f>
        <v/>
      </c>
    </row>
    <row r="518">
      <c r="A518" s="2" t="n">
        <v>45616</v>
      </c>
      <c r="B518" t="n">
        <v>2024</v>
      </c>
      <c r="C518" t="inlineStr">
        <is>
          <t>November</t>
        </is>
      </c>
      <c r="D518" t="inlineStr">
        <is>
          <t>Classic Atlas</t>
        </is>
      </c>
      <c r="E518" t="inlineStr">
        <is>
          <t>Books</t>
        </is>
      </c>
      <c r="F518" t="inlineStr">
        <is>
          <t>Laura Muller</t>
        </is>
      </c>
      <c r="G518" t="inlineStr">
        <is>
          <t>Italy</t>
        </is>
      </c>
      <c r="H518" t="inlineStr">
        <is>
          <t>Retail Store</t>
        </is>
      </c>
      <c r="I518" t="n">
        <v>2</v>
      </c>
      <c r="J518" s="3" t="n">
        <v>123.78</v>
      </c>
      <c r="K518" s="3" t="n">
        <v>0</v>
      </c>
      <c r="L518" s="3" t="n">
        <v>123.78</v>
      </c>
      <c r="M518" s="3" t="n">
        <v>69.18000000000001</v>
      </c>
      <c r="N518" s="3" t="n">
        <v>54.6</v>
      </c>
      <c r="O518">
        <f>TEXT(A518,"yyyy-mm")</f>
        <v/>
      </c>
    </row>
    <row r="519">
      <c r="A519" s="2" t="n">
        <v>45616</v>
      </c>
      <c r="B519" t="n">
        <v>2024</v>
      </c>
      <c r="C519" t="inlineStr">
        <is>
          <t>November</t>
        </is>
      </c>
      <c r="D519" t="inlineStr">
        <is>
          <t>Smart Charger</t>
        </is>
      </c>
      <c r="E519" t="inlineStr">
        <is>
          <t>Electronics</t>
        </is>
      </c>
      <c r="F519" t="inlineStr">
        <is>
          <t>Laura Muller</t>
        </is>
      </c>
      <c r="G519" t="inlineStr">
        <is>
          <t>Italy</t>
        </is>
      </c>
      <c r="H519" t="inlineStr">
        <is>
          <t>Retail Store</t>
        </is>
      </c>
      <c r="I519" t="n">
        <v>2</v>
      </c>
      <c r="J519" s="3" t="n">
        <v>83.2</v>
      </c>
      <c r="K519" s="3" t="n">
        <v>12.48</v>
      </c>
      <c r="L519" s="3" t="n">
        <v>70.72</v>
      </c>
      <c r="M519" s="3" t="n">
        <v>55.28</v>
      </c>
      <c r="N519" s="3" t="n">
        <v>15.44</v>
      </c>
      <c r="O519">
        <f>TEXT(A519,"yyyy-mm")</f>
        <v/>
      </c>
    </row>
    <row r="520">
      <c r="A520" s="2" t="n">
        <v>45616</v>
      </c>
      <c r="B520" t="n">
        <v>2024</v>
      </c>
      <c r="C520" t="inlineStr">
        <is>
          <t>November</t>
        </is>
      </c>
      <c r="D520" t="inlineStr">
        <is>
          <t>Eco Sweater</t>
        </is>
      </c>
      <c r="E520" t="inlineStr">
        <is>
          <t>Clothing</t>
        </is>
      </c>
      <c r="F520" t="inlineStr">
        <is>
          <t>Julia Nowak</t>
        </is>
      </c>
      <c r="G520" t="inlineStr">
        <is>
          <t>Germany</t>
        </is>
      </c>
      <c r="H520" t="inlineStr">
        <is>
          <t>Marketplace</t>
        </is>
      </c>
      <c r="I520" t="n">
        <v>2</v>
      </c>
      <c r="J520" s="3" t="n">
        <v>305.24</v>
      </c>
      <c r="K520" s="3" t="n">
        <v>15.26</v>
      </c>
      <c r="L520" s="3" t="n">
        <v>289.98</v>
      </c>
      <c r="M520" s="3" t="n">
        <v>208.46</v>
      </c>
      <c r="N520" s="3" t="n">
        <v>81.52</v>
      </c>
      <c r="O520">
        <f>TEXT(A520,"yyyy-mm")</f>
        <v/>
      </c>
    </row>
    <row r="521">
      <c r="A521" s="2" t="n">
        <v>45616</v>
      </c>
      <c r="B521" t="n">
        <v>2024</v>
      </c>
      <c r="C521" t="inlineStr">
        <is>
          <t>November</t>
        </is>
      </c>
      <c r="D521" t="inlineStr">
        <is>
          <t>Deluxe Toothbrush</t>
        </is>
      </c>
      <c r="E521" t="inlineStr">
        <is>
          <t>Beauty &amp; Health</t>
        </is>
      </c>
      <c r="F521" t="inlineStr">
        <is>
          <t>Julia Nowak</t>
        </is>
      </c>
      <c r="G521" t="inlineStr">
        <is>
          <t>Germany</t>
        </is>
      </c>
      <c r="H521" t="inlineStr">
        <is>
          <t>Marketplace</t>
        </is>
      </c>
      <c r="I521" t="n">
        <v>5</v>
      </c>
      <c r="J521" s="3" t="n">
        <v>1608.05</v>
      </c>
      <c r="K521" s="3" t="n">
        <v>160.81</v>
      </c>
      <c r="L521" s="3" t="n">
        <v>1447.24</v>
      </c>
      <c r="M521" s="3" t="n">
        <v>872.85</v>
      </c>
      <c r="N521" s="3" t="n">
        <v>574.4</v>
      </c>
      <c r="O521">
        <f>TEXT(A521,"yyyy-mm")</f>
        <v/>
      </c>
    </row>
    <row r="522">
      <c r="A522" s="2" t="n">
        <v>45616</v>
      </c>
      <c r="B522" t="n">
        <v>2024</v>
      </c>
      <c r="C522" t="inlineStr">
        <is>
          <t>November</t>
        </is>
      </c>
      <c r="D522" t="inlineStr">
        <is>
          <t>Compact Biography</t>
        </is>
      </c>
      <c r="E522" t="inlineStr">
        <is>
          <t>Books</t>
        </is>
      </c>
      <c r="F522" t="inlineStr">
        <is>
          <t>Julia Nowak</t>
        </is>
      </c>
      <c r="G522" t="inlineStr">
        <is>
          <t>Germany</t>
        </is>
      </c>
      <c r="H522" t="inlineStr">
        <is>
          <t>Marketplace</t>
        </is>
      </c>
      <c r="I522" t="n">
        <v>1</v>
      </c>
      <c r="J522" s="3" t="n">
        <v>249.85</v>
      </c>
      <c r="K522" s="3" t="n">
        <v>49.97</v>
      </c>
      <c r="L522" s="3" t="n">
        <v>199.88</v>
      </c>
      <c r="M522" s="3" t="n">
        <v>140.33</v>
      </c>
      <c r="N522" s="3" t="n">
        <v>59.55</v>
      </c>
      <c r="O522">
        <f>TEXT(A522,"yyyy-mm")</f>
        <v/>
      </c>
    </row>
    <row r="523">
      <c r="A523" s="2" t="n">
        <v>45616</v>
      </c>
      <c r="B523" t="n">
        <v>2024</v>
      </c>
      <c r="C523" t="inlineStr">
        <is>
          <t>November</t>
        </is>
      </c>
      <c r="D523" t="inlineStr">
        <is>
          <t>Classic Coffee Beans</t>
        </is>
      </c>
      <c r="E523" t="inlineStr">
        <is>
          <t>Grocery</t>
        </is>
      </c>
      <c r="F523" t="inlineStr">
        <is>
          <t>Laura Muller</t>
        </is>
      </c>
      <c r="G523" t="inlineStr">
        <is>
          <t>Italy</t>
        </is>
      </c>
      <c r="H523" t="inlineStr">
        <is>
          <t>Retail Store</t>
        </is>
      </c>
      <c r="I523" t="n">
        <v>3</v>
      </c>
      <c r="J523" s="3" t="n">
        <v>962.0700000000001</v>
      </c>
      <c r="K523" s="3" t="n">
        <v>0</v>
      </c>
      <c r="L523" s="3" t="n">
        <v>962.0700000000001</v>
      </c>
      <c r="M523" s="3" t="n">
        <v>584.28</v>
      </c>
      <c r="N523" s="3" t="n">
        <v>377.79</v>
      </c>
      <c r="O523">
        <f>TEXT(A523,"yyyy-mm")</f>
        <v/>
      </c>
    </row>
    <row r="524">
      <c r="A524" s="2" t="n">
        <v>45616</v>
      </c>
      <c r="B524" t="n">
        <v>2024</v>
      </c>
      <c r="C524" t="inlineStr">
        <is>
          <t>November</t>
        </is>
      </c>
      <c r="D524" t="inlineStr">
        <is>
          <t>Portable Notebook</t>
        </is>
      </c>
      <c r="E524" t="inlineStr">
        <is>
          <t>Books</t>
        </is>
      </c>
      <c r="F524" t="inlineStr">
        <is>
          <t>Laura Muller</t>
        </is>
      </c>
      <c r="G524" t="inlineStr">
        <is>
          <t>Italy</t>
        </is>
      </c>
      <c r="H524" t="inlineStr">
        <is>
          <t>Retail Store</t>
        </is>
      </c>
      <c r="I524" t="n">
        <v>4</v>
      </c>
      <c r="J524" s="3" t="n">
        <v>488.12</v>
      </c>
      <c r="K524" s="3" t="n">
        <v>24.41</v>
      </c>
      <c r="L524" s="3" t="n">
        <v>463.71</v>
      </c>
      <c r="M524" s="3" t="n">
        <v>285.12</v>
      </c>
      <c r="N524" s="3" t="n">
        <v>178.59</v>
      </c>
      <c r="O524">
        <f>TEXT(A524,"yyyy-mm")</f>
        <v/>
      </c>
    </row>
    <row r="525">
      <c r="A525" s="2" t="n">
        <v>45617</v>
      </c>
      <c r="B525" t="n">
        <v>2024</v>
      </c>
      <c r="C525" t="inlineStr">
        <is>
          <t>November</t>
        </is>
      </c>
      <c r="D525" t="inlineStr">
        <is>
          <t>Deluxe Headphones</t>
        </is>
      </c>
      <c r="E525" t="inlineStr">
        <is>
          <t>Electronics</t>
        </is>
      </c>
      <c r="F525" t="inlineStr">
        <is>
          <t>Mark Smith</t>
        </is>
      </c>
      <c r="G525" t="inlineStr">
        <is>
          <t>United States</t>
        </is>
      </c>
      <c r="H525" t="inlineStr">
        <is>
          <t>Marketplace</t>
        </is>
      </c>
      <c r="I525" t="n">
        <v>5</v>
      </c>
      <c r="J525" s="3" t="n">
        <v>373.75</v>
      </c>
      <c r="K525" s="3" t="n">
        <v>74.75</v>
      </c>
      <c r="L525" s="3" t="n">
        <v>299</v>
      </c>
      <c r="M525" s="3" t="n">
        <v>262.5</v>
      </c>
      <c r="N525" s="3" t="n">
        <v>36.5</v>
      </c>
      <c r="O525">
        <f>TEXT(A525,"yyyy-mm")</f>
        <v/>
      </c>
    </row>
    <row r="526">
      <c r="A526" s="2" t="n">
        <v>45617</v>
      </c>
      <c r="B526" t="n">
        <v>2024</v>
      </c>
      <c r="C526" t="inlineStr">
        <is>
          <t>November</t>
        </is>
      </c>
      <c r="D526" t="inlineStr">
        <is>
          <t>Smart Face Cream</t>
        </is>
      </c>
      <c r="E526" t="inlineStr">
        <is>
          <t>Beauty &amp; Health</t>
        </is>
      </c>
      <c r="F526" t="inlineStr">
        <is>
          <t>Mark Smith</t>
        </is>
      </c>
      <c r="G526" t="inlineStr">
        <is>
          <t>United States</t>
        </is>
      </c>
      <c r="H526" t="inlineStr">
        <is>
          <t>Marketplace</t>
        </is>
      </c>
      <c r="I526" t="n">
        <v>5</v>
      </c>
      <c r="J526" s="3" t="n">
        <v>1363.55</v>
      </c>
      <c r="K526" s="3" t="n">
        <v>136.35</v>
      </c>
      <c r="L526" s="3" t="n">
        <v>1227.2</v>
      </c>
      <c r="M526" s="3" t="n">
        <v>965.7</v>
      </c>
      <c r="N526" s="3" t="n">
        <v>261.5</v>
      </c>
      <c r="O526">
        <f>TEXT(A526,"yyyy-mm")</f>
        <v/>
      </c>
    </row>
    <row r="527">
      <c r="A527" s="2" t="n">
        <v>45617</v>
      </c>
      <c r="B527" t="n">
        <v>2024</v>
      </c>
      <c r="C527" t="inlineStr">
        <is>
          <t>November</t>
        </is>
      </c>
      <c r="D527" t="inlineStr">
        <is>
          <t>Smart Cookbook</t>
        </is>
      </c>
      <c r="E527" t="inlineStr">
        <is>
          <t>Books</t>
        </is>
      </c>
      <c r="F527" t="inlineStr">
        <is>
          <t>Mark Smith</t>
        </is>
      </c>
      <c r="G527" t="inlineStr">
        <is>
          <t>United States</t>
        </is>
      </c>
      <c r="H527" t="inlineStr">
        <is>
          <t>Marketplace</t>
        </is>
      </c>
      <c r="I527" t="n">
        <v>4</v>
      </c>
      <c r="J527" s="3" t="n">
        <v>71.28</v>
      </c>
      <c r="K527" s="3" t="n">
        <v>0</v>
      </c>
      <c r="L527" s="3" t="n">
        <v>71.28</v>
      </c>
      <c r="M527" s="3" t="n">
        <v>39.52</v>
      </c>
      <c r="N527" s="3" t="n">
        <v>31.76</v>
      </c>
      <c r="O527">
        <f>TEXT(A527,"yyyy-mm")</f>
        <v/>
      </c>
    </row>
    <row r="528">
      <c r="A528" s="2" t="n">
        <v>45618</v>
      </c>
      <c r="B528" t="n">
        <v>2024</v>
      </c>
      <c r="C528" t="inlineStr">
        <is>
          <t>November</t>
        </is>
      </c>
      <c r="D528" t="inlineStr">
        <is>
          <t>Premium Water Bottle</t>
        </is>
      </c>
      <c r="E528" t="inlineStr">
        <is>
          <t>Sports &amp; Outdoors</t>
        </is>
      </c>
      <c r="F528" t="inlineStr">
        <is>
          <t>Clara Schmidt</t>
        </is>
      </c>
      <c r="G528" t="inlineStr">
        <is>
          <t>Spain</t>
        </is>
      </c>
      <c r="H528" t="inlineStr">
        <is>
          <t>Retail Store</t>
        </is>
      </c>
      <c r="I528" t="n">
        <v>3</v>
      </c>
      <c r="J528" s="3" t="n">
        <v>358.71</v>
      </c>
      <c r="K528" s="3" t="n">
        <v>0</v>
      </c>
      <c r="L528" s="3" t="n">
        <v>358.71</v>
      </c>
      <c r="M528" s="3" t="n">
        <v>268.86</v>
      </c>
      <c r="N528" s="3" t="n">
        <v>89.84999999999999</v>
      </c>
      <c r="O528">
        <f>TEXT(A528,"yyyy-mm")</f>
        <v/>
      </c>
    </row>
    <row r="529">
      <c r="A529" s="2" t="n">
        <v>45618</v>
      </c>
      <c r="B529" t="n">
        <v>2024</v>
      </c>
      <c r="C529" t="inlineStr">
        <is>
          <t>November</t>
        </is>
      </c>
      <c r="D529" t="inlineStr">
        <is>
          <t>Wireless Honey</t>
        </is>
      </c>
      <c r="E529" t="inlineStr">
        <is>
          <t>Grocery</t>
        </is>
      </c>
      <c r="F529" t="inlineStr">
        <is>
          <t>Clara Schmidt</t>
        </is>
      </c>
      <c r="G529" t="inlineStr">
        <is>
          <t>Spain</t>
        </is>
      </c>
      <c r="H529" t="inlineStr">
        <is>
          <t>Retail Store</t>
        </is>
      </c>
      <c r="I529" t="n">
        <v>3</v>
      </c>
      <c r="J529" s="3" t="n">
        <v>395.46</v>
      </c>
      <c r="K529" s="3" t="n">
        <v>19.77</v>
      </c>
      <c r="L529" s="3" t="n">
        <v>375.69</v>
      </c>
      <c r="M529" s="3" t="n">
        <v>282.21</v>
      </c>
      <c r="N529" s="3" t="n">
        <v>93.48</v>
      </c>
      <c r="O529">
        <f>TEXT(A529,"yyyy-mm")</f>
        <v/>
      </c>
    </row>
    <row r="530">
      <c r="A530" s="2" t="n">
        <v>45618</v>
      </c>
      <c r="B530" t="n">
        <v>2024</v>
      </c>
      <c r="C530" t="inlineStr">
        <is>
          <t>November</t>
        </is>
      </c>
      <c r="D530" t="inlineStr">
        <is>
          <t>Essential Notebook</t>
        </is>
      </c>
      <c r="E530" t="inlineStr">
        <is>
          <t>Books</t>
        </is>
      </c>
      <c r="F530" t="inlineStr">
        <is>
          <t>Michael Smith</t>
        </is>
      </c>
      <c r="G530" t="inlineStr">
        <is>
          <t>Spain</t>
        </is>
      </c>
      <c r="H530" t="inlineStr">
        <is>
          <t>Mobile App</t>
        </is>
      </c>
      <c r="I530" t="n">
        <v>2</v>
      </c>
      <c r="J530" s="3" t="n">
        <v>240.62</v>
      </c>
      <c r="K530" s="3" t="n">
        <v>12.03</v>
      </c>
      <c r="L530" s="3" t="n">
        <v>228.59</v>
      </c>
      <c r="M530" s="3" t="n">
        <v>158.2</v>
      </c>
      <c r="N530" s="3" t="n">
        <v>70.39</v>
      </c>
      <c r="O530">
        <f>TEXT(A530,"yyyy-mm")</f>
        <v/>
      </c>
    </row>
    <row r="531">
      <c r="A531" s="2" t="n">
        <v>45618</v>
      </c>
      <c r="B531" t="n">
        <v>2024</v>
      </c>
      <c r="C531" t="inlineStr">
        <is>
          <t>November</t>
        </is>
      </c>
      <c r="D531" t="inlineStr">
        <is>
          <t>Smart Cookbook</t>
        </is>
      </c>
      <c r="E531" t="inlineStr">
        <is>
          <t>Books</t>
        </is>
      </c>
      <c r="F531" t="inlineStr">
        <is>
          <t>Michael Smith</t>
        </is>
      </c>
      <c r="G531" t="inlineStr">
        <is>
          <t>Spain</t>
        </is>
      </c>
      <c r="H531" t="inlineStr">
        <is>
          <t>Mobile App</t>
        </is>
      </c>
      <c r="I531" t="n">
        <v>5</v>
      </c>
      <c r="J531" s="3" t="n">
        <v>92.3</v>
      </c>
      <c r="K531" s="3" t="n">
        <v>4.62</v>
      </c>
      <c r="L531" s="3" t="n">
        <v>87.69</v>
      </c>
      <c r="M531" s="3" t="n">
        <v>49.4</v>
      </c>
      <c r="N531" s="3" t="n">
        <v>38.29</v>
      </c>
      <c r="O531">
        <f>TEXT(A531,"yyyy-mm")</f>
        <v/>
      </c>
    </row>
    <row r="532">
      <c r="A532" s="2" t="n">
        <v>45618</v>
      </c>
      <c r="B532" t="n">
        <v>2024</v>
      </c>
      <c r="C532" t="inlineStr">
        <is>
          <t>November</t>
        </is>
      </c>
      <c r="D532" t="inlineStr">
        <is>
          <t>Essential Cushion</t>
        </is>
      </c>
      <c r="E532" t="inlineStr">
        <is>
          <t>Home &amp; Garden</t>
        </is>
      </c>
      <c r="F532" t="inlineStr">
        <is>
          <t>Michael Smith</t>
        </is>
      </c>
      <c r="G532" t="inlineStr">
        <is>
          <t>Spain</t>
        </is>
      </c>
      <c r="H532" t="inlineStr">
        <is>
          <t>Mobile App</t>
        </is>
      </c>
      <c r="I532" t="n">
        <v>3</v>
      </c>
      <c r="J532" s="3" t="n">
        <v>138.09</v>
      </c>
      <c r="K532" s="3" t="n">
        <v>13.81</v>
      </c>
      <c r="L532" s="3" t="n">
        <v>124.28</v>
      </c>
      <c r="M532" s="3" t="n">
        <v>91.65000000000001</v>
      </c>
      <c r="N532" s="3" t="n">
        <v>32.63</v>
      </c>
      <c r="O532">
        <f>TEXT(A532,"yyyy-mm")</f>
        <v/>
      </c>
    </row>
    <row r="533">
      <c r="A533" s="2" t="n">
        <v>45618</v>
      </c>
      <c r="B533" t="n">
        <v>2024</v>
      </c>
      <c r="C533" t="inlineStr">
        <is>
          <t>November</t>
        </is>
      </c>
      <c r="D533" t="inlineStr">
        <is>
          <t>Deluxe Notebook</t>
        </is>
      </c>
      <c r="E533" t="inlineStr">
        <is>
          <t>Books</t>
        </is>
      </c>
      <c r="F533" t="inlineStr">
        <is>
          <t>Michael Smith</t>
        </is>
      </c>
      <c r="G533" t="inlineStr">
        <is>
          <t>Spain</t>
        </is>
      </c>
      <c r="H533" t="inlineStr">
        <is>
          <t>Mobile App</t>
        </is>
      </c>
      <c r="I533" t="n">
        <v>1</v>
      </c>
      <c r="J533" s="3" t="n">
        <v>210.66</v>
      </c>
      <c r="K533" s="3" t="n">
        <v>21.07</v>
      </c>
      <c r="L533" s="3" t="n">
        <v>189.59</v>
      </c>
      <c r="M533" s="3" t="n">
        <v>150.76</v>
      </c>
      <c r="N533" s="3" t="n">
        <v>38.83</v>
      </c>
      <c r="O533">
        <f>TEXT(A533,"yyyy-mm")</f>
        <v/>
      </c>
    </row>
    <row r="534">
      <c r="A534" s="2" t="n">
        <v>45619</v>
      </c>
      <c r="B534" t="n">
        <v>2024</v>
      </c>
      <c r="C534" t="inlineStr">
        <is>
          <t>November</t>
        </is>
      </c>
      <c r="D534" t="inlineStr">
        <is>
          <t>Deluxe Notebook</t>
        </is>
      </c>
      <c r="E534" t="inlineStr">
        <is>
          <t>Books</t>
        </is>
      </c>
      <c r="F534" t="inlineStr">
        <is>
          <t>Maria Weber</t>
        </is>
      </c>
      <c r="G534" t="inlineStr">
        <is>
          <t>Spain</t>
        </is>
      </c>
      <c r="H534" t="inlineStr">
        <is>
          <t>Web Store</t>
        </is>
      </c>
      <c r="I534" t="n">
        <v>1</v>
      </c>
      <c r="J534" s="3" t="n">
        <v>218.75</v>
      </c>
      <c r="K534" s="3" t="n">
        <v>32.81</v>
      </c>
      <c r="L534" s="3" t="n">
        <v>185.94</v>
      </c>
      <c r="M534" s="3" t="n">
        <v>150.76</v>
      </c>
      <c r="N534" s="3" t="n">
        <v>35.18</v>
      </c>
      <c r="O534">
        <f>TEXT(A534,"yyyy-mm")</f>
        <v/>
      </c>
    </row>
    <row r="535">
      <c r="A535" s="2" t="n">
        <v>45619</v>
      </c>
      <c r="B535" t="n">
        <v>2024</v>
      </c>
      <c r="C535" t="inlineStr">
        <is>
          <t>November</t>
        </is>
      </c>
      <c r="D535" t="inlineStr">
        <is>
          <t>Eco Tent</t>
        </is>
      </c>
      <c r="E535" t="inlineStr">
        <is>
          <t>Sports &amp; Outdoors</t>
        </is>
      </c>
      <c r="F535" t="inlineStr">
        <is>
          <t>Maria Weber</t>
        </is>
      </c>
      <c r="G535" t="inlineStr">
        <is>
          <t>Spain</t>
        </is>
      </c>
      <c r="H535" t="inlineStr">
        <is>
          <t>Web Store</t>
        </is>
      </c>
      <c r="I535" t="n">
        <v>3</v>
      </c>
      <c r="J535" s="3" t="n">
        <v>201.51</v>
      </c>
      <c r="K535" s="3" t="n">
        <v>0</v>
      </c>
      <c r="L535" s="3" t="n">
        <v>201.51</v>
      </c>
      <c r="M535" s="3" t="n">
        <v>131.55</v>
      </c>
      <c r="N535" s="3" t="n">
        <v>69.95999999999999</v>
      </c>
      <c r="O535">
        <f>TEXT(A535,"yyyy-mm")</f>
        <v/>
      </c>
    </row>
    <row r="536">
      <c r="A536" s="2" t="n">
        <v>45619</v>
      </c>
      <c r="B536" t="n">
        <v>2024</v>
      </c>
      <c r="C536" t="inlineStr">
        <is>
          <t>November</t>
        </is>
      </c>
      <c r="D536" t="inlineStr">
        <is>
          <t>Classic Tea Set</t>
        </is>
      </c>
      <c r="E536" t="inlineStr">
        <is>
          <t>Grocery</t>
        </is>
      </c>
      <c r="F536" t="inlineStr">
        <is>
          <t>Maria Weber</t>
        </is>
      </c>
      <c r="G536" t="inlineStr">
        <is>
          <t>Spain</t>
        </is>
      </c>
      <c r="H536" t="inlineStr">
        <is>
          <t>Web Store</t>
        </is>
      </c>
      <c r="I536" t="n">
        <v>4</v>
      </c>
      <c r="J536" s="3" t="n">
        <v>730.12</v>
      </c>
      <c r="K536" s="3" t="n">
        <v>146.02</v>
      </c>
      <c r="L536" s="3" t="n">
        <v>584.1</v>
      </c>
      <c r="M536" s="3" t="n">
        <v>501.6</v>
      </c>
      <c r="N536" s="3" t="n">
        <v>82.5</v>
      </c>
      <c r="O536">
        <f>TEXT(A536,"yyyy-mm")</f>
        <v/>
      </c>
    </row>
    <row r="537">
      <c r="A537" s="2" t="n">
        <v>45619</v>
      </c>
      <c r="B537" t="n">
        <v>2024</v>
      </c>
      <c r="C537" t="inlineStr">
        <is>
          <t>November</t>
        </is>
      </c>
      <c r="D537" t="inlineStr">
        <is>
          <t>Classic Yoga Mat</t>
        </is>
      </c>
      <c r="E537" t="inlineStr">
        <is>
          <t>Sports &amp; Outdoors</t>
        </is>
      </c>
      <c r="F537" t="inlineStr">
        <is>
          <t>Maria Weber</t>
        </is>
      </c>
      <c r="G537" t="inlineStr">
        <is>
          <t>Spain</t>
        </is>
      </c>
      <c r="H537" t="inlineStr">
        <is>
          <t>Web Store</t>
        </is>
      </c>
      <c r="I537" t="n">
        <v>5</v>
      </c>
      <c r="J537" s="3" t="n">
        <v>1697.95</v>
      </c>
      <c r="K537" s="3" t="n">
        <v>84.90000000000001</v>
      </c>
      <c r="L537" s="3" t="n">
        <v>1613.05</v>
      </c>
      <c r="M537" s="3" t="n">
        <v>978.5</v>
      </c>
      <c r="N537" s="3" t="n">
        <v>634.55</v>
      </c>
      <c r="O537">
        <f>TEXT(A537,"yyyy-mm")</f>
        <v/>
      </c>
    </row>
    <row r="538">
      <c r="A538" s="2" t="n">
        <v>45620</v>
      </c>
      <c r="B538" t="n">
        <v>2024</v>
      </c>
      <c r="C538" t="inlineStr">
        <is>
          <t>November</t>
        </is>
      </c>
      <c r="D538" t="inlineStr">
        <is>
          <t>Smart Camera</t>
        </is>
      </c>
      <c r="E538" t="inlineStr">
        <is>
          <t>Electronics</t>
        </is>
      </c>
      <c r="F538" t="inlineStr">
        <is>
          <t>Laura Muller</t>
        </is>
      </c>
      <c r="G538" t="inlineStr">
        <is>
          <t>Italy</t>
        </is>
      </c>
      <c r="H538" t="inlineStr">
        <is>
          <t>Mobile App</t>
        </is>
      </c>
      <c r="I538" t="n">
        <v>4</v>
      </c>
      <c r="J538" s="3" t="n">
        <v>1174.4</v>
      </c>
      <c r="K538" s="3" t="n">
        <v>234.88</v>
      </c>
      <c r="L538" s="3" t="n">
        <v>939.52</v>
      </c>
      <c r="M538" s="3" t="n">
        <v>669.6</v>
      </c>
      <c r="N538" s="3" t="n">
        <v>269.92</v>
      </c>
      <c r="O538">
        <f>TEXT(A538,"yyyy-mm")</f>
        <v/>
      </c>
    </row>
    <row r="539">
      <c r="A539" s="2" t="n">
        <v>45620</v>
      </c>
      <c r="B539" t="n">
        <v>2024</v>
      </c>
      <c r="C539" t="inlineStr">
        <is>
          <t>November</t>
        </is>
      </c>
      <c r="D539" t="inlineStr">
        <is>
          <t>Deluxe Cookbook</t>
        </is>
      </c>
      <c r="E539" t="inlineStr">
        <is>
          <t>Books</t>
        </is>
      </c>
      <c r="F539" t="inlineStr">
        <is>
          <t>Laura Muller</t>
        </is>
      </c>
      <c r="G539" t="inlineStr">
        <is>
          <t>Italy</t>
        </is>
      </c>
      <c r="H539" t="inlineStr">
        <is>
          <t>Mobile App</t>
        </is>
      </c>
      <c r="I539" t="n">
        <v>3</v>
      </c>
      <c r="J539" s="3" t="n">
        <v>396.54</v>
      </c>
      <c r="K539" s="3" t="n">
        <v>59.48</v>
      </c>
      <c r="L539" s="3" t="n">
        <v>337.06</v>
      </c>
      <c r="M539" s="3" t="n">
        <v>255.81</v>
      </c>
      <c r="N539" s="3" t="n">
        <v>81.25</v>
      </c>
      <c r="O539">
        <f>TEXT(A539,"yyyy-mm")</f>
        <v/>
      </c>
    </row>
    <row r="540">
      <c r="A540" s="2" t="n">
        <v>45620</v>
      </c>
      <c r="B540" t="n">
        <v>2024</v>
      </c>
      <c r="C540" t="inlineStr">
        <is>
          <t>November</t>
        </is>
      </c>
      <c r="D540" t="inlineStr">
        <is>
          <t>Eco Tent</t>
        </is>
      </c>
      <c r="E540" t="inlineStr">
        <is>
          <t>Sports &amp; Outdoors</t>
        </is>
      </c>
      <c r="F540" t="inlineStr">
        <is>
          <t>Laura Muller</t>
        </is>
      </c>
      <c r="G540" t="inlineStr">
        <is>
          <t>Italy</t>
        </is>
      </c>
      <c r="H540" t="inlineStr">
        <is>
          <t>Mobile App</t>
        </is>
      </c>
      <c r="I540" t="n">
        <v>4</v>
      </c>
      <c r="J540" s="3" t="n">
        <v>987.2</v>
      </c>
      <c r="K540" s="3" t="n">
        <v>98.72</v>
      </c>
      <c r="L540" s="3" t="n">
        <v>888.48</v>
      </c>
      <c r="M540" s="3" t="n">
        <v>540.12</v>
      </c>
      <c r="N540" s="3" t="n">
        <v>348.36</v>
      </c>
      <c r="O540">
        <f>TEXT(A540,"yyyy-mm")</f>
        <v/>
      </c>
    </row>
    <row r="541">
      <c r="A541" s="2" t="n">
        <v>45620</v>
      </c>
      <c r="B541" t="n">
        <v>2024</v>
      </c>
      <c r="C541" t="inlineStr">
        <is>
          <t>November</t>
        </is>
      </c>
      <c r="D541" t="inlineStr">
        <is>
          <t>Deluxe Headphones</t>
        </is>
      </c>
      <c r="E541" t="inlineStr">
        <is>
          <t>Electronics</t>
        </is>
      </c>
      <c r="F541" t="inlineStr">
        <is>
          <t>Laura Muller</t>
        </is>
      </c>
      <c r="G541" t="inlineStr">
        <is>
          <t>Italy</t>
        </is>
      </c>
      <c r="H541" t="inlineStr">
        <is>
          <t>Mobile App</t>
        </is>
      </c>
      <c r="I541" t="n">
        <v>3</v>
      </c>
      <c r="J541" s="3" t="n">
        <v>212.82</v>
      </c>
      <c r="K541" s="3" t="n">
        <v>10.64</v>
      </c>
      <c r="L541" s="3" t="n">
        <v>202.18</v>
      </c>
      <c r="M541" s="3" t="n">
        <v>157.5</v>
      </c>
      <c r="N541" s="3" t="n">
        <v>44.68</v>
      </c>
      <c r="O541">
        <f>TEXT(A541,"yyyy-mm")</f>
        <v/>
      </c>
    </row>
    <row r="542">
      <c r="A542" s="2" t="n">
        <v>45620</v>
      </c>
      <c r="B542" t="n">
        <v>2024</v>
      </c>
      <c r="C542" t="inlineStr">
        <is>
          <t>November</t>
        </is>
      </c>
      <c r="D542" t="inlineStr">
        <is>
          <t>Smart Camera</t>
        </is>
      </c>
      <c r="E542" t="inlineStr">
        <is>
          <t>Electronics</t>
        </is>
      </c>
      <c r="F542" t="inlineStr">
        <is>
          <t>Robert Garcia</t>
        </is>
      </c>
      <c r="G542" t="inlineStr">
        <is>
          <t>United Kingdom</t>
        </is>
      </c>
      <c r="H542" t="inlineStr">
        <is>
          <t>Mobile App</t>
        </is>
      </c>
      <c r="I542" t="n">
        <v>5</v>
      </c>
      <c r="J542" s="3" t="n">
        <v>628.7</v>
      </c>
      <c r="K542" s="3" t="n">
        <v>31.44</v>
      </c>
      <c r="L542" s="3" t="n">
        <v>597.26</v>
      </c>
      <c r="M542" s="3" t="n">
        <v>427.9</v>
      </c>
      <c r="N542" s="3" t="n">
        <v>169.36</v>
      </c>
      <c r="O542">
        <f>TEXT(A542,"yyyy-mm")</f>
        <v/>
      </c>
    </row>
    <row r="543">
      <c r="A543" s="2" t="n">
        <v>45621</v>
      </c>
      <c r="B543" t="n">
        <v>2024</v>
      </c>
      <c r="C543" t="inlineStr">
        <is>
          <t>November</t>
        </is>
      </c>
      <c r="D543" t="inlineStr">
        <is>
          <t>Deluxe Cookbook</t>
        </is>
      </c>
      <c r="E543" t="inlineStr">
        <is>
          <t>Books</t>
        </is>
      </c>
      <c r="F543" t="inlineStr">
        <is>
          <t>Olivia Smith</t>
        </is>
      </c>
      <c r="G543" t="inlineStr">
        <is>
          <t>Germany</t>
        </is>
      </c>
      <c r="H543" t="inlineStr">
        <is>
          <t>Mobile App</t>
        </is>
      </c>
      <c r="I543" t="n">
        <v>3</v>
      </c>
      <c r="J543" s="3" t="n">
        <v>402.9</v>
      </c>
      <c r="K543" s="3" t="n">
        <v>0</v>
      </c>
      <c r="L543" s="3" t="n">
        <v>402.9</v>
      </c>
      <c r="M543" s="3" t="n">
        <v>255.81</v>
      </c>
      <c r="N543" s="3" t="n">
        <v>147.09</v>
      </c>
      <c r="O543">
        <f>TEXT(A543,"yyyy-mm")</f>
        <v/>
      </c>
    </row>
    <row r="544">
      <c r="A544" s="2" t="n">
        <v>45621</v>
      </c>
      <c r="B544" t="n">
        <v>2024</v>
      </c>
      <c r="C544" t="inlineStr">
        <is>
          <t>November</t>
        </is>
      </c>
      <c r="D544" t="inlineStr">
        <is>
          <t>Ultra Rug</t>
        </is>
      </c>
      <c r="E544" t="inlineStr">
        <is>
          <t>Home &amp; Garden</t>
        </is>
      </c>
      <c r="F544" t="inlineStr">
        <is>
          <t>Olivia Smith</t>
        </is>
      </c>
      <c r="G544" t="inlineStr">
        <is>
          <t>Germany</t>
        </is>
      </c>
      <c r="H544" t="inlineStr">
        <is>
          <t>Mobile App</t>
        </is>
      </c>
      <c r="I544" t="n">
        <v>1</v>
      </c>
      <c r="J544" s="3" t="n">
        <v>54.19</v>
      </c>
      <c r="K544" s="3" t="n">
        <v>2.71</v>
      </c>
      <c r="L544" s="3" t="n">
        <v>51.48</v>
      </c>
      <c r="M544" s="3" t="n">
        <v>32.91</v>
      </c>
      <c r="N544" s="3" t="n">
        <v>18.57</v>
      </c>
      <c r="O544">
        <f>TEXT(A544,"yyyy-mm")</f>
        <v/>
      </c>
    </row>
    <row r="545">
      <c r="A545" s="2" t="n">
        <v>45621</v>
      </c>
      <c r="B545" t="n">
        <v>2024</v>
      </c>
      <c r="C545" t="inlineStr">
        <is>
          <t>November</t>
        </is>
      </c>
      <c r="D545" t="inlineStr">
        <is>
          <t>Eco Tent</t>
        </is>
      </c>
      <c r="E545" t="inlineStr">
        <is>
          <t>Sports &amp; Outdoors</t>
        </is>
      </c>
      <c r="F545" t="inlineStr">
        <is>
          <t>Olivia Smith</t>
        </is>
      </c>
      <c r="G545" t="inlineStr">
        <is>
          <t>Germany</t>
        </is>
      </c>
      <c r="H545" t="inlineStr">
        <is>
          <t>Mobile App</t>
        </is>
      </c>
      <c r="I545" t="n">
        <v>3</v>
      </c>
      <c r="J545" s="3" t="n">
        <v>764.58</v>
      </c>
      <c r="K545" s="3" t="n">
        <v>0</v>
      </c>
      <c r="L545" s="3" t="n">
        <v>764.58</v>
      </c>
      <c r="M545" s="3" t="n">
        <v>405.09</v>
      </c>
      <c r="N545" s="3" t="n">
        <v>359.49</v>
      </c>
      <c r="O545">
        <f>TEXT(A545,"yyyy-mm")</f>
        <v/>
      </c>
    </row>
    <row r="546">
      <c r="A546" s="2" t="n">
        <v>45621</v>
      </c>
      <c r="B546" t="n">
        <v>2024</v>
      </c>
      <c r="C546" t="inlineStr">
        <is>
          <t>November</t>
        </is>
      </c>
      <c r="D546" t="inlineStr">
        <is>
          <t>Smart Camera</t>
        </is>
      </c>
      <c r="E546" t="inlineStr">
        <is>
          <t>Electronics</t>
        </is>
      </c>
      <c r="F546" t="inlineStr">
        <is>
          <t>Emily Muller</t>
        </is>
      </c>
      <c r="G546" t="inlineStr">
        <is>
          <t>Netherlands</t>
        </is>
      </c>
      <c r="H546" t="inlineStr">
        <is>
          <t>Mobile App</t>
        </is>
      </c>
      <c r="I546" t="n">
        <v>3</v>
      </c>
      <c r="J546" s="3" t="n">
        <v>959.34</v>
      </c>
      <c r="K546" s="3" t="n">
        <v>0</v>
      </c>
      <c r="L546" s="3" t="n">
        <v>959.34</v>
      </c>
      <c r="M546" s="3" t="n">
        <v>502.2</v>
      </c>
      <c r="N546" s="3" t="n">
        <v>457.14</v>
      </c>
      <c r="O546">
        <f>TEXT(A546,"yyyy-mm")</f>
        <v/>
      </c>
    </row>
    <row r="547">
      <c r="A547" s="2" t="n">
        <v>45621</v>
      </c>
      <c r="B547" t="n">
        <v>2024</v>
      </c>
      <c r="C547" t="inlineStr">
        <is>
          <t>November</t>
        </is>
      </c>
      <c r="D547" t="inlineStr">
        <is>
          <t>Smart Drone</t>
        </is>
      </c>
      <c r="E547" t="inlineStr">
        <is>
          <t>Toys &amp; Games</t>
        </is>
      </c>
      <c r="F547" t="inlineStr">
        <is>
          <t>Emily Muller</t>
        </is>
      </c>
      <c r="G547" t="inlineStr">
        <is>
          <t>Netherlands</t>
        </is>
      </c>
      <c r="H547" t="inlineStr">
        <is>
          <t>Mobile App</t>
        </is>
      </c>
      <c r="I547" t="n">
        <v>3</v>
      </c>
      <c r="J547" s="3" t="n">
        <v>687.8099999999999</v>
      </c>
      <c r="K547" s="3" t="n">
        <v>68.78</v>
      </c>
      <c r="L547" s="3" t="n">
        <v>619.03</v>
      </c>
      <c r="M547" s="3" t="n">
        <v>380.85</v>
      </c>
      <c r="N547" s="3" t="n">
        <v>238.18</v>
      </c>
      <c r="O547">
        <f>TEXT(A547,"yyyy-mm")</f>
        <v/>
      </c>
    </row>
    <row r="548">
      <c r="A548" s="2" t="n">
        <v>45622</v>
      </c>
      <c r="B548" t="n">
        <v>2024</v>
      </c>
      <c r="C548" t="inlineStr">
        <is>
          <t>November</t>
        </is>
      </c>
      <c r="D548" t="inlineStr">
        <is>
          <t>Premium Water Bottle</t>
        </is>
      </c>
      <c r="E548" t="inlineStr">
        <is>
          <t>Sports &amp; Outdoors</t>
        </is>
      </c>
      <c r="F548" t="inlineStr">
        <is>
          <t>David Conti</t>
        </is>
      </c>
      <c r="G548" t="inlineStr">
        <is>
          <t>Poland</t>
        </is>
      </c>
      <c r="H548" t="inlineStr">
        <is>
          <t>Mobile App</t>
        </is>
      </c>
      <c r="I548" t="n">
        <v>4</v>
      </c>
      <c r="J548" s="3" t="n">
        <v>115.96</v>
      </c>
      <c r="K548" s="3" t="n">
        <v>11.6</v>
      </c>
      <c r="L548" s="3" t="n">
        <v>104.36</v>
      </c>
      <c r="M548" s="3" t="n">
        <v>66.52</v>
      </c>
      <c r="N548" s="3" t="n">
        <v>37.84</v>
      </c>
      <c r="O548">
        <f>TEXT(A548,"yyyy-mm")</f>
        <v/>
      </c>
    </row>
    <row r="549">
      <c r="A549" s="2" t="n">
        <v>45622</v>
      </c>
      <c r="B549" t="n">
        <v>2024</v>
      </c>
      <c r="C549" t="inlineStr">
        <is>
          <t>November</t>
        </is>
      </c>
      <c r="D549" t="inlineStr">
        <is>
          <t>Essential Charger</t>
        </is>
      </c>
      <c r="E549" t="inlineStr">
        <is>
          <t>Electronics</t>
        </is>
      </c>
      <c r="F549" t="inlineStr">
        <is>
          <t>David Conti</t>
        </is>
      </c>
      <c r="G549" t="inlineStr">
        <is>
          <t>Poland</t>
        </is>
      </c>
      <c r="H549" t="inlineStr">
        <is>
          <t>Mobile App</t>
        </is>
      </c>
      <c r="I549" t="n">
        <v>5</v>
      </c>
      <c r="J549" s="3" t="n">
        <v>231.15</v>
      </c>
      <c r="K549" s="3" t="n">
        <v>34.67</v>
      </c>
      <c r="L549" s="3" t="n">
        <v>196.48</v>
      </c>
      <c r="M549" s="3" t="n">
        <v>145.5</v>
      </c>
      <c r="N549" s="3" t="n">
        <v>50.98</v>
      </c>
      <c r="O549">
        <f>TEXT(A549,"yyyy-mm")</f>
        <v/>
      </c>
    </row>
    <row r="550">
      <c r="A550" s="2" t="n">
        <v>45622</v>
      </c>
      <c r="B550" t="n">
        <v>2024</v>
      </c>
      <c r="C550" t="inlineStr">
        <is>
          <t>November</t>
        </is>
      </c>
      <c r="D550" t="inlineStr">
        <is>
          <t>Essential Pasta</t>
        </is>
      </c>
      <c r="E550" t="inlineStr">
        <is>
          <t>Grocery</t>
        </is>
      </c>
      <c r="F550" t="inlineStr">
        <is>
          <t>David Conti</t>
        </is>
      </c>
      <c r="G550" t="inlineStr">
        <is>
          <t>Poland</t>
        </is>
      </c>
      <c r="H550" t="inlineStr">
        <is>
          <t>Mobile App</t>
        </is>
      </c>
      <c r="I550" t="n">
        <v>3</v>
      </c>
      <c r="J550" s="3" t="n">
        <v>166.41</v>
      </c>
      <c r="K550" s="3" t="n">
        <v>24.96</v>
      </c>
      <c r="L550" s="3" t="n">
        <v>141.45</v>
      </c>
      <c r="M550" s="3" t="n">
        <v>107.43</v>
      </c>
      <c r="N550" s="3" t="n">
        <v>34.02</v>
      </c>
      <c r="O550">
        <f>TEXT(A550,"yyyy-mm")</f>
        <v/>
      </c>
    </row>
    <row r="551">
      <c r="A551" s="2" t="n">
        <v>45622</v>
      </c>
      <c r="B551" t="n">
        <v>2024</v>
      </c>
      <c r="C551" t="inlineStr">
        <is>
          <t>November</t>
        </is>
      </c>
      <c r="D551" t="inlineStr">
        <is>
          <t>Essential Cushion</t>
        </is>
      </c>
      <c r="E551" t="inlineStr">
        <is>
          <t>Home &amp; Garden</t>
        </is>
      </c>
      <c r="F551" t="inlineStr">
        <is>
          <t>David Conti</t>
        </is>
      </c>
      <c r="G551" t="inlineStr">
        <is>
          <t>Poland</t>
        </is>
      </c>
      <c r="H551" t="inlineStr">
        <is>
          <t>Mobile App</t>
        </is>
      </c>
      <c r="I551" t="n">
        <v>4</v>
      </c>
      <c r="J551" s="3" t="n">
        <v>177.6</v>
      </c>
      <c r="K551" s="3" t="n">
        <v>0</v>
      </c>
      <c r="L551" s="3" t="n">
        <v>177.6</v>
      </c>
      <c r="M551" s="3" t="n">
        <v>122.2</v>
      </c>
      <c r="N551" s="3" t="n">
        <v>55.4</v>
      </c>
      <c r="O551">
        <f>TEXT(A551,"yyyy-mm")</f>
        <v/>
      </c>
    </row>
    <row r="552">
      <c r="A552" s="2" t="n">
        <v>45622</v>
      </c>
      <c r="B552" t="n">
        <v>2024</v>
      </c>
      <c r="C552" t="inlineStr">
        <is>
          <t>November</t>
        </is>
      </c>
      <c r="D552" t="inlineStr">
        <is>
          <t>Compact Biography</t>
        </is>
      </c>
      <c r="E552" t="inlineStr">
        <is>
          <t>Books</t>
        </is>
      </c>
      <c r="F552" t="inlineStr">
        <is>
          <t>Sophie Dubois</t>
        </is>
      </c>
      <c r="G552" t="inlineStr">
        <is>
          <t>United Kingdom</t>
        </is>
      </c>
      <c r="H552" t="inlineStr">
        <is>
          <t>Web Store</t>
        </is>
      </c>
      <c r="I552" t="n">
        <v>2</v>
      </c>
      <c r="J552" s="3" t="n">
        <v>514.86</v>
      </c>
      <c r="K552" s="3" t="n">
        <v>102.97</v>
      </c>
      <c r="L552" s="3" t="n">
        <v>411.89</v>
      </c>
      <c r="M552" s="3" t="n">
        <v>280.66</v>
      </c>
      <c r="N552" s="3" t="n">
        <v>131.23</v>
      </c>
      <c r="O552">
        <f>TEXT(A552,"yyyy-mm")</f>
        <v/>
      </c>
    </row>
    <row r="553">
      <c r="A553" s="2" t="n">
        <v>45622</v>
      </c>
      <c r="B553" t="n">
        <v>2024</v>
      </c>
      <c r="C553" t="inlineStr">
        <is>
          <t>November</t>
        </is>
      </c>
      <c r="D553" t="inlineStr">
        <is>
          <t>Premium Cookbook</t>
        </is>
      </c>
      <c r="E553" t="inlineStr">
        <is>
          <t>Books</t>
        </is>
      </c>
      <c r="F553" t="inlineStr">
        <is>
          <t>Sophie Dubois</t>
        </is>
      </c>
      <c r="G553" t="inlineStr">
        <is>
          <t>United Kingdom</t>
        </is>
      </c>
      <c r="H553" t="inlineStr">
        <is>
          <t>Web Store</t>
        </is>
      </c>
      <c r="I553" t="n">
        <v>5</v>
      </c>
      <c r="J553" s="3" t="n">
        <v>668.25</v>
      </c>
      <c r="K553" s="3" t="n">
        <v>133.65</v>
      </c>
      <c r="L553" s="3" t="n">
        <v>534.6</v>
      </c>
      <c r="M553" s="3" t="n">
        <v>474.9</v>
      </c>
      <c r="N553" s="3" t="n">
        <v>59.7</v>
      </c>
      <c r="O553">
        <f>TEXT(A553,"yyyy-mm")</f>
        <v/>
      </c>
    </row>
    <row r="554">
      <c r="A554" s="2" t="n">
        <v>45622</v>
      </c>
      <c r="B554" t="n">
        <v>2024</v>
      </c>
      <c r="C554" t="inlineStr">
        <is>
          <t>November</t>
        </is>
      </c>
      <c r="D554" t="inlineStr">
        <is>
          <t>Classic Charger</t>
        </is>
      </c>
      <c r="E554" t="inlineStr">
        <is>
          <t>Electronics</t>
        </is>
      </c>
      <c r="F554" t="inlineStr">
        <is>
          <t>Laura Schmidt</t>
        </is>
      </c>
      <c r="G554" t="inlineStr">
        <is>
          <t>United States</t>
        </is>
      </c>
      <c r="H554" t="inlineStr">
        <is>
          <t>Mobile App</t>
        </is>
      </c>
      <c r="I554" t="n">
        <v>1</v>
      </c>
      <c r="J554" s="3" t="n">
        <v>94.95999999999999</v>
      </c>
      <c r="K554" s="3" t="n">
        <v>0</v>
      </c>
      <c r="L554" s="3" t="n">
        <v>94.95999999999999</v>
      </c>
      <c r="M554" s="3" t="n">
        <v>62.21</v>
      </c>
      <c r="N554" s="3" t="n">
        <v>32.75</v>
      </c>
      <c r="O554">
        <f>TEXT(A554,"yyyy-mm")</f>
        <v/>
      </c>
    </row>
    <row r="555">
      <c r="A555" s="2" t="n">
        <v>45622</v>
      </c>
      <c r="B555" t="n">
        <v>2024</v>
      </c>
      <c r="C555" t="inlineStr">
        <is>
          <t>November</t>
        </is>
      </c>
      <c r="D555" t="inlineStr">
        <is>
          <t>Compact Jacket</t>
        </is>
      </c>
      <c r="E555" t="inlineStr">
        <is>
          <t>Clothing</t>
        </is>
      </c>
      <c r="F555" t="inlineStr">
        <is>
          <t>Laura Schmidt</t>
        </is>
      </c>
      <c r="G555" t="inlineStr">
        <is>
          <t>United States</t>
        </is>
      </c>
      <c r="H555" t="inlineStr">
        <is>
          <t>Mobile App</t>
        </is>
      </c>
      <c r="I555" t="n">
        <v>1</v>
      </c>
      <c r="J555" s="3" t="n">
        <v>38.66</v>
      </c>
      <c r="K555" s="3" t="n">
        <v>1.93</v>
      </c>
      <c r="L555" s="3" t="n">
        <v>36.73</v>
      </c>
      <c r="M555" s="3" t="n">
        <v>20.4</v>
      </c>
      <c r="N555" s="3" t="n">
        <v>16.33</v>
      </c>
      <c r="O555">
        <f>TEXT(A555,"yyyy-mm")</f>
        <v/>
      </c>
    </row>
    <row r="556">
      <c r="A556" s="2" t="n">
        <v>45622</v>
      </c>
      <c r="B556" t="n">
        <v>2024</v>
      </c>
      <c r="C556" t="inlineStr">
        <is>
          <t>November</t>
        </is>
      </c>
      <c r="D556" t="inlineStr">
        <is>
          <t>Smart Charger</t>
        </is>
      </c>
      <c r="E556" t="inlineStr">
        <is>
          <t>Electronics</t>
        </is>
      </c>
      <c r="F556" t="inlineStr">
        <is>
          <t>Sophie Dubois</t>
        </is>
      </c>
      <c r="G556" t="inlineStr">
        <is>
          <t>United Kingdom</t>
        </is>
      </c>
      <c r="H556" t="inlineStr">
        <is>
          <t>Web Store</t>
        </is>
      </c>
      <c r="I556" t="n">
        <v>4</v>
      </c>
      <c r="J556" s="3" t="n">
        <v>997.4400000000001</v>
      </c>
      <c r="K556" s="3" t="n">
        <v>199.49</v>
      </c>
      <c r="L556" s="3" t="n">
        <v>797.95</v>
      </c>
      <c r="M556" s="3" t="n">
        <v>570.08</v>
      </c>
      <c r="N556" s="3" t="n">
        <v>227.87</v>
      </c>
      <c r="O556">
        <f>TEXT(A556,"yyyy-mm")</f>
        <v/>
      </c>
    </row>
    <row r="557">
      <c r="A557" s="2" t="n">
        <v>45622</v>
      </c>
      <c r="B557" t="n">
        <v>2024</v>
      </c>
      <c r="C557" t="inlineStr">
        <is>
          <t>November</t>
        </is>
      </c>
      <c r="D557" t="inlineStr">
        <is>
          <t>Deluxe Smartwatch</t>
        </is>
      </c>
      <c r="E557" t="inlineStr">
        <is>
          <t>Electronics</t>
        </is>
      </c>
      <c r="F557" t="inlineStr">
        <is>
          <t>Sophie Dubois</t>
        </is>
      </c>
      <c r="G557" t="inlineStr">
        <is>
          <t>United Kingdom</t>
        </is>
      </c>
      <c r="H557" t="inlineStr">
        <is>
          <t>Web Store</t>
        </is>
      </c>
      <c r="I557" t="n">
        <v>3</v>
      </c>
      <c r="J557" s="3" t="n">
        <v>464.61</v>
      </c>
      <c r="K557" s="3" t="n">
        <v>0</v>
      </c>
      <c r="L557" s="3" t="n">
        <v>464.61</v>
      </c>
      <c r="M557" s="3" t="n">
        <v>368.16</v>
      </c>
      <c r="N557" s="3" t="n">
        <v>96.45</v>
      </c>
      <c r="O557">
        <f>TEXT(A557,"yyyy-mm")</f>
        <v/>
      </c>
    </row>
    <row r="558">
      <c r="A558" s="2" t="n">
        <v>45622</v>
      </c>
      <c r="B558" t="n">
        <v>2024</v>
      </c>
      <c r="C558" t="inlineStr">
        <is>
          <t>November</t>
        </is>
      </c>
      <c r="D558" t="inlineStr">
        <is>
          <t>Ultra Rug</t>
        </is>
      </c>
      <c r="E558" t="inlineStr">
        <is>
          <t>Home &amp; Garden</t>
        </is>
      </c>
      <c r="F558" t="inlineStr">
        <is>
          <t>Laura Schmidt</t>
        </is>
      </c>
      <c r="G558" t="inlineStr">
        <is>
          <t>United States</t>
        </is>
      </c>
      <c r="H558" t="inlineStr">
        <is>
          <t>Mobile App</t>
        </is>
      </c>
      <c r="I558" t="n">
        <v>2</v>
      </c>
      <c r="J558" s="3" t="n">
        <v>103.4</v>
      </c>
      <c r="K558" s="3" t="n">
        <v>10.34</v>
      </c>
      <c r="L558" s="3" t="n">
        <v>93.06</v>
      </c>
      <c r="M558" s="3" t="n">
        <v>65.81999999999999</v>
      </c>
      <c r="N558" s="3" t="n">
        <v>27.24</v>
      </c>
      <c r="O558">
        <f>TEXT(A558,"yyyy-mm")</f>
        <v/>
      </c>
    </row>
    <row r="559">
      <c r="A559" s="2" t="n">
        <v>45623</v>
      </c>
      <c r="B559" t="n">
        <v>2024</v>
      </c>
      <c r="C559" t="inlineStr">
        <is>
          <t>November</t>
        </is>
      </c>
      <c r="D559" t="inlineStr">
        <is>
          <t>Deluxe Toothbrush</t>
        </is>
      </c>
      <c r="E559" t="inlineStr">
        <is>
          <t>Beauty &amp; Health</t>
        </is>
      </c>
      <c r="F559" t="inlineStr">
        <is>
          <t>Sophie Rossi</t>
        </is>
      </c>
      <c r="G559" t="inlineStr">
        <is>
          <t>France</t>
        </is>
      </c>
      <c r="H559" t="inlineStr">
        <is>
          <t>Marketplace</t>
        </is>
      </c>
      <c r="I559" t="n">
        <v>4</v>
      </c>
      <c r="J559" s="3" t="n">
        <v>1260.32</v>
      </c>
      <c r="K559" s="3" t="n">
        <v>63.02</v>
      </c>
      <c r="L559" s="3" t="n">
        <v>1197.3</v>
      </c>
      <c r="M559" s="3" t="n">
        <v>698.28</v>
      </c>
      <c r="N559" s="3" t="n">
        <v>499.02</v>
      </c>
      <c r="O559">
        <f>TEXT(A559,"yyyy-mm")</f>
        <v/>
      </c>
    </row>
    <row r="560">
      <c r="A560" s="2" t="n">
        <v>45623</v>
      </c>
      <c r="B560" t="n">
        <v>2024</v>
      </c>
      <c r="C560" t="inlineStr">
        <is>
          <t>November</t>
        </is>
      </c>
      <c r="D560" t="inlineStr">
        <is>
          <t>Premium Water Bottle</t>
        </is>
      </c>
      <c r="E560" t="inlineStr">
        <is>
          <t>Sports &amp; Outdoors</t>
        </is>
      </c>
      <c r="F560" t="inlineStr">
        <is>
          <t>Sophie Rossi</t>
        </is>
      </c>
      <c r="G560" t="inlineStr">
        <is>
          <t>France</t>
        </is>
      </c>
      <c r="H560" t="inlineStr">
        <is>
          <t>Marketplace</t>
        </is>
      </c>
      <c r="I560" t="n">
        <v>3</v>
      </c>
      <c r="J560" s="3" t="n">
        <v>363.09</v>
      </c>
      <c r="K560" s="3" t="n">
        <v>54.46</v>
      </c>
      <c r="L560" s="3" t="n">
        <v>308.63</v>
      </c>
      <c r="M560" s="3" t="n">
        <v>268.86</v>
      </c>
      <c r="N560" s="3" t="n">
        <v>39.77</v>
      </c>
      <c r="O560">
        <f>TEXT(A560,"yyyy-mm")</f>
        <v/>
      </c>
    </row>
    <row r="561">
      <c r="A561" s="2" t="n">
        <v>45623</v>
      </c>
      <c r="B561" t="n">
        <v>2024</v>
      </c>
      <c r="C561" t="inlineStr">
        <is>
          <t>November</t>
        </is>
      </c>
      <c r="D561" t="inlineStr">
        <is>
          <t>Classic Bike Helmet</t>
        </is>
      </c>
      <c r="E561" t="inlineStr">
        <is>
          <t>Sports &amp; Outdoors</t>
        </is>
      </c>
      <c r="F561" t="inlineStr">
        <is>
          <t>Sophie Rossi</t>
        </is>
      </c>
      <c r="G561" t="inlineStr">
        <is>
          <t>France</t>
        </is>
      </c>
      <c r="H561" t="inlineStr">
        <is>
          <t>Marketplace</t>
        </is>
      </c>
      <c r="I561" t="n">
        <v>5</v>
      </c>
      <c r="J561" s="3" t="n">
        <v>1093.8</v>
      </c>
      <c r="K561" s="3" t="n">
        <v>0</v>
      </c>
      <c r="L561" s="3" t="n">
        <v>1093.8</v>
      </c>
      <c r="M561" s="3" t="n">
        <v>769.05</v>
      </c>
      <c r="N561" s="3" t="n">
        <v>324.75</v>
      </c>
      <c r="O561">
        <f>TEXT(A561,"yyyy-mm")</f>
        <v/>
      </c>
    </row>
    <row r="562">
      <c r="A562" s="2" t="n">
        <v>45624</v>
      </c>
      <c r="B562" t="n">
        <v>2024</v>
      </c>
      <c r="C562" t="inlineStr">
        <is>
          <t>November</t>
        </is>
      </c>
      <c r="D562" t="inlineStr">
        <is>
          <t>Deluxe Toolset</t>
        </is>
      </c>
      <c r="E562" t="inlineStr">
        <is>
          <t>Home &amp; Garden</t>
        </is>
      </c>
      <c r="F562" t="inlineStr">
        <is>
          <t>Thomas Lopez</t>
        </is>
      </c>
      <c r="G562" t="inlineStr">
        <is>
          <t>Spain</t>
        </is>
      </c>
      <c r="H562" t="inlineStr">
        <is>
          <t>Web Store</t>
        </is>
      </c>
      <c r="I562" t="n">
        <v>4</v>
      </c>
      <c r="J562" s="3" t="n">
        <v>279.8</v>
      </c>
      <c r="K562" s="3" t="n">
        <v>0</v>
      </c>
      <c r="L562" s="3" t="n">
        <v>279.8</v>
      </c>
      <c r="M562" s="3" t="n">
        <v>190.84</v>
      </c>
      <c r="N562" s="3" t="n">
        <v>88.95999999999999</v>
      </c>
      <c r="O562">
        <f>TEXT(A562,"yyyy-mm")</f>
        <v/>
      </c>
    </row>
    <row r="563">
      <c r="A563" s="2" t="n">
        <v>45624</v>
      </c>
      <c r="B563" t="n">
        <v>2024</v>
      </c>
      <c r="C563" t="inlineStr">
        <is>
          <t>November</t>
        </is>
      </c>
      <c r="D563" t="inlineStr">
        <is>
          <t>Wireless Coffee Beans</t>
        </is>
      </c>
      <c r="E563" t="inlineStr">
        <is>
          <t>Grocery</t>
        </is>
      </c>
      <c r="F563" t="inlineStr">
        <is>
          <t>Thomas Lopez</t>
        </is>
      </c>
      <c r="G563" t="inlineStr">
        <is>
          <t>Spain</t>
        </is>
      </c>
      <c r="H563" t="inlineStr">
        <is>
          <t>Web Store</t>
        </is>
      </c>
      <c r="I563" t="n">
        <v>2</v>
      </c>
      <c r="J563" s="3" t="n">
        <v>445.84</v>
      </c>
      <c r="K563" s="3" t="n">
        <v>44.58</v>
      </c>
      <c r="L563" s="3" t="n">
        <v>401.26</v>
      </c>
      <c r="M563" s="3" t="n">
        <v>260.26</v>
      </c>
      <c r="N563" s="3" t="n">
        <v>141</v>
      </c>
      <c r="O563">
        <f>TEXT(A563,"yyyy-mm")</f>
        <v/>
      </c>
    </row>
    <row r="564">
      <c r="A564" s="2" t="n">
        <v>45624</v>
      </c>
      <c r="B564" t="n">
        <v>2024</v>
      </c>
      <c r="C564" t="inlineStr">
        <is>
          <t>November</t>
        </is>
      </c>
      <c r="D564" t="inlineStr">
        <is>
          <t>Compact Sunscreen</t>
        </is>
      </c>
      <c r="E564" t="inlineStr">
        <is>
          <t>Beauty &amp; Health</t>
        </is>
      </c>
      <c r="F564" t="inlineStr">
        <is>
          <t>Anna Schmidt</t>
        </is>
      </c>
      <c r="G564" t="inlineStr">
        <is>
          <t>Italy</t>
        </is>
      </c>
      <c r="H564" t="inlineStr">
        <is>
          <t>Mobile App</t>
        </is>
      </c>
      <c r="I564" t="n">
        <v>4</v>
      </c>
      <c r="J564" s="3" t="n">
        <v>1148.44</v>
      </c>
      <c r="K564" s="3" t="n">
        <v>0</v>
      </c>
      <c r="L564" s="3" t="n">
        <v>1148.44</v>
      </c>
      <c r="M564" s="3" t="n">
        <v>710.64</v>
      </c>
      <c r="N564" s="3" t="n">
        <v>437.8</v>
      </c>
      <c r="O564">
        <f>TEXT(A564,"yyyy-mm")</f>
        <v/>
      </c>
    </row>
    <row r="565">
      <c r="A565" s="2" t="n">
        <v>45624</v>
      </c>
      <c r="B565" t="n">
        <v>2024</v>
      </c>
      <c r="C565" t="inlineStr">
        <is>
          <t>November</t>
        </is>
      </c>
      <c r="D565" t="inlineStr">
        <is>
          <t>Deluxe Notebook</t>
        </is>
      </c>
      <c r="E565" t="inlineStr">
        <is>
          <t>Books</t>
        </is>
      </c>
      <c r="F565" t="inlineStr">
        <is>
          <t>Daniel Zielinski</t>
        </is>
      </c>
      <c r="G565" t="inlineStr">
        <is>
          <t>United States</t>
        </is>
      </c>
      <c r="H565" t="inlineStr">
        <is>
          <t>Mobile App</t>
        </is>
      </c>
      <c r="I565" t="n">
        <v>2</v>
      </c>
      <c r="J565" s="3" t="n">
        <v>424.8</v>
      </c>
      <c r="K565" s="3" t="n">
        <v>84.95999999999999</v>
      </c>
      <c r="L565" s="3" t="n">
        <v>339.84</v>
      </c>
      <c r="M565" s="3" t="n">
        <v>301.52</v>
      </c>
      <c r="N565" s="3" t="n">
        <v>38.32</v>
      </c>
      <c r="O565">
        <f>TEXT(A565,"yyyy-mm")</f>
        <v/>
      </c>
    </row>
    <row r="566">
      <c r="A566" s="2" t="n">
        <v>45624</v>
      </c>
      <c r="B566" t="n">
        <v>2024</v>
      </c>
      <c r="C566" t="inlineStr">
        <is>
          <t>November</t>
        </is>
      </c>
      <c r="D566" t="inlineStr">
        <is>
          <t>Deluxe Cookbook</t>
        </is>
      </c>
      <c r="E566" t="inlineStr">
        <is>
          <t>Books</t>
        </is>
      </c>
      <c r="F566" t="inlineStr">
        <is>
          <t>Daniel Zielinski</t>
        </is>
      </c>
      <c r="G566" t="inlineStr">
        <is>
          <t>United States</t>
        </is>
      </c>
      <c r="H566" t="inlineStr">
        <is>
          <t>Mobile App</t>
        </is>
      </c>
      <c r="I566" t="n">
        <v>5</v>
      </c>
      <c r="J566" s="3" t="n">
        <v>700.9</v>
      </c>
      <c r="K566" s="3" t="n">
        <v>0</v>
      </c>
      <c r="L566" s="3" t="n">
        <v>700.9</v>
      </c>
      <c r="M566" s="3" t="n">
        <v>426.35</v>
      </c>
      <c r="N566" s="3" t="n">
        <v>274.55</v>
      </c>
      <c r="O566">
        <f>TEXT(A566,"yyyy-mm")</f>
        <v/>
      </c>
    </row>
    <row r="567">
      <c r="A567" s="2" t="n">
        <v>45624</v>
      </c>
      <c r="B567" t="n">
        <v>2024</v>
      </c>
      <c r="C567" t="inlineStr">
        <is>
          <t>November</t>
        </is>
      </c>
      <c r="D567" t="inlineStr">
        <is>
          <t>Portable Bike Helmet</t>
        </is>
      </c>
      <c r="E567" t="inlineStr">
        <is>
          <t>Sports &amp; Outdoors</t>
        </is>
      </c>
      <c r="F567" t="inlineStr">
        <is>
          <t>Emily Dubois</t>
        </is>
      </c>
      <c r="G567" t="inlineStr">
        <is>
          <t>Italy</t>
        </is>
      </c>
      <c r="H567" t="inlineStr">
        <is>
          <t>Mobile App</t>
        </is>
      </c>
      <c r="I567" t="n">
        <v>2</v>
      </c>
      <c r="J567" s="3" t="n">
        <v>627.92</v>
      </c>
      <c r="K567" s="3" t="n">
        <v>31.4</v>
      </c>
      <c r="L567" s="3" t="n">
        <v>596.52</v>
      </c>
      <c r="M567" s="3" t="n">
        <v>330.74</v>
      </c>
      <c r="N567" s="3" t="n">
        <v>265.78</v>
      </c>
      <c r="O567">
        <f>TEXT(A567,"yyyy-mm")</f>
        <v/>
      </c>
    </row>
    <row r="568">
      <c r="A568" s="2" t="n">
        <v>45624</v>
      </c>
      <c r="B568" t="n">
        <v>2024</v>
      </c>
      <c r="C568" t="inlineStr">
        <is>
          <t>November</t>
        </is>
      </c>
      <c r="D568" t="inlineStr">
        <is>
          <t>Premium Water Bottle</t>
        </is>
      </c>
      <c r="E568" t="inlineStr">
        <is>
          <t>Sports &amp; Outdoors</t>
        </is>
      </c>
      <c r="F568" t="inlineStr">
        <is>
          <t>Emily Dubois</t>
        </is>
      </c>
      <c r="G568" t="inlineStr">
        <is>
          <t>Italy</t>
        </is>
      </c>
      <c r="H568" t="inlineStr">
        <is>
          <t>Mobile App</t>
        </is>
      </c>
      <c r="I568" t="n">
        <v>3</v>
      </c>
      <c r="J568" s="3" t="n">
        <v>369.3</v>
      </c>
      <c r="K568" s="3" t="n">
        <v>73.86</v>
      </c>
      <c r="L568" s="3" t="n">
        <v>295.44</v>
      </c>
      <c r="M568" s="3" t="n">
        <v>268.86</v>
      </c>
      <c r="N568" s="3" t="n">
        <v>26.58</v>
      </c>
      <c r="O568">
        <f>TEXT(A568,"yyyy-mm")</f>
        <v/>
      </c>
    </row>
    <row r="569">
      <c r="A569" s="2" t="n">
        <v>45624</v>
      </c>
      <c r="B569" t="n">
        <v>2024</v>
      </c>
      <c r="C569" t="inlineStr">
        <is>
          <t>November</t>
        </is>
      </c>
      <c r="D569" t="inlineStr">
        <is>
          <t>Portable Tea Set</t>
        </is>
      </c>
      <c r="E569" t="inlineStr">
        <is>
          <t>Grocery</t>
        </is>
      </c>
      <c r="F569" t="inlineStr">
        <is>
          <t>Daniel Zielinski</t>
        </is>
      </c>
      <c r="G569" t="inlineStr">
        <is>
          <t>United States</t>
        </is>
      </c>
      <c r="H569" t="inlineStr">
        <is>
          <t>Mobile App</t>
        </is>
      </c>
      <c r="I569" t="n">
        <v>2</v>
      </c>
      <c r="J569" s="3" t="n">
        <v>575.5599999999999</v>
      </c>
      <c r="K569" s="3" t="n">
        <v>0</v>
      </c>
      <c r="L569" s="3" t="n">
        <v>575.5599999999999</v>
      </c>
      <c r="M569" s="3" t="n">
        <v>376.24</v>
      </c>
      <c r="N569" s="3" t="n">
        <v>199.32</v>
      </c>
      <c r="O569">
        <f>TEXT(A569,"yyyy-mm")</f>
        <v/>
      </c>
    </row>
    <row r="570">
      <c r="A570" s="2" t="n">
        <v>45624</v>
      </c>
      <c r="B570" t="n">
        <v>2024</v>
      </c>
      <c r="C570" t="inlineStr">
        <is>
          <t>November</t>
        </is>
      </c>
      <c r="D570" t="inlineStr">
        <is>
          <t>Wireless Cookbook</t>
        </is>
      </c>
      <c r="E570" t="inlineStr">
        <is>
          <t>Books</t>
        </is>
      </c>
      <c r="F570" t="inlineStr">
        <is>
          <t>Emily Dubois</t>
        </is>
      </c>
      <c r="G570" t="inlineStr">
        <is>
          <t>Italy</t>
        </is>
      </c>
      <c r="H570" t="inlineStr">
        <is>
          <t>Mobile App</t>
        </is>
      </c>
      <c r="I570" t="n">
        <v>1</v>
      </c>
      <c r="J570" s="3" t="n">
        <v>76.54000000000001</v>
      </c>
      <c r="K570" s="3" t="n">
        <v>3.83</v>
      </c>
      <c r="L570" s="3" t="n">
        <v>72.70999999999999</v>
      </c>
      <c r="M570" s="3" t="n">
        <v>56.61</v>
      </c>
      <c r="N570" s="3" t="n">
        <v>16.1</v>
      </c>
      <c r="O570">
        <f>TEXT(A570,"yyyy-mm")</f>
        <v/>
      </c>
    </row>
    <row r="571">
      <c r="A571" s="2" t="n">
        <v>45625</v>
      </c>
      <c r="B571" t="n">
        <v>2024</v>
      </c>
      <c r="C571" t="inlineStr">
        <is>
          <t>November</t>
        </is>
      </c>
      <c r="D571" t="inlineStr">
        <is>
          <t>Ultra Rug</t>
        </is>
      </c>
      <c r="E571" t="inlineStr">
        <is>
          <t>Home &amp; Garden</t>
        </is>
      </c>
      <c r="F571" t="inlineStr">
        <is>
          <t>Sophie Wilson</t>
        </is>
      </c>
      <c r="G571" t="inlineStr">
        <is>
          <t>Germany</t>
        </is>
      </c>
      <c r="H571" t="inlineStr">
        <is>
          <t>Web Store</t>
        </is>
      </c>
      <c r="I571" t="n">
        <v>2</v>
      </c>
      <c r="J571" s="3" t="n">
        <v>107.88</v>
      </c>
      <c r="K571" s="3" t="n">
        <v>16.18</v>
      </c>
      <c r="L571" s="3" t="n">
        <v>91.7</v>
      </c>
      <c r="M571" s="3" t="n">
        <v>65.81999999999999</v>
      </c>
      <c r="N571" s="3" t="n">
        <v>25.88</v>
      </c>
      <c r="O571">
        <f>TEXT(A571,"yyyy-mm")</f>
        <v/>
      </c>
    </row>
    <row r="572">
      <c r="A572" s="2" t="n">
        <v>45625</v>
      </c>
      <c r="B572" t="n">
        <v>2024</v>
      </c>
      <c r="C572" t="inlineStr">
        <is>
          <t>November</t>
        </is>
      </c>
      <c r="D572" t="inlineStr">
        <is>
          <t>Compact Sunscreen</t>
        </is>
      </c>
      <c r="E572" t="inlineStr">
        <is>
          <t>Beauty &amp; Health</t>
        </is>
      </c>
      <c r="F572" t="inlineStr">
        <is>
          <t>Sophie Wilson</t>
        </is>
      </c>
      <c r="G572" t="inlineStr">
        <is>
          <t>Germany</t>
        </is>
      </c>
      <c r="H572" t="inlineStr">
        <is>
          <t>Web Store</t>
        </is>
      </c>
      <c r="I572" t="n">
        <v>2</v>
      </c>
      <c r="J572" s="3" t="n">
        <v>586.7</v>
      </c>
      <c r="K572" s="3" t="n">
        <v>29.34</v>
      </c>
      <c r="L572" s="3" t="n">
        <v>557.36</v>
      </c>
      <c r="M572" s="3" t="n">
        <v>355.32</v>
      </c>
      <c r="N572" s="3" t="n">
        <v>202.04</v>
      </c>
      <c r="O572">
        <f>TEXT(A572,"yyyy-mm")</f>
        <v/>
      </c>
    </row>
    <row r="573">
      <c r="A573" s="2" t="n">
        <v>45625</v>
      </c>
      <c r="B573" t="n">
        <v>2024</v>
      </c>
      <c r="C573" t="inlineStr">
        <is>
          <t>November</t>
        </is>
      </c>
      <c r="D573" t="inlineStr">
        <is>
          <t>Ultra Backpack</t>
        </is>
      </c>
      <c r="E573" t="inlineStr">
        <is>
          <t>Sports &amp; Outdoors</t>
        </is>
      </c>
      <c r="F573" t="inlineStr">
        <is>
          <t>Sophie Bianchi</t>
        </is>
      </c>
      <c r="G573" t="inlineStr">
        <is>
          <t>United States</t>
        </is>
      </c>
      <c r="H573" t="inlineStr">
        <is>
          <t>Retail Store</t>
        </is>
      </c>
      <c r="I573" t="n">
        <v>3</v>
      </c>
      <c r="J573" s="3" t="n">
        <v>878.85</v>
      </c>
      <c r="K573" s="3" t="n">
        <v>0</v>
      </c>
      <c r="L573" s="3" t="n">
        <v>878.85</v>
      </c>
      <c r="M573" s="3" t="n">
        <v>521.0700000000001</v>
      </c>
      <c r="N573" s="3" t="n">
        <v>357.78</v>
      </c>
      <c r="O573">
        <f>TEXT(A573,"yyyy-mm")</f>
        <v/>
      </c>
    </row>
    <row r="574">
      <c r="A574" s="2" t="n">
        <v>45625</v>
      </c>
      <c r="B574" t="n">
        <v>2024</v>
      </c>
      <c r="C574" t="inlineStr">
        <is>
          <t>November</t>
        </is>
      </c>
      <c r="D574" t="inlineStr">
        <is>
          <t>Smart Coffee Beans</t>
        </is>
      </c>
      <c r="E574" t="inlineStr">
        <is>
          <t>Grocery</t>
        </is>
      </c>
      <c r="F574" t="inlineStr">
        <is>
          <t>John Dubois</t>
        </is>
      </c>
      <c r="G574" t="inlineStr">
        <is>
          <t>Netherlands</t>
        </is>
      </c>
      <c r="H574" t="inlineStr">
        <is>
          <t>Mobile App</t>
        </is>
      </c>
      <c r="I574" t="n">
        <v>3</v>
      </c>
      <c r="J574" s="3" t="n">
        <v>334.62</v>
      </c>
      <c r="K574" s="3" t="n">
        <v>0</v>
      </c>
      <c r="L574" s="3" t="n">
        <v>334.62</v>
      </c>
      <c r="M574" s="3" t="n">
        <v>218.55</v>
      </c>
      <c r="N574" s="3" t="n">
        <v>116.07</v>
      </c>
      <c r="O574">
        <f>TEXT(A574,"yyyy-mm")</f>
        <v/>
      </c>
    </row>
    <row r="575">
      <c r="A575" s="2" t="n">
        <v>45625</v>
      </c>
      <c r="B575" t="n">
        <v>2024</v>
      </c>
      <c r="C575" t="inlineStr">
        <is>
          <t>November</t>
        </is>
      </c>
      <c r="D575" t="inlineStr">
        <is>
          <t>Deluxe Cookbook</t>
        </is>
      </c>
      <c r="E575" t="inlineStr">
        <is>
          <t>Books</t>
        </is>
      </c>
      <c r="F575" t="inlineStr">
        <is>
          <t>John Dubois</t>
        </is>
      </c>
      <c r="G575" t="inlineStr">
        <is>
          <t>Netherlands</t>
        </is>
      </c>
      <c r="H575" t="inlineStr">
        <is>
          <t>Mobile App</t>
        </is>
      </c>
      <c r="I575" t="n">
        <v>4</v>
      </c>
      <c r="J575" s="3" t="n">
        <v>558.96</v>
      </c>
      <c r="K575" s="3" t="n">
        <v>55.9</v>
      </c>
      <c r="L575" s="3" t="n">
        <v>503.06</v>
      </c>
      <c r="M575" s="3" t="n">
        <v>341.08</v>
      </c>
      <c r="N575" s="3" t="n">
        <v>161.98</v>
      </c>
      <c r="O575">
        <f>TEXT(A575,"yyyy-mm")</f>
        <v/>
      </c>
    </row>
    <row r="576">
      <c r="A576" s="2" t="n">
        <v>45625</v>
      </c>
      <c r="B576" t="n">
        <v>2024</v>
      </c>
      <c r="C576" t="inlineStr">
        <is>
          <t>November</t>
        </is>
      </c>
      <c r="D576" t="inlineStr">
        <is>
          <t>Premium Water Bottle</t>
        </is>
      </c>
      <c r="E576" t="inlineStr">
        <is>
          <t>Sports &amp; Outdoors</t>
        </is>
      </c>
      <c r="F576" t="inlineStr">
        <is>
          <t>John Dubois</t>
        </is>
      </c>
      <c r="G576" t="inlineStr">
        <is>
          <t>Netherlands</t>
        </is>
      </c>
      <c r="H576" t="inlineStr">
        <is>
          <t>Mobile App</t>
        </is>
      </c>
      <c r="I576" t="n">
        <v>4</v>
      </c>
      <c r="J576" s="3" t="n">
        <v>480.76</v>
      </c>
      <c r="K576" s="3" t="n">
        <v>0</v>
      </c>
      <c r="L576" s="3" t="n">
        <v>480.76</v>
      </c>
      <c r="M576" s="3" t="n">
        <v>358.48</v>
      </c>
      <c r="N576" s="3" t="n">
        <v>122.28</v>
      </c>
      <c r="O576">
        <f>TEXT(A576,"yyyy-mm")</f>
        <v/>
      </c>
    </row>
    <row r="577">
      <c r="A577" s="2" t="n">
        <v>45625</v>
      </c>
      <c r="B577" t="n">
        <v>2024</v>
      </c>
      <c r="C577" t="inlineStr">
        <is>
          <t>November</t>
        </is>
      </c>
      <c r="D577" t="inlineStr">
        <is>
          <t>Ultra Rug</t>
        </is>
      </c>
      <c r="E577" t="inlineStr">
        <is>
          <t>Home &amp; Garden</t>
        </is>
      </c>
      <c r="F577" t="inlineStr">
        <is>
          <t>Sophie Bianchi</t>
        </is>
      </c>
      <c r="G577" t="inlineStr">
        <is>
          <t>United States</t>
        </is>
      </c>
      <c r="H577" t="inlineStr">
        <is>
          <t>Retail Store</t>
        </is>
      </c>
      <c r="I577" t="n">
        <v>1</v>
      </c>
      <c r="J577" s="3" t="n">
        <v>52.95</v>
      </c>
      <c r="K577" s="3" t="n">
        <v>2.65</v>
      </c>
      <c r="L577" s="3" t="n">
        <v>50.3</v>
      </c>
      <c r="M577" s="3" t="n">
        <v>32.91</v>
      </c>
      <c r="N577" s="3" t="n">
        <v>17.39</v>
      </c>
      <c r="O577">
        <f>TEXT(A577,"yyyy-mm")</f>
        <v/>
      </c>
    </row>
    <row r="578">
      <c r="A578" s="2" t="n">
        <v>45625</v>
      </c>
      <c r="B578" t="n">
        <v>2024</v>
      </c>
      <c r="C578" t="inlineStr">
        <is>
          <t>November</t>
        </is>
      </c>
      <c r="D578" t="inlineStr">
        <is>
          <t>Essential Jacket</t>
        </is>
      </c>
      <c r="E578" t="inlineStr">
        <is>
          <t>Clothing</t>
        </is>
      </c>
      <c r="F578" t="inlineStr">
        <is>
          <t>Sophie Bianchi</t>
        </is>
      </c>
      <c r="G578" t="inlineStr">
        <is>
          <t>United States</t>
        </is>
      </c>
      <c r="H578" t="inlineStr">
        <is>
          <t>Retail Store</t>
        </is>
      </c>
      <c r="I578" t="n">
        <v>1</v>
      </c>
      <c r="J578" s="3" t="n">
        <v>141.95</v>
      </c>
      <c r="K578" s="3" t="n">
        <v>0</v>
      </c>
      <c r="L578" s="3" t="n">
        <v>141.95</v>
      </c>
      <c r="M578" s="3" t="n">
        <v>85.34999999999999</v>
      </c>
      <c r="N578" s="3" t="n">
        <v>56.6</v>
      </c>
      <c r="O578">
        <f>TEXT(A578,"yyyy-mm")</f>
        <v/>
      </c>
    </row>
    <row r="579">
      <c r="A579" s="2" t="n">
        <v>45625</v>
      </c>
      <c r="B579" t="n">
        <v>2024</v>
      </c>
      <c r="C579" t="inlineStr">
        <is>
          <t>November</t>
        </is>
      </c>
      <c r="D579" t="inlineStr">
        <is>
          <t>Essential Charger</t>
        </is>
      </c>
      <c r="E579" t="inlineStr">
        <is>
          <t>Electronics</t>
        </is>
      </c>
      <c r="F579" t="inlineStr">
        <is>
          <t>John Dubois</t>
        </is>
      </c>
      <c r="G579" t="inlineStr">
        <is>
          <t>Netherlands</t>
        </is>
      </c>
      <c r="H579" t="inlineStr">
        <is>
          <t>Mobile App</t>
        </is>
      </c>
      <c r="I579" t="n">
        <v>3</v>
      </c>
      <c r="J579" s="3" t="n">
        <v>132.33</v>
      </c>
      <c r="K579" s="3" t="n">
        <v>19.85</v>
      </c>
      <c r="L579" s="3" t="n">
        <v>112.48</v>
      </c>
      <c r="M579" s="3" t="n">
        <v>87.3</v>
      </c>
      <c r="N579" s="3" t="n">
        <v>25.18</v>
      </c>
      <c r="O579">
        <f>TEXT(A579,"yyyy-mm")</f>
        <v/>
      </c>
    </row>
    <row r="580">
      <c r="A580" s="2" t="n">
        <v>45625</v>
      </c>
      <c r="B580" t="n">
        <v>2024</v>
      </c>
      <c r="C580" t="inlineStr">
        <is>
          <t>November</t>
        </is>
      </c>
      <c r="D580" t="inlineStr">
        <is>
          <t>Eco Biography</t>
        </is>
      </c>
      <c r="E580" t="inlineStr">
        <is>
          <t>Books</t>
        </is>
      </c>
      <c r="F580" t="inlineStr">
        <is>
          <t>Clara Schmidt</t>
        </is>
      </c>
      <c r="G580" t="inlineStr">
        <is>
          <t>United States</t>
        </is>
      </c>
      <c r="H580" t="inlineStr">
        <is>
          <t>Marketplace</t>
        </is>
      </c>
      <c r="I580" t="n">
        <v>5</v>
      </c>
      <c r="J580" s="3" t="n">
        <v>591.85</v>
      </c>
      <c r="K580" s="3" t="n">
        <v>29.59</v>
      </c>
      <c r="L580" s="3" t="n">
        <v>562.26</v>
      </c>
      <c r="M580" s="3" t="n">
        <v>355.1</v>
      </c>
      <c r="N580" s="3" t="n">
        <v>207.16</v>
      </c>
      <c r="O580">
        <f>TEXT(A580,"yyyy-mm")</f>
        <v/>
      </c>
    </row>
    <row r="581">
      <c r="A581" s="2" t="n">
        <v>45626</v>
      </c>
      <c r="B581" t="n">
        <v>2024</v>
      </c>
      <c r="C581" t="inlineStr">
        <is>
          <t>November</t>
        </is>
      </c>
      <c r="D581" t="inlineStr">
        <is>
          <t>Ultra Toolset</t>
        </is>
      </c>
      <c r="E581" t="inlineStr">
        <is>
          <t>Home &amp; Garden</t>
        </is>
      </c>
      <c r="F581" t="inlineStr">
        <is>
          <t>John Muller</t>
        </is>
      </c>
      <c r="G581" t="inlineStr">
        <is>
          <t>United Kingdom</t>
        </is>
      </c>
      <c r="H581" t="inlineStr">
        <is>
          <t>Marketplace</t>
        </is>
      </c>
      <c r="I581" t="n">
        <v>3</v>
      </c>
      <c r="J581" s="3" t="n">
        <v>1124.31</v>
      </c>
      <c r="K581" s="3" t="n">
        <v>112.43</v>
      </c>
      <c r="L581" s="3" t="n">
        <v>1011.88</v>
      </c>
      <c r="M581" s="3" t="n">
        <v>571.2</v>
      </c>
      <c r="N581" s="3" t="n">
        <v>440.68</v>
      </c>
      <c r="O581">
        <f>TEXT(A581,"yyyy-mm")</f>
        <v/>
      </c>
    </row>
    <row r="582">
      <c r="A582" s="2" t="n">
        <v>45626</v>
      </c>
      <c r="B582" t="n">
        <v>2024</v>
      </c>
      <c r="C582" t="inlineStr">
        <is>
          <t>November</t>
        </is>
      </c>
      <c r="D582" t="inlineStr">
        <is>
          <t>Essential Toolset</t>
        </is>
      </c>
      <c r="E582" t="inlineStr">
        <is>
          <t>Home &amp; Garden</t>
        </is>
      </c>
      <c r="F582" t="inlineStr">
        <is>
          <t>John Muller</t>
        </is>
      </c>
      <c r="G582" t="inlineStr">
        <is>
          <t>United Kingdom</t>
        </is>
      </c>
      <c r="H582" t="inlineStr">
        <is>
          <t>Marketplace</t>
        </is>
      </c>
      <c r="I582" t="n">
        <v>4</v>
      </c>
      <c r="J582" s="3" t="n">
        <v>804.28</v>
      </c>
      <c r="K582" s="3" t="n">
        <v>0</v>
      </c>
      <c r="L582" s="3" t="n">
        <v>804.28</v>
      </c>
      <c r="M582" s="3" t="n">
        <v>602.12</v>
      </c>
      <c r="N582" s="3" t="n">
        <v>202.16</v>
      </c>
      <c r="O582">
        <f>TEXT(A582,"yyyy-mm")</f>
        <v/>
      </c>
    </row>
    <row r="583">
      <c r="A583" s="2" t="n">
        <v>45626</v>
      </c>
      <c r="B583" t="n">
        <v>2024</v>
      </c>
      <c r="C583" t="inlineStr">
        <is>
          <t>November</t>
        </is>
      </c>
      <c r="D583" t="inlineStr">
        <is>
          <t>Eco Planter</t>
        </is>
      </c>
      <c r="E583" t="inlineStr">
        <is>
          <t>Home &amp; Garden</t>
        </is>
      </c>
      <c r="F583" t="inlineStr">
        <is>
          <t>John Muller</t>
        </is>
      </c>
      <c r="G583" t="inlineStr">
        <is>
          <t>United Kingdom</t>
        </is>
      </c>
      <c r="H583" t="inlineStr">
        <is>
          <t>Marketplace</t>
        </is>
      </c>
      <c r="I583" t="n">
        <v>2</v>
      </c>
      <c r="J583" s="3" t="n">
        <v>378.26</v>
      </c>
      <c r="K583" s="3" t="n">
        <v>75.65000000000001</v>
      </c>
      <c r="L583" s="3" t="n">
        <v>302.61</v>
      </c>
      <c r="M583" s="3" t="n">
        <v>224.82</v>
      </c>
      <c r="N583" s="3" t="n">
        <v>77.79000000000001</v>
      </c>
      <c r="O583">
        <f>TEXT(A583,"yyyy-mm")</f>
        <v/>
      </c>
    </row>
    <row r="584">
      <c r="A584" s="2" t="n">
        <v>45626</v>
      </c>
      <c r="B584" t="n">
        <v>2024</v>
      </c>
      <c r="C584" t="inlineStr">
        <is>
          <t>November</t>
        </is>
      </c>
      <c r="D584" t="inlineStr">
        <is>
          <t>Deluxe Puzzle</t>
        </is>
      </c>
      <c r="E584" t="inlineStr">
        <is>
          <t>Toys &amp; Games</t>
        </is>
      </c>
      <c r="F584" t="inlineStr">
        <is>
          <t>John Muller</t>
        </is>
      </c>
      <c r="G584" t="inlineStr">
        <is>
          <t>United Kingdom</t>
        </is>
      </c>
      <c r="H584" t="inlineStr">
        <is>
          <t>Marketplace</t>
        </is>
      </c>
      <c r="I584" t="n">
        <v>1</v>
      </c>
      <c r="J584" s="3" t="n">
        <v>211.22</v>
      </c>
      <c r="K584" s="3" t="n">
        <v>21.12</v>
      </c>
      <c r="L584" s="3" t="n">
        <v>190.1</v>
      </c>
      <c r="M584" s="3" t="n">
        <v>111.17</v>
      </c>
      <c r="N584" s="3" t="n">
        <v>78.93000000000001</v>
      </c>
      <c r="O584">
        <f>TEXT(A584,"yyyy-mm")</f>
        <v/>
      </c>
    </row>
    <row r="585">
      <c r="A585" s="2" t="n">
        <v>45626</v>
      </c>
      <c r="B585" t="n">
        <v>2024</v>
      </c>
      <c r="C585" t="inlineStr">
        <is>
          <t>November</t>
        </is>
      </c>
      <c r="D585" t="inlineStr">
        <is>
          <t>Essential Vitamins</t>
        </is>
      </c>
      <c r="E585" t="inlineStr">
        <is>
          <t>Beauty &amp; Health</t>
        </is>
      </c>
      <c r="F585" t="inlineStr">
        <is>
          <t>John Conti</t>
        </is>
      </c>
      <c r="G585" t="inlineStr">
        <is>
          <t>Germany</t>
        </is>
      </c>
      <c r="H585" t="inlineStr">
        <is>
          <t>Marketplace</t>
        </is>
      </c>
      <c r="I585" t="n">
        <v>4</v>
      </c>
      <c r="J585" s="3" t="n">
        <v>723.48</v>
      </c>
      <c r="K585" s="3" t="n">
        <v>0</v>
      </c>
      <c r="L585" s="3" t="n">
        <v>723.48</v>
      </c>
      <c r="M585" s="3" t="n">
        <v>441.2</v>
      </c>
      <c r="N585" s="3" t="n">
        <v>282.28</v>
      </c>
      <c r="O585">
        <f>TEXT(A585,"yyyy-mm")</f>
        <v/>
      </c>
    </row>
    <row r="586">
      <c r="A586" s="2" t="n">
        <v>45627</v>
      </c>
      <c r="B586" t="n">
        <v>2024</v>
      </c>
      <c r="C586" t="inlineStr">
        <is>
          <t>December</t>
        </is>
      </c>
      <c r="D586" t="inlineStr">
        <is>
          <t>Compact Jacket</t>
        </is>
      </c>
      <c r="E586" t="inlineStr">
        <is>
          <t>Clothing</t>
        </is>
      </c>
      <c r="F586" t="inlineStr">
        <is>
          <t>Maria Moreau</t>
        </is>
      </c>
      <c r="G586" t="inlineStr">
        <is>
          <t>Germany</t>
        </is>
      </c>
      <c r="H586" t="inlineStr">
        <is>
          <t>Mobile App</t>
        </is>
      </c>
      <c r="I586" t="n">
        <v>1</v>
      </c>
      <c r="J586" s="3" t="n">
        <v>38.79</v>
      </c>
      <c r="K586" s="3" t="n">
        <v>7.76</v>
      </c>
      <c r="L586" s="3" t="n">
        <v>31.03</v>
      </c>
      <c r="M586" s="3" t="n">
        <v>20.4</v>
      </c>
      <c r="N586" s="3" t="n">
        <v>10.63</v>
      </c>
      <c r="O586">
        <f>TEXT(A586,"yyyy-mm")</f>
        <v/>
      </c>
    </row>
    <row r="587">
      <c r="A587" s="2" t="n">
        <v>45627</v>
      </c>
      <c r="B587" t="n">
        <v>2024</v>
      </c>
      <c r="C587" t="inlineStr">
        <is>
          <t>December</t>
        </is>
      </c>
      <c r="D587" t="inlineStr">
        <is>
          <t>Wireless Drone</t>
        </is>
      </c>
      <c r="E587" t="inlineStr">
        <is>
          <t>Toys &amp; Games</t>
        </is>
      </c>
      <c r="F587" t="inlineStr">
        <is>
          <t>Maria Moreau</t>
        </is>
      </c>
      <c r="G587" t="inlineStr">
        <is>
          <t>Germany</t>
        </is>
      </c>
      <c r="H587" t="inlineStr">
        <is>
          <t>Mobile App</t>
        </is>
      </c>
      <c r="I587" t="n">
        <v>1</v>
      </c>
      <c r="J587" s="3" t="n">
        <v>215.43</v>
      </c>
      <c r="K587" s="3" t="n">
        <v>43.09</v>
      </c>
      <c r="L587" s="3" t="n">
        <v>172.34</v>
      </c>
      <c r="M587" s="3" t="n">
        <v>131.29</v>
      </c>
      <c r="N587" s="3" t="n">
        <v>41.05</v>
      </c>
      <c r="O587">
        <f>TEXT(A587,"yyyy-mm")</f>
        <v/>
      </c>
    </row>
    <row r="588">
      <c r="A588" s="2" t="n">
        <v>45627</v>
      </c>
      <c r="B588" t="n">
        <v>2024</v>
      </c>
      <c r="C588" t="inlineStr">
        <is>
          <t>December</t>
        </is>
      </c>
      <c r="D588" t="inlineStr">
        <is>
          <t>Compact Jacket</t>
        </is>
      </c>
      <c r="E588" t="inlineStr">
        <is>
          <t>Clothing</t>
        </is>
      </c>
      <c r="F588" t="inlineStr">
        <is>
          <t>Olivia Bianchi</t>
        </is>
      </c>
      <c r="G588" t="inlineStr">
        <is>
          <t>United Kingdom</t>
        </is>
      </c>
      <c r="H588" t="inlineStr">
        <is>
          <t>Marketplace</t>
        </is>
      </c>
      <c r="I588" t="n">
        <v>3</v>
      </c>
      <c r="J588" s="3" t="n">
        <v>114.78</v>
      </c>
      <c r="K588" s="3" t="n">
        <v>11.48</v>
      </c>
      <c r="L588" s="3" t="n">
        <v>103.3</v>
      </c>
      <c r="M588" s="3" t="n">
        <v>61.2</v>
      </c>
      <c r="N588" s="3" t="n">
        <v>42.1</v>
      </c>
      <c r="O588">
        <f>TEXT(A588,"yyyy-mm")</f>
        <v/>
      </c>
    </row>
    <row r="589">
      <c r="A589" s="2" t="n">
        <v>45627</v>
      </c>
      <c r="B589" t="n">
        <v>2024</v>
      </c>
      <c r="C589" t="inlineStr">
        <is>
          <t>December</t>
        </is>
      </c>
      <c r="D589" t="inlineStr">
        <is>
          <t>Eco Biography</t>
        </is>
      </c>
      <c r="E589" t="inlineStr">
        <is>
          <t>Books</t>
        </is>
      </c>
      <c r="F589" t="inlineStr">
        <is>
          <t>Mark Martin</t>
        </is>
      </c>
      <c r="G589" t="inlineStr">
        <is>
          <t>Spain</t>
        </is>
      </c>
      <c r="H589" t="inlineStr">
        <is>
          <t>Mobile App</t>
        </is>
      </c>
      <c r="I589" t="n">
        <v>4</v>
      </c>
      <c r="J589" s="3" t="n">
        <v>500.36</v>
      </c>
      <c r="K589" s="3" t="n">
        <v>75.05</v>
      </c>
      <c r="L589" s="3" t="n">
        <v>425.31</v>
      </c>
      <c r="M589" s="3" t="n">
        <v>284.08</v>
      </c>
      <c r="N589" s="3" t="n">
        <v>141.23</v>
      </c>
      <c r="O589">
        <f>TEXT(A589,"yyyy-mm")</f>
        <v/>
      </c>
    </row>
    <row r="590">
      <c r="A590" s="2" t="n">
        <v>45628</v>
      </c>
      <c r="B590" t="n">
        <v>2024</v>
      </c>
      <c r="C590" t="inlineStr">
        <is>
          <t>December</t>
        </is>
      </c>
      <c r="D590" t="inlineStr">
        <is>
          <t>Portable Puzzle</t>
        </is>
      </c>
      <c r="E590" t="inlineStr">
        <is>
          <t>Toys &amp; Games</t>
        </is>
      </c>
      <c r="F590" t="inlineStr">
        <is>
          <t>Mark Brown</t>
        </is>
      </c>
      <c r="G590" t="inlineStr">
        <is>
          <t>Spain</t>
        </is>
      </c>
      <c r="H590" t="inlineStr">
        <is>
          <t>Marketplace</t>
        </is>
      </c>
      <c r="I590" t="n">
        <v>1</v>
      </c>
      <c r="J590" s="3" t="n">
        <v>318.52</v>
      </c>
      <c r="K590" s="3" t="n">
        <v>15.93</v>
      </c>
      <c r="L590" s="3" t="n">
        <v>302.59</v>
      </c>
      <c r="M590" s="3" t="n">
        <v>173.66</v>
      </c>
      <c r="N590" s="3" t="n">
        <v>128.93</v>
      </c>
      <c r="O590">
        <f>TEXT(A590,"yyyy-mm")</f>
        <v/>
      </c>
    </row>
    <row r="591">
      <c r="A591" s="2" t="n">
        <v>45628</v>
      </c>
      <c r="B591" t="n">
        <v>2024</v>
      </c>
      <c r="C591" t="inlineStr">
        <is>
          <t>December</t>
        </is>
      </c>
      <c r="D591" t="inlineStr">
        <is>
          <t>Compact Sunscreen</t>
        </is>
      </c>
      <c r="E591" t="inlineStr">
        <is>
          <t>Beauty &amp; Health</t>
        </is>
      </c>
      <c r="F591" t="inlineStr">
        <is>
          <t>Mark Brown</t>
        </is>
      </c>
      <c r="G591" t="inlineStr">
        <is>
          <t>Spain</t>
        </is>
      </c>
      <c r="H591" t="inlineStr">
        <is>
          <t>Marketplace</t>
        </is>
      </c>
      <c r="I591" t="n">
        <v>4</v>
      </c>
      <c r="J591" s="3" t="n">
        <v>1242.44</v>
      </c>
      <c r="K591" s="3" t="n">
        <v>62.12</v>
      </c>
      <c r="L591" s="3" t="n">
        <v>1180.32</v>
      </c>
      <c r="M591" s="3" t="n">
        <v>710.64</v>
      </c>
      <c r="N591" s="3" t="n">
        <v>469.68</v>
      </c>
      <c r="O591">
        <f>TEXT(A591,"yyyy-mm")</f>
        <v/>
      </c>
    </row>
    <row r="592">
      <c r="A592" s="2" t="n">
        <v>45628</v>
      </c>
      <c r="B592" t="n">
        <v>2024</v>
      </c>
      <c r="C592" t="inlineStr">
        <is>
          <t>December</t>
        </is>
      </c>
      <c r="D592" t="inlineStr">
        <is>
          <t>Ultra Toolset</t>
        </is>
      </c>
      <c r="E592" t="inlineStr">
        <is>
          <t>Home &amp; Garden</t>
        </is>
      </c>
      <c r="F592" t="inlineStr">
        <is>
          <t>Mark Brown</t>
        </is>
      </c>
      <c r="G592" t="inlineStr">
        <is>
          <t>Spain</t>
        </is>
      </c>
      <c r="H592" t="inlineStr">
        <is>
          <t>Marketplace</t>
        </is>
      </c>
      <c r="I592" t="n">
        <v>1</v>
      </c>
      <c r="J592" s="3" t="n">
        <v>351.74</v>
      </c>
      <c r="K592" s="3" t="n">
        <v>0</v>
      </c>
      <c r="L592" s="3" t="n">
        <v>351.74</v>
      </c>
      <c r="M592" s="3" t="n">
        <v>190.4</v>
      </c>
      <c r="N592" s="3" t="n">
        <v>161.34</v>
      </c>
      <c r="O592">
        <f>TEXT(A592,"yyyy-mm")</f>
        <v/>
      </c>
    </row>
    <row r="593">
      <c r="A593" s="2" t="n">
        <v>45629</v>
      </c>
      <c r="B593" t="n">
        <v>2024</v>
      </c>
      <c r="C593" t="inlineStr">
        <is>
          <t>December</t>
        </is>
      </c>
      <c r="D593" t="inlineStr">
        <is>
          <t>Compact Pasta</t>
        </is>
      </c>
      <c r="E593" t="inlineStr">
        <is>
          <t>Grocery</t>
        </is>
      </c>
      <c r="F593" t="inlineStr">
        <is>
          <t>Nina Lopez</t>
        </is>
      </c>
      <c r="G593" t="inlineStr">
        <is>
          <t>Poland</t>
        </is>
      </c>
      <c r="H593" t="inlineStr">
        <is>
          <t>Retail Store</t>
        </is>
      </c>
      <c r="I593" t="n">
        <v>1</v>
      </c>
      <c r="J593" s="3" t="n">
        <v>319.37</v>
      </c>
      <c r="K593" s="3" t="n">
        <v>47.91</v>
      </c>
      <c r="L593" s="3" t="n">
        <v>271.46</v>
      </c>
      <c r="M593" s="3" t="n">
        <v>199.4</v>
      </c>
      <c r="N593" s="3" t="n">
        <v>72.06</v>
      </c>
      <c r="O593">
        <f>TEXT(A593,"yyyy-mm")</f>
        <v/>
      </c>
    </row>
    <row r="594">
      <c r="A594" s="2" t="n">
        <v>45629</v>
      </c>
      <c r="B594" t="n">
        <v>2024</v>
      </c>
      <c r="C594" t="inlineStr">
        <is>
          <t>December</t>
        </is>
      </c>
      <c r="D594" t="inlineStr">
        <is>
          <t>Smart Board Game</t>
        </is>
      </c>
      <c r="E594" t="inlineStr">
        <is>
          <t>Toys &amp; Games</t>
        </is>
      </c>
      <c r="F594" t="inlineStr">
        <is>
          <t>Nina Lopez</t>
        </is>
      </c>
      <c r="G594" t="inlineStr">
        <is>
          <t>Poland</t>
        </is>
      </c>
      <c r="H594" t="inlineStr">
        <is>
          <t>Retail Store</t>
        </is>
      </c>
      <c r="I594" t="n">
        <v>2</v>
      </c>
      <c r="J594" s="3" t="n">
        <v>263.22</v>
      </c>
      <c r="K594" s="3" t="n">
        <v>0</v>
      </c>
      <c r="L594" s="3" t="n">
        <v>263.22</v>
      </c>
      <c r="M594" s="3" t="n">
        <v>183.44</v>
      </c>
      <c r="N594" s="3" t="n">
        <v>79.78</v>
      </c>
      <c r="O594">
        <f>TEXT(A594,"yyyy-mm")</f>
        <v/>
      </c>
    </row>
    <row r="595">
      <c r="A595" s="2" t="n">
        <v>45631</v>
      </c>
      <c r="B595" t="n">
        <v>2024</v>
      </c>
      <c r="C595" t="inlineStr">
        <is>
          <t>December</t>
        </is>
      </c>
      <c r="D595" t="inlineStr">
        <is>
          <t>Classic Yoga Mat</t>
        </is>
      </c>
      <c r="E595" t="inlineStr">
        <is>
          <t>Sports &amp; Outdoors</t>
        </is>
      </c>
      <c r="F595" t="inlineStr">
        <is>
          <t>Olivia Brown</t>
        </is>
      </c>
      <c r="G595" t="inlineStr">
        <is>
          <t>United States</t>
        </is>
      </c>
      <c r="H595" t="inlineStr">
        <is>
          <t>Retail Store</t>
        </is>
      </c>
      <c r="I595" t="n">
        <v>2</v>
      </c>
      <c r="J595" s="3" t="n">
        <v>661.8200000000001</v>
      </c>
      <c r="K595" s="3" t="n">
        <v>33.09</v>
      </c>
      <c r="L595" s="3" t="n">
        <v>628.73</v>
      </c>
      <c r="M595" s="3" t="n">
        <v>391.4</v>
      </c>
      <c r="N595" s="3" t="n">
        <v>237.33</v>
      </c>
      <c r="O595">
        <f>TEXT(A595,"yyyy-mm")</f>
        <v/>
      </c>
    </row>
    <row r="596">
      <c r="A596" s="2" t="n">
        <v>45631</v>
      </c>
      <c r="B596" t="n">
        <v>2024</v>
      </c>
      <c r="C596" t="inlineStr">
        <is>
          <t>December</t>
        </is>
      </c>
      <c r="D596" t="inlineStr">
        <is>
          <t>Smart Tea Set</t>
        </is>
      </c>
      <c r="E596" t="inlineStr">
        <is>
          <t>Grocery</t>
        </is>
      </c>
      <c r="F596" t="inlineStr">
        <is>
          <t>Clara Johnson</t>
        </is>
      </c>
      <c r="G596" t="inlineStr">
        <is>
          <t>United Kingdom</t>
        </is>
      </c>
      <c r="H596" t="inlineStr">
        <is>
          <t>Marketplace</t>
        </is>
      </c>
      <c r="I596" t="n">
        <v>4</v>
      </c>
      <c r="J596" s="3" t="n">
        <v>368.36</v>
      </c>
      <c r="K596" s="3" t="n">
        <v>36.84</v>
      </c>
      <c r="L596" s="3" t="n">
        <v>331.52</v>
      </c>
      <c r="M596" s="3" t="n">
        <v>247.2</v>
      </c>
      <c r="N596" s="3" t="n">
        <v>84.31999999999999</v>
      </c>
      <c r="O596">
        <f>TEXT(A596,"yyyy-mm")</f>
        <v/>
      </c>
    </row>
    <row r="597">
      <c r="A597" s="2" t="n">
        <v>45631</v>
      </c>
      <c r="B597" t="n">
        <v>2024</v>
      </c>
      <c r="C597" t="inlineStr">
        <is>
          <t>December</t>
        </is>
      </c>
      <c r="D597" t="inlineStr">
        <is>
          <t>Deluxe Smartwatch</t>
        </is>
      </c>
      <c r="E597" t="inlineStr">
        <is>
          <t>Electronics</t>
        </is>
      </c>
      <c r="F597" t="inlineStr">
        <is>
          <t>Clara Johnson</t>
        </is>
      </c>
      <c r="G597" t="inlineStr">
        <is>
          <t>United Kingdom</t>
        </is>
      </c>
      <c r="H597" t="inlineStr">
        <is>
          <t>Marketplace</t>
        </is>
      </c>
      <c r="I597" t="n">
        <v>4</v>
      </c>
      <c r="J597" s="3" t="n">
        <v>622.16</v>
      </c>
      <c r="K597" s="3" t="n">
        <v>62.22</v>
      </c>
      <c r="L597" s="3" t="n">
        <v>559.9400000000001</v>
      </c>
      <c r="M597" s="3" t="n">
        <v>490.88</v>
      </c>
      <c r="N597" s="3" t="n">
        <v>69.06</v>
      </c>
      <c r="O597">
        <f>TEXT(A597,"yyyy-mm")</f>
        <v/>
      </c>
    </row>
    <row r="598">
      <c r="A598" s="2" t="n">
        <v>45631</v>
      </c>
      <c r="B598" t="n">
        <v>2024</v>
      </c>
      <c r="C598" t="inlineStr">
        <is>
          <t>December</t>
        </is>
      </c>
      <c r="D598" t="inlineStr">
        <is>
          <t>Deluxe Notebook</t>
        </is>
      </c>
      <c r="E598" t="inlineStr">
        <is>
          <t>Books</t>
        </is>
      </c>
      <c r="F598" t="inlineStr">
        <is>
          <t>Clara Johnson</t>
        </is>
      </c>
      <c r="G598" t="inlineStr">
        <is>
          <t>United Kingdom</t>
        </is>
      </c>
      <c r="H598" t="inlineStr">
        <is>
          <t>Marketplace</t>
        </is>
      </c>
      <c r="I598" t="n">
        <v>1</v>
      </c>
      <c r="J598" s="3" t="n">
        <v>207.88</v>
      </c>
      <c r="K598" s="3" t="n">
        <v>10.39</v>
      </c>
      <c r="L598" s="3" t="n">
        <v>197.49</v>
      </c>
      <c r="M598" s="3" t="n">
        <v>150.76</v>
      </c>
      <c r="N598" s="3" t="n">
        <v>46.73</v>
      </c>
      <c r="O598">
        <f>TEXT(A598,"yyyy-mm")</f>
        <v/>
      </c>
    </row>
    <row r="599">
      <c r="A599" s="2" t="n">
        <v>45631</v>
      </c>
      <c r="B599" t="n">
        <v>2024</v>
      </c>
      <c r="C599" t="inlineStr">
        <is>
          <t>December</t>
        </is>
      </c>
      <c r="D599" t="inlineStr">
        <is>
          <t>Classic Tent</t>
        </is>
      </c>
      <c r="E599" t="inlineStr">
        <is>
          <t>Sports &amp; Outdoors</t>
        </is>
      </c>
      <c r="F599" t="inlineStr">
        <is>
          <t>Clara Johnson</t>
        </is>
      </c>
      <c r="G599" t="inlineStr">
        <is>
          <t>United Kingdom</t>
        </is>
      </c>
      <c r="H599" t="inlineStr">
        <is>
          <t>Marketplace</t>
        </is>
      </c>
      <c r="I599" t="n">
        <v>3</v>
      </c>
      <c r="J599" s="3" t="n">
        <v>592.98</v>
      </c>
      <c r="K599" s="3" t="n">
        <v>88.95</v>
      </c>
      <c r="L599" s="3" t="n">
        <v>504.03</v>
      </c>
      <c r="M599" s="3" t="n">
        <v>354.06</v>
      </c>
      <c r="N599" s="3" t="n">
        <v>149.97</v>
      </c>
      <c r="O599">
        <f>TEXT(A599,"yyyy-mm")</f>
        <v/>
      </c>
    </row>
    <row r="600">
      <c r="A600" s="2" t="n">
        <v>45631</v>
      </c>
      <c r="B600" t="n">
        <v>2024</v>
      </c>
      <c r="C600" t="inlineStr">
        <is>
          <t>December</t>
        </is>
      </c>
      <c r="D600" t="inlineStr">
        <is>
          <t>Smart Olive Oil</t>
        </is>
      </c>
      <c r="E600" t="inlineStr">
        <is>
          <t>Grocery</t>
        </is>
      </c>
      <c r="F600" t="inlineStr">
        <is>
          <t>Daniel Nowak</t>
        </is>
      </c>
      <c r="G600" t="inlineStr">
        <is>
          <t>Netherlands</t>
        </is>
      </c>
      <c r="H600" t="inlineStr">
        <is>
          <t>Web Store</t>
        </is>
      </c>
      <c r="I600" t="n">
        <v>2</v>
      </c>
      <c r="J600" s="3" t="n">
        <v>340.22</v>
      </c>
      <c r="K600" s="3" t="n">
        <v>68.04000000000001</v>
      </c>
      <c r="L600" s="3" t="n">
        <v>272.18</v>
      </c>
      <c r="M600" s="3" t="n">
        <v>220.04</v>
      </c>
      <c r="N600" s="3" t="n">
        <v>52.14</v>
      </c>
      <c r="O600">
        <f>TEXT(A600,"yyyy-mm")</f>
        <v/>
      </c>
    </row>
    <row r="601">
      <c r="A601" s="2" t="n">
        <v>45631</v>
      </c>
      <c r="B601" t="n">
        <v>2024</v>
      </c>
      <c r="C601" t="inlineStr">
        <is>
          <t>December</t>
        </is>
      </c>
      <c r="D601" t="inlineStr">
        <is>
          <t>Essential Rug</t>
        </is>
      </c>
      <c r="E601" t="inlineStr">
        <is>
          <t>Home &amp; Garden</t>
        </is>
      </c>
      <c r="F601" t="inlineStr">
        <is>
          <t>Daniel Nowak</t>
        </is>
      </c>
      <c r="G601" t="inlineStr">
        <is>
          <t>Netherlands</t>
        </is>
      </c>
      <c r="H601" t="inlineStr">
        <is>
          <t>Web Store</t>
        </is>
      </c>
      <c r="I601" t="n">
        <v>2</v>
      </c>
      <c r="J601" s="3" t="n">
        <v>274.56</v>
      </c>
      <c r="K601" s="3" t="n">
        <v>54.91</v>
      </c>
      <c r="L601" s="3" t="n">
        <v>219.65</v>
      </c>
      <c r="M601" s="3" t="n">
        <v>152.66</v>
      </c>
      <c r="N601" s="3" t="n">
        <v>66.98999999999999</v>
      </c>
      <c r="O601">
        <f>TEXT(A601,"yyyy-mm")</f>
        <v/>
      </c>
    </row>
    <row r="602">
      <c r="A602" s="2" t="n">
        <v>45631</v>
      </c>
      <c r="B602" t="n">
        <v>2024</v>
      </c>
      <c r="C602" t="inlineStr">
        <is>
          <t>December</t>
        </is>
      </c>
      <c r="D602" t="inlineStr">
        <is>
          <t>Ultra Backpack</t>
        </is>
      </c>
      <c r="E602" t="inlineStr">
        <is>
          <t>Sports &amp; Outdoors</t>
        </is>
      </c>
      <c r="F602" t="inlineStr">
        <is>
          <t>Clara Weber</t>
        </is>
      </c>
      <c r="G602" t="inlineStr">
        <is>
          <t>Netherlands</t>
        </is>
      </c>
      <c r="H602" t="inlineStr">
        <is>
          <t>Mobile App</t>
        </is>
      </c>
      <c r="I602" t="n">
        <v>3</v>
      </c>
      <c r="J602" s="3" t="n">
        <v>921.87</v>
      </c>
      <c r="K602" s="3" t="n">
        <v>0</v>
      </c>
      <c r="L602" s="3" t="n">
        <v>921.87</v>
      </c>
      <c r="M602" s="3" t="n">
        <v>521.0700000000001</v>
      </c>
      <c r="N602" s="3" t="n">
        <v>400.8</v>
      </c>
      <c r="O602">
        <f>TEXT(A602,"yyyy-mm")</f>
        <v/>
      </c>
    </row>
    <row r="603">
      <c r="A603" s="2" t="n">
        <v>45631</v>
      </c>
      <c r="B603" t="n">
        <v>2024</v>
      </c>
      <c r="C603" t="inlineStr">
        <is>
          <t>December</t>
        </is>
      </c>
      <c r="D603" t="inlineStr">
        <is>
          <t>Compact Pasta</t>
        </is>
      </c>
      <c r="E603" t="inlineStr">
        <is>
          <t>Grocery</t>
        </is>
      </c>
      <c r="F603" t="inlineStr">
        <is>
          <t>Clara Weber</t>
        </is>
      </c>
      <c r="G603" t="inlineStr">
        <is>
          <t>Netherlands</t>
        </is>
      </c>
      <c r="H603" t="inlineStr">
        <is>
          <t>Mobile App</t>
        </is>
      </c>
      <c r="I603" t="n">
        <v>2</v>
      </c>
      <c r="J603" s="3" t="n">
        <v>600.38</v>
      </c>
      <c r="K603" s="3" t="n">
        <v>30.02</v>
      </c>
      <c r="L603" s="3" t="n">
        <v>570.36</v>
      </c>
      <c r="M603" s="3" t="n">
        <v>398.8</v>
      </c>
      <c r="N603" s="3" t="n">
        <v>171.56</v>
      </c>
      <c r="O603">
        <f>TEXT(A603,"yyyy-mm")</f>
        <v/>
      </c>
    </row>
    <row r="604">
      <c r="A604" s="2" t="n">
        <v>45631</v>
      </c>
      <c r="B604" t="n">
        <v>2024</v>
      </c>
      <c r="C604" t="inlineStr">
        <is>
          <t>December</t>
        </is>
      </c>
      <c r="D604" t="inlineStr">
        <is>
          <t>Essential Jacket</t>
        </is>
      </c>
      <c r="E604" t="inlineStr">
        <is>
          <t>Clothing</t>
        </is>
      </c>
      <c r="F604" t="inlineStr">
        <is>
          <t>John Wilson</t>
        </is>
      </c>
      <c r="G604" t="inlineStr">
        <is>
          <t>France</t>
        </is>
      </c>
      <c r="H604" t="inlineStr">
        <is>
          <t>Retail Store</t>
        </is>
      </c>
      <c r="I604" t="n">
        <v>5</v>
      </c>
      <c r="J604" s="3" t="n">
        <v>722.6</v>
      </c>
      <c r="K604" s="3" t="n">
        <v>72.26000000000001</v>
      </c>
      <c r="L604" s="3" t="n">
        <v>650.34</v>
      </c>
      <c r="M604" s="3" t="n">
        <v>426.75</v>
      </c>
      <c r="N604" s="3" t="n">
        <v>223.59</v>
      </c>
      <c r="O604">
        <f>TEXT(A604,"yyyy-mm")</f>
        <v/>
      </c>
    </row>
    <row r="605">
      <c r="A605" s="2" t="n">
        <v>45631</v>
      </c>
      <c r="B605" t="n">
        <v>2024</v>
      </c>
      <c r="C605" t="inlineStr">
        <is>
          <t>December</t>
        </is>
      </c>
      <c r="D605" t="inlineStr">
        <is>
          <t>Smart Coffee Beans</t>
        </is>
      </c>
      <c r="E605" t="inlineStr">
        <is>
          <t>Grocery</t>
        </is>
      </c>
      <c r="F605" t="inlineStr">
        <is>
          <t>John Wilson</t>
        </is>
      </c>
      <c r="G605" t="inlineStr">
        <is>
          <t>France</t>
        </is>
      </c>
      <c r="H605" t="inlineStr">
        <is>
          <t>Retail Store</t>
        </is>
      </c>
      <c r="I605" t="n">
        <v>1</v>
      </c>
      <c r="J605" s="3" t="n">
        <v>109.54</v>
      </c>
      <c r="K605" s="3" t="n">
        <v>0</v>
      </c>
      <c r="L605" s="3" t="n">
        <v>109.54</v>
      </c>
      <c r="M605" s="3" t="n">
        <v>72.84999999999999</v>
      </c>
      <c r="N605" s="3" t="n">
        <v>36.69</v>
      </c>
      <c r="O605">
        <f>TEXT(A605,"yyyy-mm")</f>
        <v/>
      </c>
    </row>
    <row r="606">
      <c r="A606" s="2" t="n">
        <v>45631</v>
      </c>
      <c r="B606" t="n">
        <v>2024</v>
      </c>
      <c r="C606" t="inlineStr">
        <is>
          <t>December</t>
        </is>
      </c>
      <c r="D606" t="inlineStr">
        <is>
          <t>Deluxe Toothbrush</t>
        </is>
      </c>
      <c r="E606" t="inlineStr">
        <is>
          <t>Beauty &amp; Health</t>
        </is>
      </c>
      <c r="F606" t="inlineStr">
        <is>
          <t>Clara Weber</t>
        </is>
      </c>
      <c r="G606" t="inlineStr">
        <is>
          <t>Netherlands</t>
        </is>
      </c>
      <c r="H606" t="inlineStr">
        <is>
          <t>Mobile App</t>
        </is>
      </c>
      <c r="I606" t="n">
        <v>4</v>
      </c>
      <c r="J606" s="3" t="n">
        <v>1259.8</v>
      </c>
      <c r="K606" s="3" t="n">
        <v>188.97</v>
      </c>
      <c r="L606" s="3" t="n">
        <v>1070.83</v>
      </c>
      <c r="M606" s="3" t="n">
        <v>698.28</v>
      </c>
      <c r="N606" s="3" t="n">
        <v>372.55</v>
      </c>
      <c r="O606">
        <f>TEXT(A606,"yyyy-mm")</f>
        <v/>
      </c>
    </row>
    <row r="607">
      <c r="A607" s="2" t="n">
        <v>45631</v>
      </c>
      <c r="B607" t="n">
        <v>2024</v>
      </c>
      <c r="C607" t="inlineStr">
        <is>
          <t>December</t>
        </is>
      </c>
      <c r="D607" t="inlineStr">
        <is>
          <t>Smart Camera</t>
        </is>
      </c>
      <c r="E607" t="inlineStr">
        <is>
          <t>Electronics</t>
        </is>
      </c>
      <c r="F607" t="inlineStr">
        <is>
          <t>Clara Weber</t>
        </is>
      </c>
      <c r="G607" t="inlineStr">
        <is>
          <t>Netherlands</t>
        </is>
      </c>
      <c r="H607" t="inlineStr">
        <is>
          <t>Mobile App</t>
        </is>
      </c>
      <c r="I607" t="n">
        <v>3</v>
      </c>
      <c r="J607" s="3" t="n">
        <v>370.68</v>
      </c>
      <c r="K607" s="3" t="n">
        <v>0</v>
      </c>
      <c r="L607" s="3" t="n">
        <v>370.68</v>
      </c>
      <c r="M607" s="3" t="n">
        <v>256.74</v>
      </c>
      <c r="N607" s="3" t="n">
        <v>113.94</v>
      </c>
      <c r="O607">
        <f>TEXT(A607,"yyyy-mm")</f>
        <v/>
      </c>
    </row>
    <row r="608">
      <c r="A608" s="2" t="n">
        <v>45631</v>
      </c>
      <c r="B608" t="n">
        <v>2024</v>
      </c>
      <c r="C608" t="inlineStr">
        <is>
          <t>December</t>
        </is>
      </c>
      <c r="D608" t="inlineStr">
        <is>
          <t>Classic Tea Set</t>
        </is>
      </c>
      <c r="E608" t="inlineStr">
        <is>
          <t>Grocery</t>
        </is>
      </c>
      <c r="F608" t="inlineStr">
        <is>
          <t>Daniel Nowak</t>
        </is>
      </c>
      <c r="G608" t="inlineStr">
        <is>
          <t>Netherlands</t>
        </is>
      </c>
      <c r="H608" t="inlineStr">
        <is>
          <t>Web Store</t>
        </is>
      </c>
      <c r="I608" t="n">
        <v>3</v>
      </c>
      <c r="J608" s="3" t="n">
        <v>523.08</v>
      </c>
      <c r="K608" s="3" t="n">
        <v>0</v>
      </c>
      <c r="L608" s="3" t="n">
        <v>523.08</v>
      </c>
      <c r="M608" s="3" t="n">
        <v>376.2</v>
      </c>
      <c r="N608" s="3" t="n">
        <v>146.88</v>
      </c>
      <c r="O608">
        <f>TEXT(A608,"yyyy-mm")</f>
        <v/>
      </c>
    </row>
    <row r="609">
      <c r="A609" s="2" t="n">
        <v>45632</v>
      </c>
      <c r="B609" t="n">
        <v>2024</v>
      </c>
      <c r="C609" t="inlineStr">
        <is>
          <t>December</t>
        </is>
      </c>
      <c r="D609" t="inlineStr">
        <is>
          <t>Essential Vitamins</t>
        </is>
      </c>
      <c r="E609" t="inlineStr">
        <is>
          <t>Beauty &amp; Health</t>
        </is>
      </c>
      <c r="F609" t="inlineStr">
        <is>
          <t>Robert Wilson</t>
        </is>
      </c>
      <c r="G609" t="inlineStr">
        <is>
          <t>Germany</t>
        </is>
      </c>
      <c r="H609" t="inlineStr">
        <is>
          <t>Retail Store</t>
        </is>
      </c>
      <c r="I609" t="n">
        <v>2</v>
      </c>
      <c r="J609" s="3" t="n">
        <v>328.58</v>
      </c>
      <c r="K609" s="3" t="n">
        <v>49.29</v>
      </c>
      <c r="L609" s="3" t="n">
        <v>279.29</v>
      </c>
      <c r="M609" s="3" t="n">
        <v>220.6</v>
      </c>
      <c r="N609" s="3" t="n">
        <v>58.69</v>
      </c>
      <c r="O609">
        <f>TEXT(A609,"yyyy-mm")</f>
        <v/>
      </c>
    </row>
    <row r="610">
      <c r="A610" s="2" t="n">
        <v>45632</v>
      </c>
      <c r="B610" t="n">
        <v>2024</v>
      </c>
      <c r="C610" t="inlineStr">
        <is>
          <t>December</t>
        </is>
      </c>
      <c r="D610" t="inlineStr">
        <is>
          <t>Smart Charger</t>
        </is>
      </c>
      <c r="E610" t="inlineStr">
        <is>
          <t>Electronics</t>
        </is>
      </c>
      <c r="F610" t="inlineStr">
        <is>
          <t>Robert Wilson</t>
        </is>
      </c>
      <c r="G610" t="inlineStr">
        <is>
          <t>Germany</t>
        </is>
      </c>
      <c r="H610" t="inlineStr">
        <is>
          <t>Retail Store</t>
        </is>
      </c>
      <c r="I610" t="n">
        <v>5</v>
      </c>
      <c r="J610" s="3" t="n">
        <v>198.9</v>
      </c>
      <c r="K610" s="3" t="n">
        <v>0</v>
      </c>
      <c r="L610" s="3" t="n">
        <v>198.9</v>
      </c>
      <c r="M610" s="3" t="n">
        <v>138.2</v>
      </c>
      <c r="N610" s="3" t="n">
        <v>60.7</v>
      </c>
      <c r="O610">
        <f>TEXT(A610,"yyyy-mm")</f>
        <v/>
      </c>
    </row>
    <row r="611">
      <c r="A611" s="2" t="n">
        <v>45632</v>
      </c>
      <c r="B611" t="n">
        <v>2024</v>
      </c>
      <c r="C611" t="inlineStr">
        <is>
          <t>December</t>
        </is>
      </c>
      <c r="D611" t="inlineStr">
        <is>
          <t>Eco Backpack</t>
        </is>
      </c>
      <c r="E611" t="inlineStr">
        <is>
          <t>Sports &amp; Outdoors</t>
        </is>
      </c>
      <c r="F611" t="inlineStr">
        <is>
          <t>John Dubois</t>
        </is>
      </c>
      <c r="G611" t="inlineStr">
        <is>
          <t>Netherlands</t>
        </is>
      </c>
      <c r="H611" t="inlineStr">
        <is>
          <t>Web Store</t>
        </is>
      </c>
      <c r="I611" t="n">
        <v>5</v>
      </c>
      <c r="J611" s="3" t="n">
        <v>1297.35</v>
      </c>
      <c r="K611" s="3" t="n">
        <v>0</v>
      </c>
      <c r="L611" s="3" t="n">
        <v>1297.35</v>
      </c>
      <c r="M611" s="3" t="n">
        <v>732.9</v>
      </c>
      <c r="N611" s="3" t="n">
        <v>564.45</v>
      </c>
      <c r="O611">
        <f>TEXT(A611,"yyyy-mm")</f>
        <v/>
      </c>
    </row>
    <row r="612">
      <c r="A612" s="2" t="n">
        <v>45632</v>
      </c>
      <c r="B612" t="n">
        <v>2024</v>
      </c>
      <c r="C612" t="inlineStr">
        <is>
          <t>December</t>
        </is>
      </c>
      <c r="D612" t="inlineStr">
        <is>
          <t>Smart Charger</t>
        </is>
      </c>
      <c r="E612" t="inlineStr">
        <is>
          <t>Electronics</t>
        </is>
      </c>
      <c r="F612" t="inlineStr">
        <is>
          <t>Michael Weber</t>
        </is>
      </c>
      <c r="G612" t="inlineStr">
        <is>
          <t>United States</t>
        </is>
      </c>
      <c r="H612" t="inlineStr">
        <is>
          <t>Marketplace</t>
        </is>
      </c>
      <c r="I612" t="n">
        <v>5</v>
      </c>
      <c r="J612" s="3" t="n">
        <v>1249</v>
      </c>
      <c r="K612" s="3" t="n">
        <v>0</v>
      </c>
      <c r="L612" s="3" t="n">
        <v>1249</v>
      </c>
      <c r="M612" s="3" t="n">
        <v>712.6</v>
      </c>
      <c r="N612" s="3" t="n">
        <v>536.4</v>
      </c>
      <c r="O612">
        <f>TEXT(A612,"yyyy-mm")</f>
        <v/>
      </c>
    </row>
    <row r="613">
      <c r="A613" s="2" t="n">
        <v>45632</v>
      </c>
      <c r="B613" t="n">
        <v>2024</v>
      </c>
      <c r="C613" t="inlineStr">
        <is>
          <t>December</t>
        </is>
      </c>
      <c r="D613" t="inlineStr">
        <is>
          <t>Wireless Honey</t>
        </is>
      </c>
      <c r="E613" t="inlineStr">
        <is>
          <t>Grocery</t>
        </is>
      </c>
      <c r="F613" t="inlineStr">
        <is>
          <t>John Dubois</t>
        </is>
      </c>
      <c r="G613" t="inlineStr">
        <is>
          <t>Netherlands</t>
        </is>
      </c>
      <c r="H613" t="inlineStr">
        <is>
          <t>Web Store</t>
        </is>
      </c>
      <c r="I613" t="n">
        <v>1</v>
      </c>
      <c r="J613" s="3" t="n">
        <v>133.79</v>
      </c>
      <c r="K613" s="3" t="n">
        <v>6.69</v>
      </c>
      <c r="L613" s="3" t="n">
        <v>127.1</v>
      </c>
      <c r="M613" s="3" t="n">
        <v>94.06999999999999</v>
      </c>
      <c r="N613" s="3" t="n">
        <v>33.03</v>
      </c>
      <c r="O613">
        <f>TEXT(A613,"yyyy-mm")</f>
        <v/>
      </c>
    </row>
    <row r="614">
      <c r="A614" s="2" t="n">
        <v>45632</v>
      </c>
      <c r="B614" t="n">
        <v>2024</v>
      </c>
      <c r="C614" t="inlineStr">
        <is>
          <t>December</t>
        </is>
      </c>
      <c r="D614" t="inlineStr">
        <is>
          <t>Essential Charger</t>
        </is>
      </c>
      <c r="E614" t="inlineStr">
        <is>
          <t>Electronics</t>
        </is>
      </c>
      <c r="F614" t="inlineStr">
        <is>
          <t>Nina Wojcik</t>
        </is>
      </c>
      <c r="G614" t="inlineStr">
        <is>
          <t>Germany</t>
        </is>
      </c>
      <c r="H614" t="inlineStr">
        <is>
          <t>Marketplace</t>
        </is>
      </c>
      <c r="I614" t="n">
        <v>2</v>
      </c>
      <c r="J614" s="3" t="n">
        <v>87.52</v>
      </c>
      <c r="K614" s="3" t="n">
        <v>0</v>
      </c>
      <c r="L614" s="3" t="n">
        <v>87.52</v>
      </c>
      <c r="M614" s="3" t="n">
        <v>58.2</v>
      </c>
      <c r="N614" s="3" t="n">
        <v>29.32</v>
      </c>
      <c r="O614">
        <f>TEXT(A614,"yyyy-mm")</f>
        <v/>
      </c>
    </row>
    <row r="615">
      <c r="A615" s="2" t="n">
        <v>45632</v>
      </c>
      <c r="B615" t="n">
        <v>2024</v>
      </c>
      <c r="C615" t="inlineStr">
        <is>
          <t>December</t>
        </is>
      </c>
      <c r="D615" t="inlineStr">
        <is>
          <t>Portable Pasta</t>
        </is>
      </c>
      <c r="E615" t="inlineStr">
        <is>
          <t>Grocery</t>
        </is>
      </c>
      <c r="F615" t="inlineStr">
        <is>
          <t>John Dubois</t>
        </is>
      </c>
      <c r="G615" t="inlineStr">
        <is>
          <t>Netherlands</t>
        </is>
      </c>
      <c r="H615" t="inlineStr">
        <is>
          <t>Web Store</t>
        </is>
      </c>
      <c r="I615" t="n">
        <v>4</v>
      </c>
      <c r="J615" s="3" t="n">
        <v>145.64</v>
      </c>
      <c r="K615" s="3" t="n">
        <v>0</v>
      </c>
      <c r="L615" s="3" t="n">
        <v>145.64</v>
      </c>
      <c r="M615" s="3" t="n">
        <v>111</v>
      </c>
      <c r="N615" s="3" t="n">
        <v>34.64</v>
      </c>
      <c r="O615">
        <f>TEXT(A615,"yyyy-mm")</f>
        <v/>
      </c>
    </row>
    <row r="616">
      <c r="A616" s="2" t="n">
        <v>45632</v>
      </c>
      <c r="B616" t="n">
        <v>2024</v>
      </c>
      <c r="C616" t="inlineStr">
        <is>
          <t>December</t>
        </is>
      </c>
      <c r="D616" t="inlineStr">
        <is>
          <t>Smart Sweater</t>
        </is>
      </c>
      <c r="E616" t="inlineStr">
        <is>
          <t>Clothing</t>
        </is>
      </c>
      <c r="F616" t="inlineStr">
        <is>
          <t>John Dubois</t>
        </is>
      </c>
      <c r="G616" t="inlineStr">
        <is>
          <t>Netherlands</t>
        </is>
      </c>
      <c r="H616" t="inlineStr">
        <is>
          <t>Web Store</t>
        </is>
      </c>
      <c r="I616" t="n">
        <v>4</v>
      </c>
      <c r="J616" s="3" t="n">
        <v>576.04</v>
      </c>
      <c r="K616" s="3" t="n">
        <v>115.21</v>
      </c>
      <c r="L616" s="3" t="n">
        <v>460.83</v>
      </c>
      <c r="M616" s="3" t="n">
        <v>309.4</v>
      </c>
      <c r="N616" s="3" t="n">
        <v>151.43</v>
      </c>
      <c r="O616">
        <f>TEXT(A616,"yyyy-mm")</f>
        <v/>
      </c>
    </row>
    <row r="617">
      <c r="A617" s="2" t="n">
        <v>45633</v>
      </c>
      <c r="B617" t="n">
        <v>2024</v>
      </c>
      <c r="C617" t="inlineStr">
        <is>
          <t>December</t>
        </is>
      </c>
      <c r="D617" t="inlineStr">
        <is>
          <t>Smart Puzzle</t>
        </is>
      </c>
      <c r="E617" t="inlineStr">
        <is>
          <t>Toys &amp; Games</t>
        </is>
      </c>
      <c r="F617" t="inlineStr">
        <is>
          <t>James Nowak</t>
        </is>
      </c>
      <c r="G617" t="inlineStr">
        <is>
          <t>France</t>
        </is>
      </c>
      <c r="H617" t="inlineStr">
        <is>
          <t>Mobile App</t>
        </is>
      </c>
      <c r="I617" t="n">
        <v>3</v>
      </c>
      <c r="J617" s="3" t="n">
        <v>134.73</v>
      </c>
      <c r="K617" s="3" t="n">
        <v>20.21</v>
      </c>
      <c r="L617" s="3" t="n">
        <v>114.52</v>
      </c>
      <c r="M617" s="3" t="n">
        <v>73.31999999999999</v>
      </c>
      <c r="N617" s="3" t="n">
        <v>41.2</v>
      </c>
      <c r="O617">
        <f>TEXT(A617,"yyyy-mm")</f>
        <v/>
      </c>
    </row>
    <row r="618">
      <c r="A618" s="2" t="n">
        <v>45633</v>
      </c>
      <c r="B618" t="n">
        <v>2024</v>
      </c>
      <c r="C618" t="inlineStr">
        <is>
          <t>December</t>
        </is>
      </c>
      <c r="D618" t="inlineStr">
        <is>
          <t>Essential Lamp</t>
        </is>
      </c>
      <c r="E618" t="inlineStr">
        <is>
          <t>Home &amp; Garden</t>
        </is>
      </c>
      <c r="F618" t="inlineStr">
        <is>
          <t>Michael Nowak</t>
        </is>
      </c>
      <c r="G618" t="inlineStr">
        <is>
          <t>United Kingdom</t>
        </is>
      </c>
      <c r="H618" t="inlineStr">
        <is>
          <t>Retail Store</t>
        </is>
      </c>
      <c r="I618" t="n">
        <v>4</v>
      </c>
      <c r="J618" s="3" t="n">
        <v>262.04</v>
      </c>
      <c r="K618" s="3" t="n">
        <v>0</v>
      </c>
      <c r="L618" s="3" t="n">
        <v>262.04</v>
      </c>
      <c r="M618" s="3" t="n">
        <v>181.6</v>
      </c>
      <c r="N618" s="3" t="n">
        <v>80.44</v>
      </c>
      <c r="O618">
        <f>TEXT(A618,"yyyy-mm")</f>
        <v/>
      </c>
    </row>
    <row r="619">
      <c r="A619" s="2" t="n">
        <v>45633</v>
      </c>
      <c r="B619" t="n">
        <v>2024</v>
      </c>
      <c r="C619" t="inlineStr">
        <is>
          <t>December</t>
        </is>
      </c>
      <c r="D619" t="inlineStr">
        <is>
          <t>Premium Water Bottle</t>
        </is>
      </c>
      <c r="E619" t="inlineStr">
        <is>
          <t>Sports &amp; Outdoors</t>
        </is>
      </c>
      <c r="F619" t="inlineStr">
        <is>
          <t>Thomas Muller</t>
        </is>
      </c>
      <c r="G619" t="inlineStr">
        <is>
          <t>Germany</t>
        </is>
      </c>
      <c r="H619" t="inlineStr">
        <is>
          <t>Retail Store</t>
        </is>
      </c>
      <c r="I619" t="n">
        <v>1</v>
      </c>
      <c r="J619" s="3" t="n">
        <v>125</v>
      </c>
      <c r="K619" s="3" t="n">
        <v>0</v>
      </c>
      <c r="L619" s="3" t="n">
        <v>125</v>
      </c>
      <c r="M619" s="3" t="n">
        <v>89.62</v>
      </c>
      <c r="N619" s="3" t="n">
        <v>35.38</v>
      </c>
      <c r="O619">
        <f>TEXT(A619,"yyyy-mm")</f>
        <v/>
      </c>
    </row>
    <row r="620">
      <c r="A620" s="2" t="n">
        <v>45633</v>
      </c>
      <c r="B620" t="n">
        <v>2024</v>
      </c>
      <c r="C620" t="inlineStr">
        <is>
          <t>December</t>
        </is>
      </c>
      <c r="D620" t="inlineStr">
        <is>
          <t>Wireless Drone</t>
        </is>
      </c>
      <c r="E620" t="inlineStr">
        <is>
          <t>Toys &amp; Games</t>
        </is>
      </c>
      <c r="F620" t="inlineStr">
        <is>
          <t>Thomas Muller</t>
        </is>
      </c>
      <c r="G620" t="inlineStr">
        <is>
          <t>Germany</t>
        </is>
      </c>
      <c r="H620" t="inlineStr">
        <is>
          <t>Retail Store</t>
        </is>
      </c>
      <c r="I620" t="n">
        <v>3</v>
      </c>
      <c r="J620" s="3" t="n">
        <v>662.3099999999999</v>
      </c>
      <c r="K620" s="3" t="n">
        <v>0</v>
      </c>
      <c r="L620" s="3" t="n">
        <v>662.3099999999999</v>
      </c>
      <c r="M620" s="3" t="n">
        <v>393.87</v>
      </c>
      <c r="N620" s="3" t="n">
        <v>268.44</v>
      </c>
      <c r="O620">
        <f>TEXT(A620,"yyyy-mm")</f>
        <v/>
      </c>
    </row>
    <row r="621">
      <c r="A621" s="2" t="n">
        <v>45633</v>
      </c>
      <c r="B621" t="n">
        <v>2024</v>
      </c>
      <c r="C621" t="inlineStr">
        <is>
          <t>December</t>
        </is>
      </c>
      <c r="D621" t="inlineStr">
        <is>
          <t>Smart Drone</t>
        </is>
      </c>
      <c r="E621" t="inlineStr">
        <is>
          <t>Toys &amp; Games</t>
        </is>
      </c>
      <c r="F621" t="inlineStr">
        <is>
          <t>Thomas Muller</t>
        </is>
      </c>
      <c r="G621" t="inlineStr">
        <is>
          <t>Germany</t>
        </is>
      </c>
      <c r="H621" t="inlineStr">
        <is>
          <t>Retail Store</t>
        </is>
      </c>
      <c r="I621" t="n">
        <v>5</v>
      </c>
      <c r="J621" s="3" t="n">
        <v>1111.45</v>
      </c>
      <c r="K621" s="3" t="n">
        <v>166.72</v>
      </c>
      <c r="L621" s="3" t="n">
        <v>944.73</v>
      </c>
      <c r="M621" s="3" t="n">
        <v>634.75</v>
      </c>
      <c r="N621" s="3" t="n">
        <v>309.98</v>
      </c>
      <c r="O621">
        <f>TEXT(A621,"yyyy-mm")</f>
        <v/>
      </c>
    </row>
    <row r="622">
      <c r="A622" s="2" t="n">
        <v>45633</v>
      </c>
      <c r="B622" t="n">
        <v>2024</v>
      </c>
      <c r="C622" t="inlineStr">
        <is>
          <t>December</t>
        </is>
      </c>
      <c r="D622" t="inlineStr">
        <is>
          <t>Essential Cushion</t>
        </is>
      </c>
      <c r="E622" t="inlineStr">
        <is>
          <t>Home &amp; Garden</t>
        </is>
      </c>
      <c r="F622" t="inlineStr">
        <is>
          <t>Thomas Muller</t>
        </is>
      </c>
      <c r="G622" t="inlineStr">
        <is>
          <t>Germany</t>
        </is>
      </c>
      <c r="H622" t="inlineStr">
        <is>
          <t>Retail Store</t>
        </is>
      </c>
      <c r="I622" t="n">
        <v>3</v>
      </c>
      <c r="J622" s="3" t="n">
        <v>140.73</v>
      </c>
      <c r="K622" s="3" t="n">
        <v>0</v>
      </c>
      <c r="L622" s="3" t="n">
        <v>140.73</v>
      </c>
      <c r="M622" s="3" t="n">
        <v>91.65000000000001</v>
      </c>
      <c r="N622" s="3" t="n">
        <v>49.08</v>
      </c>
      <c r="O622">
        <f>TEXT(A622,"yyyy-mm")</f>
        <v/>
      </c>
    </row>
    <row r="623">
      <c r="A623" s="2" t="n">
        <v>45633</v>
      </c>
      <c r="B623" t="n">
        <v>2024</v>
      </c>
      <c r="C623" t="inlineStr">
        <is>
          <t>December</t>
        </is>
      </c>
      <c r="D623" t="inlineStr">
        <is>
          <t>Deluxe Scarf</t>
        </is>
      </c>
      <c r="E623" t="inlineStr">
        <is>
          <t>Clothing</t>
        </is>
      </c>
      <c r="F623" t="inlineStr">
        <is>
          <t>Maria Garcia</t>
        </is>
      </c>
      <c r="G623" t="inlineStr">
        <is>
          <t>Italy</t>
        </is>
      </c>
      <c r="H623" t="inlineStr">
        <is>
          <t>Mobile App</t>
        </is>
      </c>
      <c r="I623" t="n">
        <v>3</v>
      </c>
      <c r="J623" s="3" t="n">
        <v>592.26</v>
      </c>
      <c r="K623" s="3" t="n">
        <v>0</v>
      </c>
      <c r="L623" s="3" t="n">
        <v>592.26</v>
      </c>
      <c r="M623" s="3" t="n">
        <v>325.56</v>
      </c>
      <c r="N623" s="3" t="n">
        <v>266.7</v>
      </c>
      <c r="O623">
        <f>TEXT(A623,"yyyy-mm")</f>
        <v/>
      </c>
    </row>
    <row r="624">
      <c r="A624" s="2" t="n">
        <v>45633</v>
      </c>
      <c r="B624" t="n">
        <v>2024</v>
      </c>
      <c r="C624" t="inlineStr">
        <is>
          <t>December</t>
        </is>
      </c>
      <c r="D624" t="inlineStr">
        <is>
          <t>Essential Vitamins</t>
        </is>
      </c>
      <c r="E624" t="inlineStr">
        <is>
          <t>Beauty &amp; Health</t>
        </is>
      </c>
      <c r="F624" t="inlineStr">
        <is>
          <t>Thomas Muller</t>
        </is>
      </c>
      <c r="G624" t="inlineStr">
        <is>
          <t>Italy</t>
        </is>
      </c>
      <c r="H624" t="inlineStr">
        <is>
          <t>Mobile App</t>
        </is>
      </c>
      <c r="I624" t="n">
        <v>4</v>
      </c>
      <c r="J624" s="3" t="n">
        <v>657.88</v>
      </c>
      <c r="K624" s="3" t="n">
        <v>131.58</v>
      </c>
      <c r="L624" s="3" t="n">
        <v>526.3</v>
      </c>
      <c r="M624" s="3" t="n">
        <v>441.2</v>
      </c>
      <c r="N624" s="3" t="n">
        <v>85.09999999999999</v>
      </c>
      <c r="O624">
        <f>TEXT(A624,"yyyy-mm")</f>
        <v/>
      </c>
    </row>
    <row r="625">
      <c r="A625" s="2" t="n">
        <v>45633</v>
      </c>
      <c r="B625" t="n">
        <v>2024</v>
      </c>
      <c r="C625" t="inlineStr">
        <is>
          <t>December</t>
        </is>
      </c>
      <c r="D625" t="inlineStr">
        <is>
          <t>Premium Rug</t>
        </is>
      </c>
      <c r="E625" t="inlineStr">
        <is>
          <t>Home &amp; Garden</t>
        </is>
      </c>
      <c r="F625" t="inlineStr">
        <is>
          <t>Michael Martin</t>
        </is>
      </c>
      <c r="G625" t="inlineStr">
        <is>
          <t>Italy</t>
        </is>
      </c>
      <c r="H625" t="inlineStr">
        <is>
          <t>Web Store</t>
        </is>
      </c>
      <c r="I625" t="n">
        <v>2</v>
      </c>
      <c r="J625" s="3" t="n">
        <v>379.62</v>
      </c>
      <c r="K625" s="3" t="n">
        <v>0</v>
      </c>
      <c r="L625" s="3" t="n">
        <v>379.62</v>
      </c>
      <c r="M625" s="3" t="n">
        <v>222.38</v>
      </c>
      <c r="N625" s="3" t="n">
        <v>157.24</v>
      </c>
      <c r="O625">
        <f>TEXT(A625,"yyyy-mm")</f>
        <v/>
      </c>
    </row>
    <row r="626">
      <c r="A626" s="2" t="n">
        <v>45634</v>
      </c>
      <c r="B626" t="n">
        <v>2024</v>
      </c>
      <c r="C626" t="inlineStr">
        <is>
          <t>December</t>
        </is>
      </c>
      <c r="D626" t="inlineStr">
        <is>
          <t>Premium Tent</t>
        </is>
      </c>
      <c r="E626" t="inlineStr">
        <is>
          <t>Sports &amp; Outdoors</t>
        </is>
      </c>
      <c r="F626" t="inlineStr">
        <is>
          <t>Michael Weber</t>
        </is>
      </c>
      <c r="G626" t="inlineStr">
        <is>
          <t>France</t>
        </is>
      </c>
      <c r="H626" t="inlineStr">
        <is>
          <t>Retail Store</t>
        </is>
      </c>
      <c r="I626" t="n">
        <v>2</v>
      </c>
      <c r="J626" s="3" t="n">
        <v>517.62</v>
      </c>
      <c r="K626" s="3" t="n">
        <v>0</v>
      </c>
      <c r="L626" s="3" t="n">
        <v>517.62</v>
      </c>
      <c r="M626" s="3" t="n">
        <v>330.62</v>
      </c>
      <c r="N626" s="3" t="n">
        <v>187</v>
      </c>
      <c r="O626">
        <f>TEXT(A626,"yyyy-mm")</f>
        <v/>
      </c>
    </row>
    <row r="627">
      <c r="A627" s="2" t="n">
        <v>45634</v>
      </c>
      <c r="B627" t="n">
        <v>2024</v>
      </c>
      <c r="C627" t="inlineStr">
        <is>
          <t>December</t>
        </is>
      </c>
      <c r="D627" t="inlineStr">
        <is>
          <t>Deluxe Scarf</t>
        </is>
      </c>
      <c r="E627" t="inlineStr">
        <is>
          <t>Clothing</t>
        </is>
      </c>
      <c r="F627" t="inlineStr">
        <is>
          <t>Clara Johnson</t>
        </is>
      </c>
      <c r="G627" t="inlineStr">
        <is>
          <t>United Kingdom</t>
        </is>
      </c>
      <c r="H627" t="inlineStr">
        <is>
          <t>Retail Store</t>
        </is>
      </c>
      <c r="I627" t="n">
        <v>3</v>
      </c>
      <c r="J627" s="3" t="n">
        <v>614.4</v>
      </c>
      <c r="K627" s="3" t="n">
        <v>0</v>
      </c>
      <c r="L627" s="3" t="n">
        <v>614.4</v>
      </c>
      <c r="M627" s="3" t="n">
        <v>325.56</v>
      </c>
      <c r="N627" s="3" t="n">
        <v>288.84</v>
      </c>
      <c r="O627">
        <f>TEXT(A627,"yyyy-mm")</f>
        <v/>
      </c>
    </row>
    <row r="628">
      <c r="A628" s="2" t="n">
        <v>45634</v>
      </c>
      <c r="B628" t="n">
        <v>2024</v>
      </c>
      <c r="C628" t="inlineStr">
        <is>
          <t>December</t>
        </is>
      </c>
      <c r="D628" t="inlineStr">
        <is>
          <t>Eco Biography</t>
        </is>
      </c>
      <c r="E628" t="inlineStr">
        <is>
          <t>Books</t>
        </is>
      </c>
      <c r="F628" t="inlineStr">
        <is>
          <t>Olivia Rossi</t>
        </is>
      </c>
      <c r="G628" t="inlineStr">
        <is>
          <t>Spain</t>
        </is>
      </c>
      <c r="H628" t="inlineStr">
        <is>
          <t>Marketplace</t>
        </is>
      </c>
      <c r="I628" t="n">
        <v>1</v>
      </c>
      <c r="J628" s="3" t="n">
        <v>118.57</v>
      </c>
      <c r="K628" s="3" t="n">
        <v>0</v>
      </c>
      <c r="L628" s="3" t="n">
        <v>118.57</v>
      </c>
      <c r="M628" s="3" t="n">
        <v>71.02</v>
      </c>
      <c r="N628" s="3" t="n">
        <v>47.55</v>
      </c>
      <c r="O628">
        <f>TEXT(A628,"yyyy-mm")</f>
        <v/>
      </c>
    </row>
    <row r="629">
      <c r="A629" s="2" t="n">
        <v>45634</v>
      </c>
      <c r="B629" t="n">
        <v>2024</v>
      </c>
      <c r="C629" t="inlineStr">
        <is>
          <t>December</t>
        </is>
      </c>
      <c r="D629" t="inlineStr">
        <is>
          <t>Ultra Toolset</t>
        </is>
      </c>
      <c r="E629" t="inlineStr">
        <is>
          <t>Home &amp; Garden</t>
        </is>
      </c>
      <c r="F629" t="inlineStr">
        <is>
          <t>Olivia Rossi</t>
        </is>
      </c>
      <c r="G629" t="inlineStr">
        <is>
          <t>Spain</t>
        </is>
      </c>
      <c r="H629" t="inlineStr">
        <is>
          <t>Marketplace</t>
        </is>
      </c>
      <c r="I629" t="n">
        <v>3</v>
      </c>
      <c r="J629" s="3" t="n">
        <v>1122.18</v>
      </c>
      <c r="K629" s="3" t="n">
        <v>112.22</v>
      </c>
      <c r="L629" s="3" t="n">
        <v>1009.96</v>
      </c>
      <c r="M629" s="3" t="n">
        <v>571.2</v>
      </c>
      <c r="N629" s="3" t="n">
        <v>438.76</v>
      </c>
      <c r="O629">
        <f>TEXT(A629,"yyyy-mm")</f>
        <v/>
      </c>
    </row>
    <row r="630">
      <c r="A630" s="2" t="n">
        <v>45634</v>
      </c>
      <c r="B630" t="n">
        <v>2024</v>
      </c>
      <c r="C630" t="inlineStr">
        <is>
          <t>December</t>
        </is>
      </c>
      <c r="D630" t="inlineStr">
        <is>
          <t>Classic Tea Set</t>
        </is>
      </c>
      <c r="E630" t="inlineStr">
        <is>
          <t>Grocery</t>
        </is>
      </c>
      <c r="F630" t="inlineStr">
        <is>
          <t>Olivia Rossi</t>
        </is>
      </c>
      <c r="G630" t="inlineStr">
        <is>
          <t>Spain</t>
        </is>
      </c>
      <c r="H630" t="inlineStr">
        <is>
          <t>Marketplace</t>
        </is>
      </c>
      <c r="I630" t="n">
        <v>2</v>
      </c>
      <c r="J630" s="3" t="n">
        <v>364.12</v>
      </c>
      <c r="K630" s="3" t="n">
        <v>36.41</v>
      </c>
      <c r="L630" s="3" t="n">
        <v>327.71</v>
      </c>
      <c r="M630" s="3" t="n">
        <v>250.8</v>
      </c>
      <c r="N630" s="3" t="n">
        <v>76.91</v>
      </c>
      <c r="O630">
        <f>TEXT(A630,"yyyy-mm")</f>
        <v/>
      </c>
    </row>
    <row r="631">
      <c r="A631" s="2" t="n">
        <v>45635</v>
      </c>
      <c r="B631" t="n">
        <v>2024</v>
      </c>
      <c r="C631" t="inlineStr">
        <is>
          <t>December</t>
        </is>
      </c>
      <c r="D631" t="inlineStr">
        <is>
          <t>Wireless Coffee Beans</t>
        </is>
      </c>
      <c r="E631" t="inlineStr">
        <is>
          <t>Grocery</t>
        </is>
      </c>
      <c r="F631" t="inlineStr">
        <is>
          <t>Anna Fischer</t>
        </is>
      </c>
      <c r="G631" t="inlineStr">
        <is>
          <t>Poland</t>
        </is>
      </c>
      <c r="H631" t="inlineStr">
        <is>
          <t>Marketplace</t>
        </is>
      </c>
      <c r="I631" t="n">
        <v>2</v>
      </c>
      <c r="J631" s="3" t="n">
        <v>439.02</v>
      </c>
      <c r="K631" s="3" t="n">
        <v>21.95</v>
      </c>
      <c r="L631" s="3" t="n">
        <v>417.07</v>
      </c>
      <c r="M631" s="3" t="n">
        <v>260.26</v>
      </c>
      <c r="N631" s="3" t="n">
        <v>156.81</v>
      </c>
      <c r="O631">
        <f>TEXT(A631,"yyyy-mm")</f>
        <v/>
      </c>
    </row>
    <row r="632">
      <c r="A632" s="2" t="n">
        <v>45635</v>
      </c>
      <c r="B632" t="n">
        <v>2024</v>
      </c>
      <c r="C632" t="inlineStr">
        <is>
          <t>December</t>
        </is>
      </c>
      <c r="D632" t="inlineStr">
        <is>
          <t>Portable Puzzle</t>
        </is>
      </c>
      <c r="E632" t="inlineStr">
        <is>
          <t>Toys &amp; Games</t>
        </is>
      </c>
      <c r="F632" t="inlineStr">
        <is>
          <t>Anna Fischer</t>
        </is>
      </c>
      <c r="G632" t="inlineStr">
        <is>
          <t>Poland</t>
        </is>
      </c>
      <c r="H632" t="inlineStr">
        <is>
          <t>Marketplace</t>
        </is>
      </c>
      <c r="I632" t="n">
        <v>3</v>
      </c>
      <c r="J632" s="3" t="n">
        <v>946.35</v>
      </c>
      <c r="K632" s="3" t="n">
        <v>0</v>
      </c>
      <c r="L632" s="3" t="n">
        <v>946.35</v>
      </c>
      <c r="M632" s="3" t="n">
        <v>520.98</v>
      </c>
      <c r="N632" s="3" t="n">
        <v>425.37</v>
      </c>
      <c r="O632">
        <f>TEXT(A632,"yyyy-mm")</f>
        <v/>
      </c>
    </row>
    <row r="633">
      <c r="A633" s="2" t="n">
        <v>45635</v>
      </c>
      <c r="B633" t="n">
        <v>2024</v>
      </c>
      <c r="C633" t="inlineStr">
        <is>
          <t>December</t>
        </is>
      </c>
      <c r="D633" t="inlineStr">
        <is>
          <t>Premium Water Bottle</t>
        </is>
      </c>
      <c r="E633" t="inlineStr">
        <is>
          <t>Sports &amp; Outdoors</t>
        </is>
      </c>
      <c r="F633" t="inlineStr">
        <is>
          <t>Anna Fischer</t>
        </is>
      </c>
      <c r="G633" t="inlineStr">
        <is>
          <t>Poland</t>
        </is>
      </c>
      <c r="H633" t="inlineStr">
        <is>
          <t>Marketplace</t>
        </is>
      </c>
      <c r="I633" t="n">
        <v>5</v>
      </c>
      <c r="J633" s="3" t="n">
        <v>624.8</v>
      </c>
      <c r="K633" s="3" t="n">
        <v>124.96</v>
      </c>
      <c r="L633" s="3" t="n">
        <v>499.84</v>
      </c>
      <c r="M633" s="3" t="n">
        <v>448.1</v>
      </c>
      <c r="N633" s="3" t="n">
        <v>51.74</v>
      </c>
      <c r="O633">
        <f>TEXT(A633,"yyyy-mm")</f>
        <v/>
      </c>
    </row>
    <row r="634">
      <c r="A634" s="2" t="n">
        <v>45635</v>
      </c>
      <c r="B634" t="n">
        <v>2024</v>
      </c>
      <c r="C634" t="inlineStr">
        <is>
          <t>December</t>
        </is>
      </c>
      <c r="D634" t="inlineStr">
        <is>
          <t>Compact Pasta</t>
        </is>
      </c>
      <c r="E634" t="inlineStr">
        <is>
          <t>Grocery</t>
        </is>
      </c>
      <c r="F634" t="inlineStr">
        <is>
          <t>Robert Martin</t>
        </is>
      </c>
      <c r="G634" t="inlineStr">
        <is>
          <t>Italy</t>
        </is>
      </c>
      <c r="H634" t="inlineStr">
        <is>
          <t>Mobile App</t>
        </is>
      </c>
      <c r="I634" t="n">
        <v>5</v>
      </c>
      <c r="J634" s="3" t="n">
        <v>1620.15</v>
      </c>
      <c r="K634" s="3" t="n">
        <v>0</v>
      </c>
      <c r="L634" s="3" t="n">
        <v>1620.15</v>
      </c>
      <c r="M634" s="3" t="n">
        <v>997</v>
      </c>
      <c r="N634" s="3" t="n">
        <v>623.15</v>
      </c>
      <c r="O634">
        <f>TEXT(A634,"yyyy-mm")</f>
        <v/>
      </c>
    </row>
    <row r="635">
      <c r="A635" s="2" t="n">
        <v>45635</v>
      </c>
      <c r="B635" t="n">
        <v>2024</v>
      </c>
      <c r="C635" t="inlineStr">
        <is>
          <t>December</t>
        </is>
      </c>
      <c r="D635" t="inlineStr">
        <is>
          <t>Smart Cookbook</t>
        </is>
      </c>
      <c r="E635" t="inlineStr">
        <is>
          <t>Books</t>
        </is>
      </c>
      <c r="F635" t="inlineStr">
        <is>
          <t>Robert Martin</t>
        </is>
      </c>
      <c r="G635" t="inlineStr">
        <is>
          <t>Italy</t>
        </is>
      </c>
      <c r="H635" t="inlineStr">
        <is>
          <t>Mobile App</t>
        </is>
      </c>
      <c r="I635" t="n">
        <v>4</v>
      </c>
      <c r="J635" s="3" t="n">
        <v>69.68000000000001</v>
      </c>
      <c r="K635" s="3" t="n">
        <v>13.94</v>
      </c>
      <c r="L635" s="3" t="n">
        <v>55.74</v>
      </c>
      <c r="M635" s="3" t="n">
        <v>39.52</v>
      </c>
      <c r="N635" s="3" t="n">
        <v>16.22</v>
      </c>
      <c r="O635">
        <f>TEXT(A635,"yyyy-mm")</f>
        <v/>
      </c>
    </row>
    <row r="636">
      <c r="A636" s="2" t="n">
        <v>45635</v>
      </c>
      <c r="B636" t="n">
        <v>2024</v>
      </c>
      <c r="C636" t="inlineStr">
        <is>
          <t>December</t>
        </is>
      </c>
      <c r="D636" t="inlineStr">
        <is>
          <t>Smart Charger</t>
        </is>
      </c>
      <c r="E636" t="inlineStr">
        <is>
          <t>Electronics</t>
        </is>
      </c>
      <c r="F636" t="inlineStr">
        <is>
          <t>Robert Martin</t>
        </is>
      </c>
      <c r="G636" t="inlineStr">
        <is>
          <t>Italy</t>
        </is>
      </c>
      <c r="H636" t="inlineStr">
        <is>
          <t>Mobile App</t>
        </is>
      </c>
      <c r="I636" t="n">
        <v>4</v>
      </c>
      <c r="J636" s="3" t="n">
        <v>980.28</v>
      </c>
      <c r="K636" s="3" t="n">
        <v>0</v>
      </c>
      <c r="L636" s="3" t="n">
        <v>980.28</v>
      </c>
      <c r="M636" s="3" t="n">
        <v>570.08</v>
      </c>
      <c r="N636" s="3" t="n">
        <v>410.2</v>
      </c>
      <c r="O636">
        <f>TEXT(A636,"yyyy-mm")</f>
        <v/>
      </c>
    </row>
    <row r="637">
      <c r="A637" s="2" t="n">
        <v>45635</v>
      </c>
      <c r="B637" t="n">
        <v>2024</v>
      </c>
      <c r="C637" t="inlineStr">
        <is>
          <t>December</t>
        </is>
      </c>
      <c r="D637" t="inlineStr">
        <is>
          <t>Smart Puzzle</t>
        </is>
      </c>
      <c r="E637" t="inlineStr">
        <is>
          <t>Toys &amp; Games</t>
        </is>
      </c>
      <c r="F637" t="inlineStr">
        <is>
          <t>Robert Martin</t>
        </is>
      </c>
      <c r="G637" t="inlineStr">
        <is>
          <t>Italy</t>
        </is>
      </c>
      <c r="H637" t="inlineStr">
        <is>
          <t>Mobile App</t>
        </is>
      </c>
      <c r="I637" t="n">
        <v>4</v>
      </c>
      <c r="J637" s="3" t="n">
        <v>1109.12</v>
      </c>
      <c r="K637" s="3" t="n">
        <v>0</v>
      </c>
      <c r="L637" s="3" t="n">
        <v>1109.12</v>
      </c>
      <c r="M637" s="3" t="n">
        <v>771.04</v>
      </c>
      <c r="N637" s="3" t="n">
        <v>338.08</v>
      </c>
      <c r="O637">
        <f>TEXT(A637,"yyyy-mm")</f>
        <v/>
      </c>
    </row>
    <row r="638">
      <c r="A638" s="2" t="n">
        <v>45636</v>
      </c>
      <c r="B638" t="n">
        <v>2024</v>
      </c>
      <c r="C638" t="inlineStr">
        <is>
          <t>December</t>
        </is>
      </c>
      <c r="D638" t="inlineStr">
        <is>
          <t>Classic Bike Helmet</t>
        </is>
      </c>
      <c r="E638" t="inlineStr">
        <is>
          <t>Sports &amp; Outdoors</t>
        </is>
      </c>
      <c r="F638" t="inlineStr">
        <is>
          <t>Anna Dubois</t>
        </is>
      </c>
      <c r="G638" t="inlineStr">
        <is>
          <t>Poland</t>
        </is>
      </c>
      <c r="H638" t="inlineStr">
        <is>
          <t>Mobile App</t>
        </is>
      </c>
      <c r="I638" t="n">
        <v>3</v>
      </c>
      <c r="J638" s="3" t="n">
        <v>658.38</v>
      </c>
      <c r="K638" s="3" t="n">
        <v>0</v>
      </c>
      <c r="L638" s="3" t="n">
        <v>658.38</v>
      </c>
      <c r="M638" s="3" t="n">
        <v>461.43</v>
      </c>
      <c r="N638" s="3" t="n">
        <v>196.95</v>
      </c>
      <c r="O638">
        <f>TEXT(A638,"yyyy-mm")</f>
        <v/>
      </c>
    </row>
    <row r="639">
      <c r="A639" s="2" t="n">
        <v>45636</v>
      </c>
      <c r="B639" t="n">
        <v>2024</v>
      </c>
      <c r="C639" t="inlineStr">
        <is>
          <t>December</t>
        </is>
      </c>
      <c r="D639" t="inlineStr">
        <is>
          <t>Smart Olive Oil</t>
        </is>
      </c>
      <c r="E639" t="inlineStr">
        <is>
          <t>Grocery</t>
        </is>
      </c>
      <c r="F639" t="inlineStr">
        <is>
          <t>Anna Dubois</t>
        </is>
      </c>
      <c r="G639" t="inlineStr">
        <is>
          <t>Poland</t>
        </is>
      </c>
      <c r="H639" t="inlineStr">
        <is>
          <t>Mobile App</t>
        </is>
      </c>
      <c r="I639" t="n">
        <v>3</v>
      </c>
      <c r="J639" s="3" t="n">
        <v>483.66</v>
      </c>
      <c r="K639" s="3" t="n">
        <v>96.73</v>
      </c>
      <c r="L639" s="3" t="n">
        <v>386.93</v>
      </c>
      <c r="M639" s="3" t="n">
        <v>330.06</v>
      </c>
      <c r="N639" s="3" t="n">
        <v>56.87</v>
      </c>
      <c r="O639">
        <f>TEXT(A639,"yyyy-mm")</f>
        <v/>
      </c>
    </row>
    <row r="640">
      <c r="A640" s="2" t="n">
        <v>45636</v>
      </c>
      <c r="B640" t="n">
        <v>2024</v>
      </c>
      <c r="C640" t="inlineStr">
        <is>
          <t>December</t>
        </is>
      </c>
      <c r="D640" t="inlineStr">
        <is>
          <t>Smart Sweater</t>
        </is>
      </c>
      <c r="E640" t="inlineStr">
        <is>
          <t>Clothing</t>
        </is>
      </c>
      <c r="F640" t="inlineStr">
        <is>
          <t>Anna Dubois</t>
        </is>
      </c>
      <c r="G640" t="inlineStr">
        <is>
          <t>Poland</t>
        </is>
      </c>
      <c r="H640" t="inlineStr">
        <is>
          <t>Mobile App</t>
        </is>
      </c>
      <c r="I640" t="n">
        <v>3</v>
      </c>
      <c r="J640" s="3" t="n">
        <v>430.41</v>
      </c>
      <c r="K640" s="3" t="n">
        <v>0</v>
      </c>
      <c r="L640" s="3" t="n">
        <v>430.41</v>
      </c>
      <c r="M640" s="3" t="n">
        <v>232.05</v>
      </c>
      <c r="N640" s="3" t="n">
        <v>198.36</v>
      </c>
      <c r="O640">
        <f>TEXT(A640,"yyyy-mm")</f>
        <v/>
      </c>
    </row>
    <row r="641">
      <c r="A641" s="2" t="n">
        <v>45636</v>
      </c>
      <c r="B641" t="n">
        <v>2024</v>
      </c>
      <c r="C641" t="inlineStr">
        <is>
          <t>December</t>
        </is>
      </c>
      <c r="D641" t="inlineStr">
        <is>
          <t>Smart Drone</t>
        </is>
      </c>
      <c r="E641" t="inlineStr">
        <is>
          <t>Toys &amp; Games</t>
        </is>
      </c>
      <c r="F641" t="inlineStr">
        <is>
          <t>Anna Dubois</t>
        </is>
      </c>
      <c r="G641" t="inlineStr">
        <is>
          <t>Poland</t>
        </is>
      </c>
      <c r="H641" t="inlineStr">
        <is>
          <t>Mobile App</t>
        </is>
      </c>
      <c r="I641" t="n">
        <v>3</v>
      </c>
      <c r="J641" s="3" t="n">
        <v>652.74</v>
      </c>
      <c r="K641" s="3" t="n">
        <v>0</v>
      </c>
      <c r="L641" s="3" t="n">
        <v>652.74</v>
      </c>
      <c r="M641" s="3" t="n">
        <v>380.85</v>
      </c>
      <c r="N641" s="3" t="n">
        <v>271.89</v>
      </c>
      <c r="O641">
        <f>TEXT(A641,"yyyy-mm")</f>
        <v/>
      </c>
    </row>
    <row r="642">
      <c r="A642" s="2" t="n">
        <v>45636</v>
      </c>
      <c r="B642" t="n">
        <v>2024</v>
      </c>
      <c r="C642" t="inlineStr">
        <is>
          <t>December</t>
        </is>
      </c>
      <c r="D642" t="inlineStr">
        <is>
          <t>Premium Tent</t>
        </is>
      </c>
      <c r="E642" t="inlineStr">
        <is>
          <t>Sports &amp; Outdoors</t>
        </is>
      </c>
      <c r="F642" t="inlineStr">
        <is>
          <t>Sophie Rossi</t>
        </is>
      </c>
      <c r="G642" t="inlineStr">
        <is>
          <t>France</t>
        </is>
      </c>
      <c r="H642" t="inlineStr">
        <is>
          <t>Mobile App</t>
        </is>
      </c>
      <c r="I642" t="n">
        <v>2</v>
      </c>
      <c r="J642" s="3" t="n">
        <v>528.92</v>
      </c>
      <c r="K642" s="3" t="n">
        <v>0</v>
      </c>
      <c r="L642" s="3" t="n">
        <v>528.92</v>
      </c>
      <c r="M642" s="3" t="n">
        <v>278.08</v>
      </c>
      <c r="N642" s="3" t="n">
        <v>250.84</v>
      </c>
      <c r="O642">
        <f>TEXT(A642,"yyyy-mm")</f>
        <v/>
      </c>
    </row>
    <row r="643">
      <c r="A643" s="2" t="n">
        <v>45636</v>
      </c>
      <c r="B643" t="n">
        <v>2024</v>
      </c>
      <c r="C643" t="inlineStr">
        <is>
          <t>December</t>
        </is>
      </c>
      <c r="D643" t="inlineStr">
        <is>
          <t>Premium Water Bottle</t>
        </is>
      </c>
      <c r="E643" t="inlineStr">
        <is>
          <t>Sports &amp; Outdoors</t>
        </is>
      </c>
      <c r="F643" t="inlineStr">
        <is>
          <t>Sophie Rossi</t>
        </is>
      </c>
      <c r="G643" t="inlineStr">
        <is>
          <t>France</t>
        </is>
      </c>
      <c r="H643" t="inlineStr">
        <is>
          <t>Mobile App</t>
        </is>
      </c>
      <c r="I643" t="n">
        <v>3</v>
      </c>
      <c r="J643" s="3" t="n">
        <v>934.62</v>
      </c>
      <c r="K643" s="3" t="n">
        <v>0</v>
      </c>
      <c r="L643" s="3" t="n">
        <v>934.62</v>
      </c>
      <c r="M643" s="3" t="n">
        <v>543.48</v>
      </c>
      <c r="N643" s="3" t="n">
        <v>391.14</v>
      </c>
      <c r="O643">
        <f>TEXT(A643,"yyyy-mm")</f>
        <v/>
      </c>
    </row>
    <row r="644">
      <c r="A644" s="2" t="n">
        <v>45636</v>
      </c>
      <c r="B644" t="n">
        <v>2024</v>
      </c>
      <c r="C644" t="inlineStr">
        <is>
          <t>December</t>
        </is>
      </c>
      <c r="D644" t="inlineStr">
        <is>
          <t>Smart Drone</t>
        </is>
      </c>
      <c r="E644" t="inlineStr">
        <is>
          <t>Toys &amp; Games</t>
        </is>
      </c>
      <c r="F644" t="inlineStr">
        <is>
          <t>Sophie Zielinski</t>
        </is>
      </c>
      <c r="G644" t="inlineStr">
        <is>
          <t>Spain</t>
        </is>
      </c>
      <c r="H644" t="inlineStr">
        <is>
          <t>Marketplace</t>
        </is>
      </c>
      <c r="I644" t="n">
        <v>4</v>
      </c>
      <c r="J644" s="3" t="n">
        <v>862.16</v>
      </c>
      <c r="K644" s="3" t="n">
        <v>0</v>
      </c>
      <c r="L644" s="3" t="n">
        <v>862.16</v>
      </c>
      <c r="M644" s="3" t="n">
        <v>507.8</v>
      </c>
      <c r="N644" s="3" t="n">
        <v>354.36</v>
      </c>
      <c r="O644">
        <f>TEXT(A644,"yyyy-mm")</f>
        <v/>
      </c>
    </row>
    <row r="645">
      <c r="A645" s="2" t="n">
        <v>45636</v>
      </c>
      <c r="B645" t="n">
        <v>2024</v>
      </c>
      <c r="C645" t="inlineStr">
        <is>
          <t>December</t>
        </is>
      </c>
      <c r="D645" t="inlineStr">
        <is>
          <t>Portable Toolset</t>
        </is>
      </c>
      <c r="E645" t="inlineStr">
        <is>
          <t>Home &amp; Garden</t>
        </is>
      </c>
      <c r="F645" t="inlineStr">
        <is>
          <t>Olivia Garcia</t>
        </is>
      </c>
      <c r="G645" t="inlineStr">
        <is>
          <t>United States</t>
        </is>
      </c>
      <c r="H645" t="inlineStr">
        <is>
          <t>Mobile App</t>
        </is>
      </c>
      <c r="I645" t="n">
        <v>2</v>
      </c>
      <c r="J645" s="3" t="n">
        <v>172.58</v>
      </c>
      <c r="K645" s="3" t="n">
        <v>0</v>
      </c>
      <c r="L645" s="3" t="n">
        <v>172.58</v>
      </c>
      <c r="M645" s="3" t="n">
        <v>101.08</v>
      </c>
      <c r="N645" s="3" t="n">
        <v>71.5</v>
      </c>
      <c r="O645">
        <f>TEXT(A645,"yyyy-mm")</f>
        <v/>
      </c>
    </row>
    <row r="646">
      <c r="A646" s="2" t="n">
        <v>45636</v>
      </c>
      <c r="B646" t="n">
        <v>2024</v>
      </c>
      <c r="C646" t="inlineStr">
        <is>
          <t>December</t>
        </is>
      </c>
      <c r="D646" t="inlineStr">
        <is>
          <t>Smart Jeans</t>
        </is>
      </c>
      <c r="E646" t="inlineStr">
        <is>
          <t>Clothing</t>
        </is>
      </c>
      <c r="F646" t="inlineStr">
        <is>
          <t>Sophie Rossi</t>
        </is>
      </c>
      <c r="G646" t="inlineStr">
        <is>
          <t>France</t>
        </is>
      </c>
      <c r="H646" t="inlineStr">
        <is>
          <t>Mobile App</t>
        </is>
      </c>
      <c r="I646" t="n">
        <v>4</v>
      </c>
      <c r="J646" s="3" t="n">
        <v>1166.92</v>
      </c>
      <c r="K646" s="3" t="n">
        <v>116.69</v>
      </c>
      <c r="L646" s="3" t="n">
        <v>1050.23</v>
      </c>
      <c r="M646" s="3" t="n">
        <v>774.5599999999999</v>
      </c>
      <c r="N646" s="3" t="n">
        <v>275.67</v>
      </c>
      <c r="O646">
        <f>TEXT(A646,"yyyy-mm")</f>
        <v/>
      </c>
    </row>
    <row r="647">
      <c r="A647" s="2" t="n">
        <v>45637</v>
      </c>
      <c r="B647" t="n">
        <v>2024</v>
      </c>
      <c r="C647" t="inlineStr">
        <is>
          <t>December</t>
        </is>
      </c>
      <c r="D647" t="inlineStr">
        <is>
          <t>Eco Backpack</t>
        </is>
      </c>
      <c r="E647" t="inlineStr">
        <is>
          <t>Sports &amp; Outdoors</t>
        </is>
      </c>
      <c r="F647" t="inlineStr">
        <is>
          <t>James Johnson</t>
        </is>
      </c>
      <c r="G647" t="inlineStr">
        <is>
          <t>United Kingdom</t>
        </is>
      </c>
      <c r="H647" t="inlineStr">
        <is>
          <t>Marketplace</t>
        </is>
      </c>
      <c r="I647" t="n">
        <v>4</v>
      </c>
      <c r="J647" s="3" t="n">
        <v>1027</v>
      </c>
      <c r="K647" s="3" t="n">
        <v>0</v>
      </c>
      <c r="L647" s="3" t="n">
        <v>1027</v>
      </c>
      <c r="M647" s="3" t="n">
        <v>586.3200000000001</v>
      </c>
      <c r="N647" s="3" t="n">
        <v>440.68</v>
      </c>
      <c r="O647">
        <f>TEXT(A647,"yyyy-mm")</f>
        <v/>
      </c>
    </row>
    <row r="648">
      <c r="A648" s="2" t="n">
        <v>45637</v>
      </c>
      <c r="B648" t="n">
        <v>2024</v>
      </c>
      <c r="C648" t="inlineStr">
        <is>
          <t>December</t>
        </is>
      </c>
      <c r="D648" t="inlineStr">
        <is>
          <t>Smart Sweater</t>
        </is>
      </c>
      <c r="E648" t="inlineStr">
        <is>
          <t>Clothing</t>
        </is>
      </c>
      <c r="F648" t="inlineStr">
        <is>
          <t>James Johnson</t>
        </is>
      </c>
      <c r="G648" t="inlineStr">
        <is>
          <t>United Kingdom</t>
        </is>
      </c>
      <c r="H648" t="inlineStr">
        <is>
          <t>Marketplace</t>
        </is>
      </c>
      <c r="I648" t="n">
        <v>3</v>
      </c>
      <c r="J648" s="3" t="n">
        <v>422.31</v>
      </c>
      <c r="K648" s="3" t="n">
        <v>0</v>
      </c>
      <c r="L648" s="3" t="n">
        <v>422.31</v>
      </c>
      <c r="M648" s="3" t="n">
        <v>232.05</v>
      </c>
      <c r="N648" s="3" t="n">
        <v>190.26</v>
      </c>
      <c r="O648">
        <f>TEXT(A648,"yyyy-mm")</f>
        <v/>
      </c>
    </row>
    <row r="649">
      <c r="A649" s="2" t="n">
        <v>45637</v>
      </c>
      <c r="B649" t="n">
        <v>2024</v>
      </c>
      <c r="C649" t="inlineStr">
        <is>
          <t>December</t>
        </is>
      </c>
      <c r="D649" t="inlineStr">
        <is>
          <t>Wireless Coffee Beans</t>
        </is>
      </c>
      <c r="E649" t="inlineStr">
        <is>
          <t>Grocery</t>
        </is>
      </c>
      <c r="F649" t="inlineStr">
        <is>
          <t>Olivia Moreau</t>
        </is>
      </c>
      <c r="G649" t="inlineStr">
        <is>
          <t>Poland</t>
        </is>
      </c>
      <c r="H649" t="inlineStr">
        <is>
          <t>Web Store</t>
        </is>
      </c>
      <c r="I649" t="n">
        <v>2</v>
      </c>
      <c r="J649" s="3" t="n">
        <v>418.22</v>
      </c>
      <c r="K649" s="3" t="n">
        <v>20.91</v>
      </c>
      <c r="L649" s="3" t="n">
        <v>397.31</v>
      </c>
      <c r="M649" s="3" t="n">
        <v>260.26</v>
      </c>
      <c r="N649" s="3" t="n">
        <v>137.05</v>
      </c>
      <c r="O649">
        <f>TEXT(A649,"yyyy-mm")</f>
        <v/>
      </c>
    </row>
    <row r="650">
      <c r="A650" s="2" t="n">
        <v>45639</v>
      </c>
      <c r="B650" t="n">
        <v>2024</v>
      </c>
      <c r="C650" t="inlineStr">
        <is>
          <t>December</t>
        </is>
      </c>
      <c r="D650" t="inlineStr">
        <is>
          <t>Classic Sunscreen</t>
        </is>
      </c>
      <c r="E650" t="inlineStr">
        <is>
          <t>Beauty &amp; Health</t>
        </is>
      </c>
      <c r="F650" t="inlineStr">
        <is>
          <t>Emma Wilson</t>
        </is>
      </c>
      <c r="G650" t="inlineStr">
        <is>
          <t>Italy</t>
        </is>
      </c>
      <c r="H650" t="inlineStr">
        <is>
          <t>Retail Store</t>
        </is>
      </c>
      <c r="I650" t="n">
        <v>1</v>
      </c>
      <c r="J650" s="3" t="n">
        <v>135.78</v>
      </c>
      <c r="K650" s="3" t="n">
        <v>20.37</v>
      </c>
      <c r="L650" s="3" t="n">
        <v>115.41</v>
      </c>
      <c r="M650" s="3" t="n">
        <v>93.69</v>
      </c>
      <c r="N650" s="3" t="n">
        <v>21.72</v>
      </c>
      <c r="O650">
        <f>TEXT(A650,"yyyy-mm")</f>
        <v/>
      </c>
    </row>
    <row r="651">
      <c r="A651" s="2" t="n">
        <v>45639</v>
      </c>
      <c r="B651" t="n">
        <v>2024</v>
      </c>
      <c r="C651" t="inlineStr">
        <is>
          <t>December</t>
        </is>
      </c>
      <c r="D651" t="inlineStr">
        <is>
          <t>Deluxe Cookbook</t>
        </is>
      </c>
      <c r="E651" t="inlineStr">
        <is>
          <t>Books</t>
        </is>
      </c>
      <c r="F651" t="inlineStr">
        <is>
          <t>Emma Wilson</t>
        </is>
      </c>
      <c r="G651" t="inlineStr">
        <is>
          <t>Italy</t>
        </is>
      </c>
      <c r="H651" t="inlineStr">
        <is>
          <t>Retail Store</t>
        </is>
      </c>
      <c r="I651" t="n">
        <v>5</v>
      </c>
      <c r="J651" s="3" t="n">
        <v>658.45</v>
      </c>
      <c r="K651" s="3" t="n">
        <v>131.69</v>
      </c>
      <c r="L651" s="3" t="n">
        <v>526.76</v>
      </c>
      <c r="M651" s="3" t="n">
        <v>426.35</v>
      </c>
      <c r="N651" s="3" t="n">
        <v>100.41</v>
      </c>
      <c r="O651">
        <f>TEXT(A651,"yyyy-mm")</f>
        <v/>
      </c>
    </row>
    <row r="652">
      <c r="A652" s="2" t="n">
        <v>45639</v>
      </c>
      <c r="B652" t="n">
        <v>2024</v>
      </c>
      <c r="C652" t="inlineStr">
        <is>
          <t>December</t>
        </is>
      </c>
      <c r="D652" t="inlineStr">
        <is>
          <t>Smart Honey</t>
        </is>
      </c>
      <c r="E652" t="inlineStr">
        <is>
          <t>Grocery</t>
        </is>
      </c>
      <c r="F652" t="inlineStr">
        <is>
          <t>Emma Wilson</t>
        </is>
      </c>
      <c r="G652" t="inlineStr">
        <is>
          <t>Italy</t>
        </is>
      </c>
      <c r="H652" t="inlineStr">
        <is>
          <t>Retail Store</t>
        </is>
      </c>
      <c r="I652" t="n">
        <v>2</v>
      </c>
      <c r="J652" s="3" t="n">
        <v>259.76</v>
      </c>
      <c r="K652" s="3" t="n">
        <v>51.95</v>
      </c>
      <c r="L652" s="3" t="n">
        <v>207.81</v>
      </c>
      <c r="M652" s="3" t="n">
        <v>142.88</v>
      </c>
      <c r="N652" s="3" t="n">
        <v>64.93000000000001</v>
      </c>
      <c r="O652">
        <f>TEXT(A652,"yyyy-mm")</f>
        <v/>
      </c>
    </row>
    <row r="653">
      <c r="A653" s="2" t="n">
        <v>45639</v>
      </c>
      <c r="B653" t="n">
        <v>2024</v>
      </c>
      <c r="C653" t="inlineStr">
        <is>
          <t>December</t>
        </is>
      </c>
      <c r="D653" t="inlineStr">
        <is>
          <t>Classic Tea Set</t>
        </is>
      </c>
      <c r="E653" t="inlineStr">
        <is>
          <t>Grocery</t>
        </is>
      </c>
      <c r="F653" t="inlineStr">
        <is>
          <t>Julia Nowak</t>
        </is>
      </c>
      <c r="G653" t="inlineStr">
        <is>
          <t>Poland</t>
        </is>
      </c>
      <c r="H653" t="inlineStr">
        <is>
          <t>Web Store</t>
        </is>
      </c>
      <c r="I653" t="n">
        <v>4</v>
      </c>
      <c r="J653" s="3" t="n">
        <v>720.16</v>
      </c>
      <c r="K653" s="3" t="n">
        <v>36.01</v>
      </c>
      <c r="L653" s="3" t="n">
        <v>684.15</v>
      </c>
      <c r="M653" s="3" t="n">
        <v>501.6</v>
      </c>
      <c r="N653" s="3" t="n">
        <v>182.55</v>
      </c>
      <c r="O653">
        <f>TEXT(A653,"yyyy-mm")</f>
        <v/>
      </c>
    </row>
    <row r="654">
      <c r="A654" s="2" t="n">
        <v>45639</v>
      </c>
      <c r="B654" t="n">
        <v>2024</v>
      </c>
      <c r="C654" t="inlineStr">
        <is>
          <t>December</t>
        </is>
      </c>
      <c r="D654" t="inlineStr">
        <is>
          <t>Premium Cookbook</t>
        </is>
      </c>
      <c r="E654" t="inlineStr">
        <is>
          <t>Books</t>
        </is>
      </c>
      <c r="F654" t="inlineStr">
        <is>
          <t>David Nowak</t>
        </is>
      </c>
      <c r="G654" t="inlineStr">
        <is>
          <t>United Kingdom</t>
        </is>
      </c>
      <c r="H654" t="inlineStr">
        <is>
          <t>Marketplace</t>
        </is>
      </c>
      <c r="I654" t="n">
        <v>3</v>
      </c>
      <c r="J654" s="3" t="n">
        <v>384.87</v>
      </c>
      <c r="K654" s="3" t="n">
        <v>76.97</v>
      </c>
      <c r="L654" s="3" t="n">
        <v>307.9</v>
      </c>
      <c r="M654" s="3" t="n">
        <v>284.94</v>
      </c>
      <c r="N654" s="3" t="n">
        <v>22.96</v>
      </c>
      <c r="O654">
        <f>TEXT(A654,"yyyy-mm")</f>
        <v/>
      </c>
    </row>
    <row r="655">
      <c r="A655" s="2" t="n">
        <v>45639</v>
      </c>
      <c r="B655" t="n">
        <v>2024</v>
      </c>
      <c r="C655" t="inlineStr">
        <is>
          <t>December</t>
        </is>
      </c>
      <c r="D655" t="inlineStr">
        <is>
          <t>Eco Backpack</t>
        </is>
      </c>
      <c r="E655" t="inlineStr">
        <is>
          <t>Sports &amp; Outdoors</t>
        </is>
      </c>
      <c r="F655" t="inlineStr">
        <is>
          <t>David Nowak</t>
        </is>
      </c>
      <c r="G655" t="inlineStr">
        <is>
          <t>United Kingdom</t>
        </is>
      </c>
      <c r="H655" t="inlineStr">
        <is>
          <t>Marketplace</t>
        </is>
      </c>
      <c r="I655" t="n">
        <v>4</v>
      </c>
      <c r="J655" s="3" t="n">
        <v>1057.8</v>
      </c>
      <c r="K655" s="3" t="n">
        <v>0</v>
      </c>
      <c r="L655" s="3" t="n">
        <v>1057.8</v>
      </c>
      <c r="M655" s="3" t="n">
        <v>586.3200000000001</v>
      </c>
      <c r="N655" s="3" t="n">
        <v>471.48</v>
      </c>
      <c r="O655">
        <f>TEXT(A655,"yyyy-mm")</f>
        <v/>
      </c>
    </row>
    <row r="656">
      <c r="A656" s="2" t="n">
        <v>45639</v>
      </c>
      <c r="B656" t="n">
        <v>2024</v>
      </c>
      <c r="C656" t="inlineStr">
        <is>
          <t>December</t>
        </is>
      </c>
      <c r="D656" t="inlineStr">
        <is>
          <t>Eco Tent</t>
        </is>
      </c>
      <c r="E656" t="inlineStr">
        <is>
          <t>Sports &amp; Outdoors</t>
        </is>
      </c>
      <c r="F656" t="inlineStr">
        <is>
          <t>Julia Nowak</t>
        </is>
      </c>
      <c r="G656" t="inlineStr">
        <is>
          <t>Poland</t>
        </is>
      </c>
      <c r="H656" t="inlineStr">
        <is>
          <t>Web Store</t>
        </is>
      </c>
      <c r="I656" t="n">
        <v>1</v>
      </c>
      <c r="J656" s="3" t="n">
        <v>67.7</v>
      </c>
      <c r="K656" s="3" t="n">
        <v>0</v>
      </c>
      <c r="L656" s="3" t="n">
        <v>67.7</v>
      </c>
      <c r="M656" s="3" t="n">
        <v>43.85</v>
      </c>
      <c r="N656" s="3" t="n">
        <v>23.85</v>
      </c>
      <c r="O656">
        <f>TEXT(A656,"yyyy-mm")</f>
        <v/>
      </c>
    </row>
    <row r="657">
      <c r="A657" s="2" t="n">
        <v>45639</v>
      </c>
      <c r="B657" t="n">
        <v>2024</v>
      </c>
      <c r="C657" t="inlineStr">
        <is>
          <t>December</t>
        </is>
      </c>
      <c r="D657" t="inlineStr">
        <is>
          <t>Smart Puzzle</t>
        </is>
      </c>
      <c r="E657" t="inlineStr">
        <is>
          <t>Toys &amp; Games</t>
        </is>
      </c>
      <c r="F657" t="inlineStr">
        <is>
          <t>Julia Nowak</t>
        </is>
      </c>
      <c r="G657" t="inlineStr">
        <is>
          <t>Poland</t>
        </is>
      </c>
      <c r="H657" t="inlineStr">
        <is>
          <t>Web Store</t>
        </is>
      </c>
      <c r="I657" t="n">
        <v>2</v>
      </c>
      <c r="J657" s="3" t="n">
        <v>521.36</v>
      </c>
      <c r="K657" s="3" t="n">
        <v>26.07</v>
      </c>
      <c r="L657" s="3" t="n">
        <v>495.29</v>
      </c>
      <c r="M657" s="3" t="n">
        <v>385.52</v>
      </c>
      <c r="N657" s="3" t="n">
        <v>109.77</v>
      </c>
      <c r="O657">
        <f>TEXT(A657,"yyyy-mm")</f>
        <v/>
      </c>
    </row>
    <row r="658">
      <c r="A658" s="2" t="n">
        <v>45639</v>
      </c>
      <c r="B658" t="n">
        <v>2024</v>
      </c>
      <c r="C658" t="inlineStr">
        <is>
          <t>December</t>
        </is>
      </c>
      <c r="D658" t="inlineStr">
        <is>
          <t>Deluxe Cookbook</t>
        </is>
      </c>
      <c r="E658" t="inlineStr">
        <is>
          <t>Books</t>
        </is>
      </c>
      <c r="F658" t="inlineStr">
        <is>
          <t>Sophie Wilson</t>
        </is>
      </c>
      <c r="G658" t="inlineStr">
        <is>
          <t>Netherlands</t>
        </is>
      </c>
      <c r="H658" t="inlineStr">
        <is>
          <t>Mobile App</t>
        </is>
      </c>
      <c r="I658" t="n">
        <v>2</v>
      </c>
      <c r="J658" s="3" t="n">
        <v>283.2</v>
      </c>
      <c r="K658" s="3" t="n">
        <v>0</v>
      </c>
      <c r="L658" s="3" t="n">
        <v>283.2</v>
      </c>
      <c r="M658" s="3" t="n">
        <v>170.54</v>
      </c>
      <c r="N658" s="3" t="n">
        <v>112.66</v>
      </c>
      <c r="O658">
        <f>TEXT(A658,"yyyy-mm")</f>
        <v/>
      </c>
    </row>
    <row r="659">
      <c r="A659" s="2" t="n">
        <v>45639</v>
      </c>
      <c r="B659" t="n">
        <v>2024</v>
      </c>
      <c r="C659" t="inlineStr">
        <is>
          <t>December</t>
        </is>
      </c>
      <c r="D659" t="inlineStr">
        <is>
          <t>Premium Water Bottle</t>
        </is>
      </c>
      <c r="E659" t="inlineStr">
        <is>
          <t>Sports &amp; Outdoors</t>
        </is>
      </c>
      <c r="F659" t="inlineStr">
        <is>
          <t>Sophie Wilson</t>
        </is>
      </c>
      <c r="G659" t="inlineStr">
        <is>
          <t>Netherlands</t>
        </is>
      </c>
      <c r="H659" t="inlineStr">
        <is>
          <t>Mobile App</t>
        </is>
      </c>
      <c r="I659" t="n">
        <v>2</v>
      </c>
      <c r="J659" s="3" t="n">
        <v>237.5</v>
      </c>
      <c r="K659" s="3" t="n">
        <v>0</v>
      </c>
      <c r="L659" s="3" t="n">
        <v>237.5</v>
      </c>
      <c r="M659" s="3" t="n">
        <v>179.24</v>
      </c>
      <c r="N659" s="3" t="n">
        <v>58.26</v>
      </c>
      <c r="O659">
        <f>TEXT(A659,"yyyy-mm")</f>
        <v/>
      </c>
    </row>
    <row r="660">
      <c r="A660" s="2" t="n">
        <v>45639</v>
      </c>
      <c r="B660" t="n">
        <v>2024</v>
      </c>
      <c r="C660" t="inlineStr">
        <is>
          <t>December</t>
        </is>
      </c>
      <c r="D660" t="inlineStr">
        <is>
          <t>Smart Coffee Beans</t>
        </is>
      </c>
      <c r="E660" t="inlineStr">
        <is>
          <t>Grocery</t>
        </is>
      </c>
      <c r="F660" t="inlineStr">
        <is>
          <t>Sophie Wilson</t>
        </is>
      </c>
      <c r="G660" t="inlineStr">
        <is>
          <t>Netherlands</t>
        </is>
      </c>
      <c r="H660" t="inlineStr">
        <is>
          <t>Mobile App</t>
        </is>
      </c>
      <c r="I660" t="n">
        <v>4</v>
      </c>
      <c r="J660" s="3" t="n">
        <v>417.64</v>
      </c>
      <c r="K660" s="3" t="n">
        <v>0</v>
      </c>
      <c r="L660" s="3" t="n">
        <v>417.64</v>
      </c>
      <c r="M660" s="3" t="n">
        <v>291.4</v>
      </c>
      <c r="N660" s="3" t="n">
        <v>126.24</v>
      </c>
      <c r="O660">
        <f>TEXT(A660,"yyyy-mm")</f>
        <v/>
      </c>
    </row>
    <row r="661">
      <c r="A661" s="2" t="n">
        <v>45639</v>
      </c>
      <c r="B661" t="n">
        <v>2024</v>
      </c>
      <c r="C661" t="inlineStr">
        <is>
          <t>December</t>
        </is>
      </c>
      <c r="D661" t="inlineStr">
        <is>
          <t>Classic Sunscreen</t>
        </is>
      </c>
      <c r="E661" t="inlineStr">
        <is>
          <t>Beauty &amp; Health</t>
        </is>
      </c>
      <c r="F661" t="inlineStr">
        <is>
          <t>Sophie Wilson</t>
        </is>
      </c>
      <c r="G661" t="inlineStr">
        <is>
          <t>Netherlands</t>
        </is>
      </c>
      <c r="H661" t="inlineStr">
        <is>
          <t>Mobile App</t>
        </is>
      </c>
      <c r="I661" t="n">
        <v>4</v>
      </c>
      <c r="J661" s="3" t="n">
        <v>573.4400000000001</v>
      </c>
      <c r="K661" s="3" t="n">
        <v>86.02</v>
      </c>
      <c r="L661" s="3" t="n">
        <v>487.42</v>
      </c>
      <c r="M661" s="3" t="n">
        <v>374.76</v>
      </c>
      <c r="N661" s="3" t="n">
        <v>112.66</v>
      </c>
      <c r="O661">
        <f>TEXT(A661,"yyyy-mm")</f>
        <v/>
      </c>
    </row>
    <row r="662">
      <c r="A662" s="2" t="n">
        <v>45640</v>
      </c>
      <c r="B662" t="n">
        <v>2024</v>
      </c>
      <c r="C662" t="inlineStr">
        <is>
          <t>December</t>
        </is>
      </c>
      <c r="D662" t="inlineStr">
        <is>
          <t>Deluxe Cookbook</t>
        </is>
      </c>
      <c r="E662" t="inlineStr">
        <is>
          <t>Books</t>
        </is>
      </c>
      <c r="F662" t="inlineStr">
        <is>
          <t>Sophie Nowak</t>
        </is>
      </c>
      <c r="G662" t="inlineStr">
        <is>
          <t>Germany</t>
        </is>
      </c>
      <c r="H662" t="inlineStr">
        <is>
          <t>Marketplace</t>
        </is>
      </c>
      <c r="I662" t="n">
        <v>4</v>
      </c>
      <c r="J662" s="3" t="n">
        <v>524</v>
      </c>
      <c r="K662" s="3" t="n">
        <v>52.4</v>
      </c>
      <c r="L662" s="3" t="n">
        <v>471.6</v>
      </c>
      <c r="M662" s="3" t="n">
        <v>341.08</v>
      </c>
      <c r="N662" s="3" t="n">
        <v>130.52</v>
      </c>
      <c r="O662">
        <f>TEXT(A662,"yyyy-mm")</f>
        <v/>
      </c>
    </row>
    <row r="663">
      <c r="A663" s="2" t="n">
        <v>45640</v>
      </c>
      <c r="B663" t="n">
        <v>2024</v>
      </c>
      <c r="C663" t="inlineStr">
        <is>
          <t>December</t>
        </is>
      </c>
      <c r="D663" t="inlineStr">
        <is>
          <t>Classic Sunscreen</t>
        </is>
      </c>
      <c r="E663" t="inlineStr">
        <is>
          <t>Beauty &amp; Health</t>
        </is>
      </c>
      <c r="F663" t="inlineStr">
        <is>
          <t>Sophie Nowak</t>
        </is>
      </c>
      <c r="G663" t="inlineStr">
        <is>
          <t>Germany</t>
        </is>
      </c>
      <c r="H663" t="inlineStr">
        <is>
          <t>Marketplace</t>
        </is>
      </c>
      <c r="I663" t="n">
        <v>4</v>
      </c>
      <c r="J663" s="3" t="n">
        <v>538.84</v>
      </c>
      <c r="K663" s="3" t="n">
        <v>53.88</v>
      </c>
      <c r="L663" s="3" t="n">
        <v>484.96</v>
      </c>
      <c r="M663" s="3" t="n">
        <v>374.76</v>
      </c>
      <c r="N663" s="3" t="n">
        <v>110.2</v>
      </c>
      <c r="O663">
        <f>TEXT(A663,"yyyy-mm")</f>
        <v/>
      </c>
    </row>
    <row r="664">
      <c r="A664" s="2" t="n">
        <v>45640</v>
      </c>
      <c r="B664" t="n">
        <v>2024</v>
      </c>
      <c r="C664" t="inlineStr">
        <is>
          <t>December</t>
        </is>
      </c>
      <c r="D664" t="inlineStr">
        <is>
          <t>Premium Tent</t>
        </is>
      </c>
      <c r="E664" t="inlineStr">
        <is>
          <t>Sports &amp; Outdoors</t>
        </is>
      </c>
      <c r="F664" t="inlineStr">
        <is>
          <t>Robert Garcia</t>
        </is>
      </c>
      <c r="G664" t="inlineStr">
        <is>
          <t>United Kingdom</t>
        </is>
      </c>
      <c r="H664" t="inlineStr">
        <is>
          <t>Web Store</t>
        </is>
      </c>
      <c r="I664" t="n">
        <v>3</v>
      </c>
      <c r="J664" s="3" t="n">
        <v>793.89</v>
      </c>
      <c r="K664" s="3" t="n">
        <v>119.08</v>
      </c>
      <c r="L664" s="3" t="n">
        <v>674.8099999999999</v>
      </c>
      <c r="M664" s="3" t="n">
        <v>417.12</v>
      </c>
      <c r="N664" s="3" t="n">
        <v>257.69</v>
      </c>
      <c r="O664">
        <f>TEXT(A664,"yyyy-mm")</f>
        <v/>
      </c>
    </row>
    <row r="665">
      <c r="A665" s="2" t="n">
        <v>45640</v>
      </c>
      <c r="B665" t="n">
        <v>2024</v>
      </c>
      <c r="C665" t="inlineStr">
        <is>
          <t>December</t>
        </is>
      </c>
      <c r="D665" t="inlineStr">
        <is>
          <t>Ultra Rug</t>
        </is>
      </c>
      <c r="E665" t="inlineStr">
        <is>
          <t>Home &amp; Garden</t>
        </is>
      </c>
      <c r="F665" t="inlineStr">
        <is>
          <t>Robert Garcia</t>
        </is>
      </c>
      <c r="G665" t="inlineStr">
        <is>
          <t>United Kingdom</t>
        </is>
      </c>
      <c r="H665" t="inlineStr">
        <is>
          <t>Web Store</t>
        </is>
      </c>
      <c r="I665" t="n">
        <v>5</v>
      </c>
      <c r="J665" s="3" t="n">
        <v>272.15</v>
      </c>
      <c r="K665" s="3" t="n">
        <v>40.82</v>
      </c>
      <c r="L665" s="3" t="n">
        <v>231.33</v>
      </c>
      <c r="M665" s="3" t="n">
        <v>164.55</v>
      </c>
      <c r="N665" s="3" t="n">
        <v>66.78</v>
      </c>
      <c r="O665">
        <f>TEXT(A665,"yyyy-mm")</f>
        <v/>
      </c>
    </row>
    <row r="666">
      <c r="A666" s="2" t="n">
        <v>45640</v>
      </c>
      <c r="B666" t="n">
        <v>2024</v>
      </c>
      <c r="C666" t="inlineStr">
        <is>
          <t>December</t>
        </is>
      </c>
      <c r="D666" t="inlineStr">
        <is>
          <t>Deluxe Notebook</t>
        </is>
      </c>
      <c r="E666" t="inlineStr">
        <is>
          <t>Books</t>
        </is>
      </c>
      <c r="F666" t="inlineStr">
        <is>
          <t>Robert Garcia</t>
        </is>
      </c>
      <c r="G666" t="inlineStr">
        <is>
          <t>United Kingdom</t>
        </is>
      </c>
      <c r="H666" t="inlineStr">
        <is>
          <t>Web Store</t>
        </is>
      </c>
      <c r="I666" t="n">
        <v>3</v>
      </c>
      <c r="J666" s="3" t="n">
        <v>629.55</v>
      </c>
      <c r="K666" s="3" t="n">
        <v>125.91</v>
      </c>
      <c r="L666" s="3" t="n">
        <v>503.64</v>
      </c>
      <c r="M666" s="3" t="n">
        <v>452.28</v>
      </c>
      <c r="N666" s="3" t="n">
        <v>51.36</v>
      </c>
      <c r="O666">
        <f>TEXT(A666,"yyyy-mm")</f>
        <v/>
      </c>
    </row>
    <row r="667">
      <c r="A667" s="2" t="n">
        <v>45641</v>
      </c>
      <c r="B667" t="n">
        <v>2024</v>
      </c>
      <c r="C667" t="inlineStr">
        <is>
          <t>December</t>
        </is>
      </c>
      <c r="D667" t="inlineStr">
        <is>
          <t>Deluxe Cookbook</t>
        </is>
      </c>
      <c r="E667" t="inlineStr">
        <is>
          <t>Books</t>
        </is>
      </c>
      <c r="F667" t="inlineStr">
        <is>
          <t>Thomas Fischer</t>
        </is>
      </c>
      <c r="G667" t="inlineStr">
        <is>
          <t>France</t>
        </is>
      </c>
      <c r="H667" t="inlineStr">
        <is>
          <t>Marketplace</t>
        </is>
      </c>
      <c r="I667" t="n">
        <v>2</v>
      </c>
      <c r="J667" s="3" t="n">
        <v>281.44</v>
      </c>
      <c r="K667" s="3" t="n">
        <v>56.29</v>
      </c>
      <c r="L667" s="3" t="n">
        <v>225.15</v>
      </c>
      <c r="M667" s="3" t="n">
        <v>170.54</v>
      </c>
      <c r="N667" s="3" t="n">
        <v>54.61</v>
      </c>
      <c r="O667">
        <f>TEXT(A667,"yyyy-mm")</f>
        <v/>
      </c>
    </row>
    <row r="668">
      <c r="A668" s="2" t="n">
        <v>45641</v>
      </c>
      <c r="B668" t="n">
        <v>2024</v>
      </c>
      <c r="C668" t="inlineStr">
        <is>
          <t>December</t>
        </is>
      </c>
      <c r="D668" t="inlineStr">
        <is>
          <t>Essential Rug</t>
        </is>
      </c>
      <c r="E668" t="inlineStr">
        <is>
          <t>Home &amp; Garden</t>
        </is>
      </c>
      <c r="F668" t="inlineStr">
        <is>
          <t>Thomas Fischer</t>
        </is>
      </c>
      <c r="G668" t="inlineStr">
        <is>
          <t>France</t>
        </is>
      </c>
      <c r="H668" t="inlineStr">
        <is>
          <t>Marketplace</t>
        </is>
      </c>
      <c r="I668" t="n">
        <v>5</v>
      </c>
      <c r="J668" s="3" t="n">
        <v>684.9</v>
      </c>
      <c r="K668" s="3" t="n">
        <v>136.98</v>
      </c>
      <c r="L668" s="3" t="n">
        <v>547.92</v>
      </c>
      <c r="M668" s="3" t="n">
        <v>381.65</v>
      </c>
      <c r="N668" s="3" t="n">
        <v>166.27</v>
      </c>
      <c r="O668">
        <f>TEXT(A668,"yyyy-mm")</f>
        <v/>
      </c>
    </row>
    <row r="669">
      <c r="A669" s="2" t="n">
        <v>45641</v>
      </c>
      <c r="B669" t="n">
        <v>2024</v>
      </c>
      <c r="C669" t="inlineStr">
        <is>
          <t>December</t>
        </is>
      </c>
      <c r="D669" t="inlineStr">
        <is>
          <t>Classic Coffee Beans</t>
        </is>
      </c>
      <c r="E669" t="inlineStr">
        <is>
          <t>Grocery</t>
        </is>
      </c>
      <c r="F669" t="inlineStr">
        <is>
          <t>David Nowak</t>
        </is>
      </c>
      <c r="G669" t="inlineStr">
        <is>
          <t>Spain</t>
        </is>
      </c>
      <c r="H669" t="inlineStr">
        <is>
          <t>Retail Store</t>
        </is>
      </c>
      <c r="I669" t="n">
        <v>1</v>
      </c>
      <c r="J669" s="3" t="n">
        <v>333.51</v>
      </c>
      <c r="K669" s="3" t="n">
        <v>0</v>
      </c>
      <c r="L669" s="3" t="n">
        <v>333.51</v>
      </c>
      <c r="M669" s="3" t="n">
        <v>194.76</v>
      </c>
      <c r="N669" s="3" t="n">
        <v>138.75</v>
      </c>
      <c r="O669">
        <f>TEXT(A669,"yyyy-mm")</f>
        <v/>
      </c>
    </row>
    <row r="670">
      <c r="A670" s="2" t="n">
        <v>45641</v>
      </c>
      <c r="B670" t="n">
        <v>2024</v>
      </c>
      <c r="C670" t="inlineStr">
        <is>
          <t>December</t>
        </is>
      </c>
      <c r="D670" t="inlineStr">
        <is>
          <t>Wireless Backpack</t>
        </is>
      </c>
      <c r="E670" t="inlineStr">
        <is>
          <t>Sports &amp; Outdoors</t>
        </is>
      </c>
      <c r="F670" t="inlineStr">
        <is>
          <t>David Nowak</t>
        </is>
      </c>
      <c r="G670" t="inlineStr">
        <is>
          <t>Spain</t>
        </is>
      </c>
      <c r="H670" t="inlineStr">
        <is>
          <t>Retail Store</t>
        </is>
      </c>
      <c r="I670" t="n">
        <v>5</v>
      </c>
      <c r="J670" s="3" t="n">
        <v>238.85</v>
      </c>
      <c r="K670" s="3" t="n">
        <v>35.83</v>
      </c>
      <c r="L670" s="3" t="n">
        <v>203.02</v>
      </c>
      <c r="M670" s="3" t="n">
        <v>140.5</v>
      </c>
      <c r="N670" s="3" t="n">
        <v>62.52</v>
      </c>
      <c r="O670">
        <f>TEXT(A670,"yyyy-mm")</f>
        <v/>
      </c>
    </row>
    <row r="671">
      <c r="A671" s="2" t="n">
        <v>45641</v>
      </c>
      <c r="B671" t="n">
        <v>2024</v>
      </c>
      <c r="C671" t="inlineStr">
        <is>
          <t>December</t>
        </is>
      </c>
      <c r="D671" t="inlineStr">
        <is>
          <t>Eco Tent</t>
        </is>
      </c>
      <c r="E671" t="inlineStr">
        <is>
          <t>Sports &amp; Outdoors</t>
        </is>
      </c>
      <c r="F671" t="inlineStr">
        <is>
          <t>David Nowak</t>
        </is>
      </c>
      <c r="G671" t="inlineStr">
        <is>
          <t>Spain</t>
        </is>
      </c>
      <c r="H671" t="inlineStr">
        <is>
          <t>Retail Store</t>
        </is>
      </c>
      <c r="I671" t="n">
        <v>4</v>
      </c>
      <c r="J671" s="3" t="n">
        <v>951.36</v>
      </c>
      <c r="K671" s="3" t="n">
        <v>95.14</v>
      </c>
      <c r="L671" s="3" t="n">
        <v>856.22</v>
      </c>
      <c r="M671" s="3" t="n">
        <v>540.12</v>
      </c>
      <c r="N671" s="3" t="n">
        <v>316.1</v>
      </c>
      <c r="O671">
        <f>TEXT(A671,"yyyy-mm")</f>
        <v/>
      </c>
    </row>
    <row r="672">
      <c r="A672" s="2" t="n">
        <v>45642</v>
      </c>
      <c r="B672" t="n">
        <v>2024</v>
      </c>
      <c r="C672" t="inlineStr">
        <is>
          <t>December</t>
        </is>
      </c>
      <c r="D672" t="inlineStr">
        <is>
          <t>Portable Tea Set</t>
        </is>
      </c>
      <c r="E672" t="inlineStr">
        <is>
          <t>Grocery</t>
        </is>
      </c>
      <c r="F672" t="inlineStr">
        <is>
          <t>Robert Fischer</t>
        </is>
      </c>
      <c r="G672" t="inlineStr">
        <is>
          <t>Netherlands</t>
        </is>
      </c>
      <c r="H672" t="inlineStr">
        <is>
          <t>Marketplace</t>
        </is>
      </c>
      <c r="I672" t="n">
        <v>1</v>
      </c>
      <c r="J672" s="3" t="n">
        <v>285.53</v>
      </c>
      <c r="K672" s="3" t="n">
        <v>42.83</v>
      </c>
      <c r="L672" s="3" t="n">
        <v>242.7</v>
      </c>
      <c r="M672" s="3" t="n">
        <v>188.12</v>
      </c>
      <c r="N672" s="3" t="n">
        <v>54.58</v>
      </c>
      <c r="O672">
        <f>TEXT(A672,"yyyy-mm")</f>
        <v/>
      </c>
    </row>
    <row r="673">
      <c r="A673" s="2" t="n">
        <v>45642</v>
      </c>
      <c r="B673" t="n">
        <v>2024</v>
      </c>
      <c r="C673" t="inlineStr">
        <is>
          <t>December</t>
        </is>
      </c>
      <c r="D673" t="inlineStr">
        <is>
          <t>Classic Tent</t>
        </is>
      </c>
      <c r="E673" t="inlineStr">
        <is>
          <t>Sports &amp; Outdoors</t>
        </is>
      </c>
      <c r="F673" t="inlineStr">
        <is>
          <t>Robert Fischer</t>
        </is>
      </c>
      <c r="G673" t="inlineStr">
        <is>
          <t>Netherlands</t>
        </is>
      </c>
      <c r="H673" t="inlineStr">
        <is>
          <t>Marketplace</t>
        </is>
      </c>
      <c r="I673" t="n">
        <v>1</v>
      </c>
      <c r="J673" s="3" t="n">
        <v>198.59</v>
      </c>
      <c r="K673" s="3" t="n">
        <v>19.86</v>
      </c>
      <c r="L673" s="3" t="n">
        <v>178.73</v>
      </c>
      <c r="M673" s="3" t="n">
        <v>118.02</v>
      </c>
      <c r="N673" s="3" t="n">
        <v>60.71</v>
      </c>
      <c r="O673">
        <f>TEXT(A673,"yyyy-mm")</f>
        <v/>
      </c>
    </row>
    <row r="674">
      <c r="A674" s="2" t="n">
        <v>45642</v>
      </c>
      <c r="B674" t="n">
        <v>2024</v>
      </c>
      <c r="C674" t="inlineStr">
        <is>
          <t>December</t>
        </is>
      </c>
      <c r="D674" t="inlineStr">
        <is>
          <t>Essential Toolset</t>
        </is>
      </c>
      <c r="E674" t="inlineStr">
        <is>
          <t>Home &amp; Garden</t>
        </is>
      </c>
      <c r="F674" t="inlineStr">
        <is>
          <t>Robert Fischer</t>
        </is>
      </c>
      <c r="G674" t="inlineStr">
        <is>
          <t>Netherlands</t>
        </is>
      </c>
      <c r="H674" t="inlineStr">
        <is>
          <t>Marketplace</t>
        </is>
      </c>
      <c r="I674" t="n">
        <v>3</v>
      </c>
      <c r="J674" s="3" t="n">
        <v>602.52</v>
      </c>
      <c r="K674" s="3" t="n">
        <v>0</v>
      </c>
      <c r="L674" s="3" t="n">
        <v>602.52</v>
      </c>
      <c r="M674" s="3" t="n">
        <v>451.59</v>
      </c>
      <c r="N674" s="3" t="n">
        <v>150.93</v>
      </c>
      <c r="O674">
        <f>TEXT(A674,"yyyy-mm")</f>
        <v/>
      </c>
    </row>
    <row r="675">
      <c r="A675" s="2" t="n">
        <v>45643</v>
      </c>
      <c r="B675" t="n">
        <v>2024</v>
      </c>
      <c r="C675" t="inlineStr">
        <is>
          <t>December</t>
        </is>
      </c>
      <c r="D675" t="inlineStr">
        <is>
          <t>Smart Sweater</t>
        </is>
      </c>
      <c r="E675" t="inlineStr">
        <is>
          <t>Clothing</t>
        </is>
      </c>
      <c r="F675" t="inlineStr">
        <is>
          <t>Clara Nowak</t>
        </is>
      </c>
      <c r="G675" t="inlineStr">
        <is>
          <t>Italy</t>
        </is>
      </c>
      <c r="H675" t="inlineStr">
        <is>
          <t>Retail Store</t>
        </is>
      </c>
      <c r="I675" t="n">
        <v>5</v>
      </c>
      <c r="J675" s="3" t="n">
        <v>746.95</v>
      </c>
      <c r="K675" s="3" t="n">
        <v>0</v>
      </c>
      <c r="L675" s="3" t="n">
        <v>746.95</v>
      </c>
      <c r="M675" s="3" t="n">
        <v>386.75</v>
      </c>
      <c r="N675" s="3" t="n">
        <v>360.2</v>
      </c>
      <c r="O675">
        <f>TEXT(A675,"yyyy-mm")</f>
        <v/>
      </c>
    </row>
    <row r="676">
      <c r="A676" s="2" t="n">
        <v>45643</v>
      </c>
      <c r="B676" t="n">
        <v>2024</v>
      </c>
      <c r="C676" t="inlineStr">
        <is>
          <t>December</t>
        </is>
      </c>
      <c r="D676" t="inlineStr">
        <is>
          <t>Eco Planter</t>
        </is>
      </c>
      <c r="E676" t="inlineStr">
        <is>
          <t>Home &amp; Garden</t>
        </is>
      </c>
      <c r="F676" t="inlineStr">
        <is>
          <t>Clara Nowak</t>
        </is>
      </c>
      <c r="G676" t="inlineStr">
        <is>
          <t>Italy</t>
        </is>
      </c>
      <c r="H676" t="inlineStr">
        <is>
          <t>Retail Store</t>
        </is>
      </c>
      <c r="I676" t="n">
        <v>5</v>
      </c>
      <c r="J676" s="3" t="n">
        <v>904.8</v>
      </c>
      <c r="K676" s="3" t="n">
        <v>135.72</v>
      </c>
      <c r="L676" s="3" t="n">
        <v>769.08</v>
      </c>
      <c r="M676" s="3" t="n">
        <v>562.05</v>
      </c>
      <c r="N676" s="3" t="n">
        <v>207.03</v>
      </c>
      <c r="O676">
        <f>TEXT(A676,"yyyy-mm")</f>
        <v/>
      </c>
    </row>
    <row r="677">
      <c r="A677" s="2" t="n">
        <v>45643</v>
      </c>
      <c r="B677" t="n">
        <v>2024</v>
      </c>
      <c r="C677" t="inlineStr">
        <is>
          <t>December</t>
        </is>
      </c>
      <c r="D677" t="inlineStr">
        <is>
          <t>Portable Toolset</t>
        </is>
      </c>
      <c r="E677" t="inlineStr">
        <is>
          <t>Home &amp; Garden</t>
        </is>
      </c>
      <c r="F677" t="inlineStr">
        <is>
          <t>Clara Nowak</t>
        </is>
      </c>
      <c r="G677" t="inlineStr">
        <is>
          <t>Italy</t>
        </is>
      </c>
      <c r="H677" t="inlineStr">
        <is>
          <t>Retail Store</t>
        </is>
      </c>
      <c r="I677" t="n">
        <v>3</v>
      </c>
      <c r="J677" s="3" t="n">
        <v>442.32</v>
      </c>
      <c r="K677" s="3" t="n">
        <v>88.45999999999999</v>
      </c>
      <c r="L677" s="3" t="n">
        <v>353.86</v>
      </c>
      <c r="M677" s="3" t="n">
        <v>278.55</v>
      </c>
      <c r="N677" s="3" t="n">
        <v>75.31</v>
      </c>
      <c r="O677">
        <f>TEXT(A677,"yyyy-mm")</f>
        <v/>
      </c>
    </row>
    <row r="678">
      <c r="A678" s="2" t="n">
        <v>45643</v>
      </c>
      <c r="B678" t="n">
        <v>2024</v>
      </c>
      <c r="C678" t="inlineStr">
        <is>
          <t>December</t>
        </is>
      </c>
      <c r="D678" t="inlineStr">
        <is>
          <t>Compact Pasta</t>
        </is>
      </c>
      <c r="E678" t="inlineStr">
        <is>
          <t>Grocery</t>
        </is>
      </c>
      <c r="F678" t="inlineStr">
        <is>
          <t>Clara Nowak</t>
        </is>
      </c>
      <c r="G678" t="inlineStr">
        <is>
          <t>Italy</t>
        </is>
      </c>
      <c r="H678" t="inlineStr">
        <is>
          <t>Retail Store</t>
        </is>
      </c>
      <c r="I678" t="n">
        <v>2</v>
      </c>
      <c r="J678" s="3" t="n">
        <v>605.72</v>
      </c>
      <c r="K678" s="3" t="n">
        <v>0</v>
      </c>
      <c r="L678" s="3" t="n">
        <v>605.72</v>
      </c>
      <c r="M678" s="3" t="n">
        <v>398.8</v>
      </c>
      <c r="N678" s="3" t="n">
        <v>206.92</v>
      </c>
      <c r="O678">
        <f>TEXT(A678,"yyyy-mm")</f>
        <v/>
      </c>
    </row>
    <row r="679">
      <c r="A679" s="2" t="n">
        <v>45643</v>
      </c>
      <c r="B679" t="n">
        <v>2024</v>
      </c>
      <c r="C679" t="inlineStr">
        <is>
          <t>December</t>
        </is>
      </c>
      <c r="D679" t="inlineStr">
        <is>
          <t>Classic Tent</t>
        </is>
      </c>
      <c r="E679" t="inlineStr">
        <is>
          <t>Sports &amp; Outdoors</t>
        </is>
      </c>
      <c r="F679" t="inlineStr">
        <is>
          <t>Emily Fischer</t>
        </is>
      </c>
      <c r="G679" t="inlineStr">
        <is>
          <t>Germany</t>
        </is>
      </c>
      <c r="H679" t="inlineStr">
        <is>
          <t>Retail Store</t>
        </is>
      </c>
      <c r="I679" t="n">
        <v>3</v>
      </c>
      <c r="J679" s="3" t="n">
        <v>631.74</v>
      </c>
      <c r="K679" s="3" t="n">
        <v>126.35</v>
      </c>
      <c r="L679" s="3" t="n">
        <v>505.39</v>
      </c>
      <c r="M679" s="3" t="n">
        <v>354.06</v>
      </c>
      <c r="N679" s="3" t="n">
        <v>151.33</v>
      </c>
      <c r="O679">
        <f>TEXT(A679,"yyyy-mm")</f>
        <v/>
      </c>
    </row>
    <row r="680">
      <c r="A680" s="2" t="n">
        <v>45643</v>
      </c>
      <c r="B680" t="n">
        <v>2024</v>
      </c>
      <c r="C680" t="inlineStr">
        <is>
          <t>December</t>
        </is>
      </c>
      <c r="D680" t="inlineStr">
        <is>
          <t>Premium Rug</t>
        </is>
      </c>
      <c r="E680" t="inlineStr">
        <is>
          <t>Home &amp; Garden</t>
        </is>
      </c>
      <c r="F680" t="inlineStr">
        <is>
          <t>Emily Fischer</t>
        </is>
      </c>
      <c r="G680" t="inlineStr">
        <is>
          <t>Germany</t>
        </is>
      </c>
      <c r="H680" t="inlineStr">
        <is>
          <t>Retail Store</t>
        </is>
      </c>
      <c r="I680" t="n">
        <v>4</v>
      </c>
      <c r="J680" s="3" t="n">
        <v>725.2</v>
      </c>
      <c r="K680" s="3" t="n">
        <v>145.04</v>
      </c>
      <c r="L680" s="3" t="n">
        <v>580.16</v>
      </c>
      <c r="M680" s="3" t="n">
        <v>444.76</v>
      </c>
      <c r="N680" s="3" t="n">
        <v>135.4</v>
      </c>
      <c r="O680">
        <f>TEXT(A680,"yyyy-mm")</f>
        <v/>
      </c>
    </row>
    <row r="681">
      <c r="A681" s="2" t="n">
        <v>45643</v>
      </c>
      <c r="B681" t="n">
        <v>2024</v>
      </c>
      <c r="C681" t="inlineStr">
        <is>
          <t>December</t>
        </is>
      </c>
      <c r="D681" t="inlineStr">
        <is>
          <t>Eco Backpack</t>
        </is>
      </c>
      <c r="E681" t="inlineStr">
        <is>
          <t>Sports &amp; Outdoors</t>
        </is>
      </c>
      <c r="F681" t="inlineStr">
        <is>
          <t>Emily Fischer</t>
        </is>
      </c>
      <c r="G681" t="inlineStr">
        <is>
          <t>Germany</t>
        </is>
      </c>
      <c r="H681" t="inlineStr">
        <is>
          <t>Retail Store</t>
        </is>
      </c>
      <c r="I681" t="n">
        <v>1</v>
      </c>
      <c r="J681" s="3" t="n">
        <v>272.72</v>
      </c>
      <c r="K681" s="3" t="n">
        <v>0</v>
      </c>
      <c r="L681" s="3" t="n">
        <v>272.72</v>
      </c>
      <c r="M681" s="3" t="n">
        <v>146.58</v>
      </c>
      <c r="N681" s="3" t="n">
        <v>126.14</v>
      </c>
      <c r="O681">
        <f>TEXT(A681,"yyyy-mm")</f>
        <v/>
      </c>
    </row>
    <row r="682">
      <c r="A682" s="2" t="n">
        <v>45643</v>
      </c>
      <c r="B682" t="n">
        <v>2024</v>
      </c>
      <c r="C682" t="inlineStr">
        <is>
          <t>December</t>
        </is>
      </c>
      <c r="D682" t="inlineStr">
        <is>
          <t>Smart Puzzle</t>
        </is>
      </c>
      <c r="E682" t="inlineStr">
        <is>
          <t>Toys &amp; Games</t>
        </is>
      </c>
      <c r="F682" t="inlineStr">
        <is>
          <t>Sophie Brown</t>
        </is>
      </c>
      <c r="G682" t="inlineStr">
        <is>
          <t>United States</t>
        </is>
      </c>
      <c r="H682" t="inlineStr">
        <is>
          <t>Marketplace</t>
        </is>
      </c>
      <c r="I682" t="n">
        <v>1</v>
      </c>
      <c r="J682" s="3" t="n">
        <v>274.58</v>
      </c>
      <c r="K682" s="3" t="n">
        <v>54.92</v>
      </c>
      <c r="L682" s="3" t="n">
        <v>219.66</v>
      </c>
      <c r="M682" s="3" t="n">
        <v>192.76</v>
      </c>
      <c r="N682" s="3" t="n">
        <v>26.9</v>
      </c>
      <c r="O682">
        <f>TEXT(A682,"yyyy-mm")</f>
        <v/>
      </c>
    </row>
    <row r="683">
      <c r="A683" s="2" t="n">
        <v>45643</v>
      </c>
      <c r="B683" t="n">
        <v>2024</v>
      </c>
      <c r="C683" t="inlineStr">
        <is>
          <t>December</t>
        </is>
      </c>
      <c r="D683" t="inlineStr">
        <is>
          <t>Compact Jacket</t>
        </is>
      </c>
      <c r="E683" t="inlineStr">
        <is>
          <t>Clothing</t>
        </is>
      </c>
      <c r="F683" t="inlineStr">
        <is>
          <t>Sophie Brown</t>
        </is>
      </c>
      <c r="G683" t="inlineStr">
        <is>
          <t>United States</t>
        </is>
      </c>
      <c r="H683" t="inlineStr">
        <is>
          <t>Marketplace</t>
        </is>
      </c>
      <c r="I683" t="n">
        <v>2</v>
      </c>
      <c r="J683" s="3" t="n">
        <v>76.42</v>
      </c>
      <c r="K683" s="3" t="n">
        <v>0</v>
      </c>
      <c r="L683" s="3" t="n">
        <v>76.42</v>
      </c>
      <c r="M683" s="3" t="n">
        <v>40.8</v>
      </c>
      <c r="N683" s="3" t="n">
        <v>35.62</v>
      </c>
      <c r="O683">
        <f>TEXT(A683,"yyyy-mm")</f>
        <v/>
      </c>
    </row>
    <row r="684">
      <c r="A684" s="2" t="n">
        <v>45643</v>
      </c>
      <c r="B684" t="n">
        <v>2024</v>
      </c>
      <c r="C684" t="inlineStr">
        <is>
          <t>December</t>
        </is>
      </c>
      <c r="D684" t="inlineStr">
        <is>
          <t>Smart Olive Oil</t>
        </is>
      </c>
      <c r="E684" t="inlineStr">
        <is>
          <t>Grocery</t>
        </is>
      </c>
      <c r="F684" t="inlineStr">
        <is>
          <t>Sophie Brown</t>
        </is>
      </c>
      <c r="G684" t="inlineStr">
        <is>
          <t>United States</t>
        </is>
      </c>
      <c r="H684" t="inlineStr">
        <is>
          <t>Marketplace</t>
        </is>
      </c>
      <c r="I684" t="n">
        <v>3</v>
      </c>
      <c r="J684" s="3" t="n">
        <v>479.91</v>
      </c>
      <c r="K684" s="3" t="n">
        <v>24</v>
      </c>
      <c r="L684" s="3" t="n">
        <v>455.91</v>
      </c>
      <c r="M684" s="3" t="n">
        <v>330.06</v>
      </c>
      <c r="N684" s="3" t="n">
        <v>125.85</v>
      </c>
      <c r="O684">
        <f>TEXT(A684,"yyyy-mm")</f>
        <v/>
      </c>
    </row>
    <row r="685">
      <c r="A685" s="2" t="n">
        <v>45644</v>
      </c>
      <c r="B685" t="n">
        <v>2024</v>
      </c>
      <c r="C685" t="inlineStr">
        <is>
          <t>December</t>
        </is>
      </c>
      <c r="D685" t="inlineStr">
        <is>
          <t>Essential Notebook</t>
        </is>
      </c>
      <c r="E685" t="inlineStr">
        <is>
          <t>Books</t>
        </is>
      </c>
      <c r="F685" t="inlineStr">
        <is>
          <t>Clara Muller</t>
        </is>
      </c>
      <c r="G685" t="inlineStr">
        <is>
          <t>Germany</t>
        </is>
      </c>
      <c r="H685" t="inlineStr">
        <is>
          <t>Web Store</t>
        </is>
      </c>
      <c r="I685" t="n">
        <v>3</v>
      </c>
      <c r="J685" s="3" t="n">
        <v>350.37</v>
      </c>
      <c r="K685" s="3" t="n">
        <v>0</v>
      </c>
      <c r="L685" s="3" t="n">
        <v>350.37</v>
      </c>
      <c r="M685" s="3" t="n">
        <v>237.3</v>
      </c>
      <c r="N685" s="3" t="n">
        <v>113.07</v>
      </c>
      <c r="O685">
        <f>TEXT(A685,"yyyy-mm")</f>
        <v/>
      </c>
    </row>
    <row r="686">
      <c r="A686" s="2" t="n">
        <v>45644</v>
      </c>
      <c r="B686" t="n">
        <v>2024</v>
      </c>
      <c r="C686" t="inlineStr">
        <is>
          <t>December</t>
        </is>
      </c>
      <c r="D686" t="inlineStr">
        <is>
          <t>Eco Planter</t>
        </is>
      </c>
      <c r="E686" t="inlineStr">
        <is>
          <t>Home &amp; Garden</t>
        </is>
      </c>
      <c r="F686" t="inlineStr">
        <is>
          <t>Clara Muller</t>
        </is>
      </c>
      <c r="G686" t="inlineStr">
        <is>
          <t>Germany</t>
        </is>
      </c>
      <c r="H686" t="inlineStr">
        <is>
          <t>Web Store</t>
        </is>
      </c>
      <c r="I686" t="n">
        <v>1</v>
      </c>
      <c r="J686" s="3" t="n">
        <v>192.1</v>
      </c>
      <c r="K686" s="3" t="n">
        <v>0</v>
      </c>
      <c r="L686" s="3" t="n">
        <v>192.1</v>
      </c>
      <c r="M686" s="3" t="n">
        <v>112.41</v>
      </c>
      <c r="N686" s="3" t="n">
        <v>79.69</v>
      </c>
      <c r="O686">
        <f>TEXT(A686,"yyyy-mm")</f>
        <v/>
      </c>
    </row>
    <row r="687">
      <c r="A687" s="2" t="n">
        <v>45644</v>
      </c>
      <c r="B687" t="n">
        <v>2024</v>
      </c>
      <c r="C687" t="inlineStr">
        <is>
          <t>December</t>
        </is>
      </c>
      <c r="D687" t="inlineStr">
        <is>
          <t>Classic Tea Set</t>
        </is>
      </c>
      <c r="E687" t="inlineStr">
        <is>
          <t>Grocery</t>
        </is>
      </c>
      <c r="F687" t="inlineStr">
        <is>
          <t>Clara Muller</t>
        </is>
      </c>
      <c r="G687" t="inlineStr">
        <is>
          <t>Germany</t>
        </is>
      </c>
      <c r="H687" t="inlineStr">
        <is>
          <t>Web Store</t>
        </is>
      </c>
      <c r="I687" t="n">
        <v>1</v>
      </c>
      <c r="J687" s="3" t="n">
        <v>175.06</v>
      </c>
      <c r="K687" s="3" t="n">
        <v>17.51</v>
      </c>
      <c r="L687" s="3" t="n">
        <v>157.55</v>
      </c>
      <c r="M687" s="3" t="n">
        <v>125.4</v>
      </c>
      <c r="N687" s="3" t="n">
        <v>32.15</v>
      </c>
      <c r="O687">
        <f>TEXT(A687,"yyyy-mm")</f>
        <v/>
      </c>
    </row>
    <row r="688">
      <c r="A688" s="2" t="n">
        <v>45644</v>
      </c>
      <c r="B688" t="n">
        <v>2024</v>
      </c>
      <c r="C688" t="inlineStr">
        <is>
          <t>December</t>
        </is>
      </c>
      <c r="D688" t="inlineStr">
        <is>
          <t>Wireless Drone</t>
        </is>
      </c>
      <c r="E688" t="inlineStr">
        <is>
          <t>Toys &amp; Games</t>
        </is>
      </c>
      <c r="F688" t="inlineStr">
        <is>
          <t>Clara Muller</t>
        </is>
      </c>
      <c r="G688" t="inlineStr">
        <is>
          <t>Germany</t>
        </is>
      </c>
      <c r="H688" t="inlineStr">
        <is>
          <t>Web Store</t>
        </is>
      </c>
      <c r="I688" t="n">
        <v>5</v>
      </c>
      <c r="J688" s="3" t="n">
        <v>1048.6</v>
      </c>
      <c r="K688" s="3" t="n">
        <v>52.43</v>
      </c>
      <c r="L688" s="3" t="n">
        <v>996.17</v>
      </c>
      <c r="M688" s="3" t="n">
        <v>656.45</v>
      </c>
      <c r="N688" s="3" t="n">
        <v>339.72</v>
      </c>
      <c r="O688">
        <f>TEXT(A688,"yyyy-mm")</f>
        <v/>
      </c>
    </row>
    <row r="689">
      <c r="A689" s="2" t="n">
        <v>45645</v>
      </c>
      <c r="B689" t="n">
        <v>2024</v>
      </c>
      <c r="C689" t="inlineStr">
        <is>
          <t>December</t>
        </is>
      </c>
      <c r="D689" t="inlineStr">
        <is>
          <t>Premium Rug</t>
        </is>
      </c>
      <c r="E689" t="inlineStr">
        <is>
          <t>Home &amp; Garden</t>
        </is>
      </c>
      <c r="F689" t="inlineStr">
        <is>
          <t>Maria Nowak</t>
        </is>
      </c>
      <c r="G689" t="inlineStr">
        <is>
          <t>Poland</t>
        </is>
      </c>
      <c r="H689" t="inlineStr">
        <is>
          <t>Web Store</t>
        </is>
      </c>
      <c r="I689" t="n">
        <v>4</v>
      </c>
      <c r="J689" s="3" t="n">
        <v>770.52</v>
      </c>
      <c r="K689" s="3" t="n">
        <v>38.53</v>
      </c>
      <c r="L689" s="3" t="n">
        <v>731.99</v>
      </c>
      <c r="M689" s="3" t="n">
        <v>444.76</v>
      </c>
      <c r="N689" s="3" t="n">
        <v>287.23</v>
      </c>
      <c r="O689">
        <f>TEXT(A689,"yyyy-mm")</f>
        <v/>
      </c>
    </row>
    <row r="690">
      <c r="A690" s="2" t="n">
        <v>45645</v>
      </c>
      <c r="B690" t="n">
        <v>2024</v>
      </c>
      <c r="C690" t="inlineStr">
        <is>
          <t>December</t>
        </is>
      </c>
      <c r="D690" t="inlineStr">
        <is>
          <t>Classic Coffee Beans</t>
        </is>
      </c>
      <c r="E690" t="inlineStr">
        <is>
          <t>Grocery</t>
        </is>
      </c>
      <c r="F690" t="inlineStr">
        <is>
          <t>Maria Nowak</t>
        </is>
      </c>
      <c r="G690" t="inlineStr">
        <is>
          <t>Poland</t>
        </is>
      </c>
      <c r="H690" t="inlineStr">
        <is>
          <t>Web Store</t>
        </is>
      </c>
      <c r="I690" t="n">
        <v>2</v>
      </c>
      <c r="J690" s="3" t="n">
        <v>636.1799999999999</v>
      </c>
      <c r="K690" s="3" t="n">
        <v>31.81</v>
      </c>
      <c r="L690" s="3" t="n">
        <v>604.37</v>
      </c>
      <c r="M690" s="3" t="n">
        <v>389.52</v>
      </c>
      <c r="N690" s="3" t="n">
        <v>214.85</v>
      </c>
      <c r="O690">
        <f>TEXT(A690,"yyyy-mm")</f>
        <v/>
      </c>
    </row>
    <row r="691">
      <c r="A691" s="2" t="n">
        <v>45645</v>
      </c>
      <c r="B691" t="n">
        <v>2024</v>
      </c>
      <c r="C691" t="inlineStr">
        <is>
          <t>December</t>
        </is>
      </c>
      <c r="D691" t="inlineStr">
        <is>
          <t>Compact Pasta</t>
        </is>
      </c>
      <c r="E691" t="inlineStr">
        <is>
          <t>Grocery</t>
        </is>
      </c>
      <c r="F691" t="inlineStr">
        <is>
          <t>Maria Nowak</t>
        </is>
      </c>
      <c r="G691" t="inlineStr">
        <is>
          <t>Poland</t>
        </is>
      </c>
      <c r="H691" t="inlineStr">
        <is>
          <t>Web Store</t>
        </is>
      </c>
      <c r="I691" t="n">
        <v>2</v>
      </c>
      <c r="J691" s="3" t="n">
        <v>606.78</v>
      </c>
      <c r="K691" s="3" t="n">
        <v>60.68</v>
      </c>
      <c r="L691" s="3" t="n">
        <v>546.1</v>
      </c>
      <c r="M691" s="3" t="n">
        <v>398.8</v>
      </c>
      <c r="N691" s="3" t="n">
        <v>147.3</v>
      </c>
      <c r="O691">
        <f>TEXT(A691,"yyyy-mm")</f>
        <v/>
      </c>
    </row>
    <row r="692">
      <c r="A692" s="2" t="n">
        <v>45645</v>
      </c>
      <c r="B692" t="n">
        <v>2024</v>
      </c>
      <c r="C692" t="inlineStr">
        <is>
          <t>December</t>
        </is>
      </c>
      <c r="D692" t="inlineStr">
        <is>
          <t>Premium Tent</t>
        </is>
      </c>
      <c r="E692" t="inlineStr">
        <is>
          <t>Sports &amp; Outdoors</t>
        </is>
      </c>
      <c r="F692" t="inlineStr">
        <is>
          <t>Anna Johnson</t>
        </is>
      </c>
      <c r="G692" t="inlineStr">
        <is>
          <t>United States</t>
        </is>
      </c>
      <c r="H692" t="inlineStr">
        <is>
          <t>Web Store</t>
        </is>
      </c>
      <c r="I692" t="n">
        <v>4</v>
      </c>
      <c r="J692" s="3" t="n">
        <v>576.64</v>
      </c>
      <c r="K692" s="3" t="n">
        <v>0</v>
      </c>
      <c r="L692" s="3" t="n">
        <v>576.64</v>
      </c>
      <c r="M692" s="3" t="n">
        <v>385.6</v>
      </c>
      <c r="N692" s="3" t="n">
        <v>191.04</v>
      </c>
      <c r="O692">
        <f>TEXT(A692,"yyyy-mm")</f>
        <v/>
      </c>
    </row>
    <row r="693">
      <c r="A693" s="2" t="n">
        <v>45645</v>
      </c>
      <c r="B693" t="n">
        <v>2024</v>
      </c>
      <c r="C693" t="inlineStr">
        <is>
          <t>December</t>
        </is>
      </c>
      <c r="D693" t="inlineStr">
        <is>
          <t>Eco Sweater</t>
        </is>
      </c>
      <c r="E693" t="inlineStr">
        <is>
          <t>Clothing</t>
        </is>
      </c>
      <c r="F693" t="inlineStr">
        <is>
          <t>Anna Johnson</t>
        </is>
      </c>
      <c r="G693" t="inlineStr">
        <is>
          <t>United States</t>
        </is>
      </c>
      <c r="H693" t="inlineStr">
        <is>
          <t>Web Store</t>
        </is>
      </c>
      <c r="I693" t="n">
        <v>1</v>
      </c>
      <c r="J693" s="3" t="n">
        <v>150.85</v>
      </c>
      <c r="K693" s="3" t="n">
        <v>0</v>
      </c>
      <c r="L693" s="3" t="n">
        <v>150.85</v>
      </c>
      <c r="M693" s="3" t="n">
        <v>104.23</v>
      </c>
      <c r="N693" s="3" t="n">
        <v>46.62</v>
      </c>
      <c r="O693">
        <f>TEXT(A693,"yyyy-mm")</f>
        <v/>
      </c>
    </row>
    <row r="694">
      <c r="A694" s="2" t="n">
        <v>45645</v>
      </c>
      <c r="B694" t="n">
        <v>2024</v>
      </c>
      <c r="C694" t="inlineStr">
        <is>
          <t>December</t>
        </is>
      </c>
      <c r="D694" t="inlineStr">
        <is>
          <t>Smart Puzzle</t>
        </is>
      </c>
      <c r="E694" t="inlineStr">
        <is>
          <t>Toys &amp; Games</t>
        </is>
      </c>
      <c r="F694" t="inlineStr">
        <is>
          <t>Anna Johnson</t>
        </is>
      </c>
      <c r="G694" t="inlineStr">
        <is>
          <t>United States</t>
        </is>
      </c>
      <c r="H694" t="inlineStr">
        <is>
          <t>Web Store</t>
        </is>
      </c>
      <c r="I694" t="n">
        <v>3</v>
      </c>
      <c r="J694" s="3" t="n">
        <v>135.12</v>
      </c>
      <c r="K694" s="3" t="n">
        <v>27.02</v>
      </c>
      <c r="L694" s="3" t="n">
        <v>108.1</v>
      </c>
      <c r="M694" s="3" t="n">
        <v>73.31999999999999</v>
      </c>
      <c r="N694" s="3" t="n">
        <v>34.78</v>
      </c>
      <c r="O694">
        <f>TEXT(A694,"yyyy-mm")</f>
        <v/>
      </c>
    </row>
    <row r="695">
      <c r="A695" s="2" t="n">
        <v>45645</v>
      </c>
      <c r="B695" t="n">
        <v>2024</v>
      </c>
      <c r="C695" t="inlineStr">
        <is>
          <t>December</t>
        </is>
      </c>
      <c r="D695" t="inlineStr">
        <is>
          <t>Premium Tent</t>
        </is>
      </c>
      <c r="E695" t="inlineStr">
        <is>
          <t>Sports &amp; Outdoors</t>
        </is>
      </c>
      <c r="F695" t="inlineStr">
        <is>
          <t>Anna Johnson</t>
        </is>
      </c>
      <c r="G695" t="inlineStr">
        <is>
          <t>United States</t>
        </is>
      </c>
      <c r="H695" t="inlineStr">
        <is>
          <t>Web Store</t>
        </is>
      </c>
      <c r="I695" t="n">
        <v>2</v>
      </c>
      <c r="J695" s="3" t="n">
        <v>508.68</v>
      </c>
      <c r="K695" s="3" t="n">
        <v>0</v>
      </c>
      <c r="L695" s="3" t="n">
        <v>508.68</v>
      </c>
      <c r="M695" s="3" t="n">
        <v>330.62</v>
      </c>
      <c r="N695" s="3" t="n">
        <v>178.06</v>
      </c>
      <c r="O695">
        <f>TEXT(A695,"yyyy-mm")</f>
        <v/>
      </c>
    </row>
    <row r="696">
      <c r="A696" s="2" t="n">
        <v>45645</v>
      </c>
      <c r="B696" t="n">
        <v>2024</v>
      </c>
      <c r="C696" t="inlineStr">
        <is>
          <t>December</t>
        </is>
      </c>
      <c r="D696" t="inlineStr">
        <is>
          <t>Compact Biography</t>
        </is>
      </c>
      <c r="E696" t="inlineStr">
        <is>
          <t>Books</t>
        </is>
      </c>
      <c r="F696" t="inlineStr">
        <is>
          <t>Nina Bianchi</t>
        </is>
      </c>
      <c r="G696" t="inlineStr">
        <is>
          <t>Italy</t>
        </is>
      </c>
      <c r="H696" t="inlineStr">
        <is>
          <t>Retail Store</t>
        </is>
      </c>
      <c r="I696" t="n">
        <v>1</v>
      </c>
      <c r="J696" s="3" t="n">
        <v>252.3</v>
      </c>
      <c r="K696" s="3" t="n">
        <v>25.23</v>
      </c>
      <c r="L696" s="3" t="n">
        <v>227.07</v>
      </c>
      <c r="M696" s="3" t="n">
        <v>140.33</v>
      </c>
      <c r="N696" s="3" t="n">
        <v>86.73999999999999</v>
      </c>
      <c r="O696">
        <f>TEXT(A696,"yyyy-mm")</f>
        <v/>
      </c>
    </row>
    <row r="697">
      <c r="A697" s="2" t="n">
        <v>45645</v>
      </c>
      <c r="B697" t="n">
        <v>2024</v>
      </c>
      <c r="C697" t="inlineStr">
        <is>
          <t>December</t>
        </is>
      </c>
      <c r="D697" t="inlineStr">
        <is>
          <t>Portable Puzzle</t>
        </is>
      </c>
      <c r="E697" t="inlineStr">
        <is>
          <t>Toys &amp; Games</t>
        </is>
      </c>
      <c r="F697" t="inlineStr">
        <is>
          <t>Nina Bianchi</t>
        </is>
      </c>
      <c r="G697" t="inlineStr">
        <is>
          <t>Italy</t>
        </is>
      </c>
      <c r="H697" t="inlineStr">
        <is>
          <t>Retail Store</t>
        </is>
      </c>
      <c r="I697" t="n">
        <v>3</v>
      </c>
      <c r="J697" s="3" t="n">
        <v>888.84</v>
      </c>
      <c r="K697" s="3" t="n">
        <v>0</v>
      </c>
      <c r="L697" s="3" t="n">
        <v>888.84</v>
      </c>
      <c r="M697" s="3" t="n">
        <v>520.98</v>
      </c>
      <c r="N697" s="3" t="n">
        <v>367.86</v>
      </c>
      <c r="O697">
        <f>TEXT(A697,"yyyy-mm")</f>
        <v/>
      </c>
    </row>
    <row r="698">
      <c r="A698" s="2" t="n">
        <v>45645</v>
      </c>
      <c r="B698" t="n">
        <v>2024</v>
      </c>
      <c r="C698" t="inlineStr">
        <is>
          <t>December</t>
        </is>
      </c>
      <c r="D698" t="inlineStr">
        <is>
          <t>Portable Tea Set</t>
        </is>
      </c>
      <c r="E698" t="inlineStr">
        <is>
          <t>Grocery</t>
        </is>
      </c>
      <c r="F698" t="inlineStr">
        <is>
          <t>Nina Bianchi</t>
        </is>
      </c>
      <c r="G698" t="inlineStr">
        <is>
          <t>Italy</t>
        </is>
      </c>
      <c r="H698" t="inlineStr">
        <is>
          <t>Retail Store</t>
        </is>
      </c>
      <c r="I698" t="n">
        <v>1</v>
      </c>
      <c r="J698" s="3" t="n">
        <v>283.01</v>
      </c>
      <c r="K698" s="3" t="n">
        <v>0</v>
      </c>
      <c r="L698" s="3" t="n">
        <v>283.01</v>
      </c>
      <c r="M698" s="3" t="n">
        <v>188.12</v>
      </c>
      <c r="N698" s="3" t="n">
        <v>94.89</v>
      </c>
      <c r="O698">
        <f>TEXT(A698,"yyyy-mm")</f>
        <v/>
      </c>
    </row>
    <row r="699">
      <c r="A699" s="2" t="n">
        <v>45645</v>
      </c>
      <c r="B699" t="n">
        <v>2024</v>
      </c>
      <c r="C699" t="inlineStr">
        <is>
          <t>December</t>
        </is>
      </c>
      <c r="D699" t="inlineStr">
        <is>
          <t>Classic Tea Set</t>
        </is>
      </c>
      <c r="E699" t="inlineStr">
        <is>
          <t>Grocery</t>
        </is>
      </c>
      <c r="F699" t="inlineStr">
        <is>
          <t>Nina Bianchi</t>
        </is>
      </c>
      <c r="G699" t="inlineStr">
        <is>
          <t>Italy</t>
        </is>
      </c>
      <c r="H699" t="inlineStr">
        <is>
          <t>Retail Store</t>
        </is>
      </c>
      <c r="I699" t="n">
        <v>4</v>
      </c>
      <c r="J699" s="3" t="n">
        <v>721.3200000000001</v>
      </c>
      <c r="K699" s="3" t="n">
        <v>0</v>
      </c>
      <c r="L699" s="3" t="n">
        <v>721.3200000000001</v>
      </c>
      <c r="M699" s="3" t="n">
        <v>501.6</v>
      </c>
      <c r="N699" s="3" t="n">
        <v>219.72</v>
      </c>
      <c r="O699">
        <f>TEXT(A699,"yyyy-mm")</f>
        <v/>
      </c>
    </row>
    <row r="700">
      <c r="A700" s="2" t="n">
        <v>45646</v>
      </c>
      <c r="B700" t="n">
        <v>2024</v>
      </c>
      <c r="C700" t="inlineStr">
        <is>
          <t>December</t>
        </is>
      </c>
      <c r="D700" t="inlineStr">
        <is>
          <t>Smart Board Game</t>
        </is>
      </c>
      <c r="E700" t="inlineStr">
        <is>
          <t>Toys &amp; Games</t>
        </is>
      </c>
      <c r="F700" t="inlineStr">
        <is>
          <t>Thomas Bianchi</t>
        </is>
      </c>
      <c r="G700" t="inlineStr">
        <is>
          <t>Germany</t>
        </is>
      </c>
      <c r="H700" t="inlineStr">
        <is>
          <t>Marketplace</t>
        </is>
      </c>
      <c r="I700" t="n">
        <v>5</v>
      </c>
      <c r="J700" s="3" t="n">
        <v>679.9</v>
      </c>
      <c r="K700" s="3" t="n">
        <v>0</v>
      </c>
      <c r="L700" s="3" t="n">
        <v>679.9</v>
      </c>
      <c r="M700" s="3" t="n">
        <v>458.6</v>
      </c>
      <c r="N700" s="3" t="n">
        <v>221.3</v>
      </c>
      <c r="O700">
        <f>TEXT(A700,"yyyy-mm")</f>
        <v/>
      </c>
    </row>
    <row r="701">
      <c r="A701" s="2" t="n">
        <v>45646</v>
      </c>
      <c r="B701" t="n">
        <v>2024</v>
      </c>
      <c r="C701" t="inlineStr">
        <is>
          <t>December</t>
        </is>
      </c>
      <c r="D701" t="inlineStr">
        <is>
          <t>Essential Jacket</t>
        </is>
      </c>
      <c r="E701" t="inlineStr">
        <is>
          <t>Clothing</t>
        </is>
      </c>
      <c r="F701" t="inlineStr">
        <is>
          <t>Nina Lopez</t>
        </is>
      </c>
      <c r="G701" t="inlineStr">
        <is>
          <t>Poland</t>
        </is>
      </c>
      <c r="H701" t="inlineStr">
        <is>
          <t>Marketplace</t>
        </is>
      </c>
      <c r="I701" t="n">
        <v>4</v>
      </c>
      <c r="J701" s="3" t="n">
        <v>582.08</v>
      </c>
      <c r="K701" s="3" t="n">
        <v>116.42</v>
      </c>
      <c r="L701" s="3" t="n">
        <v>465.66</v>
      </c>
      <c r="M701" s="3" t="n">
        <v>341.4</v>
      </c>
      <c r="N701" s="3" t="n">
        <v>124.26</v>
      </c>
      <c r="O701">
        <f>TEXT(A701,"yyyy-mm")</f>
        <v/>
      </c>
    </row>
    <row r="702">
      <c r="A702" s="2" t="n">
        <v>45646</v>
      </c>
      <c r="B702" t="n">
        <v>2024</v>
      </c>
      <c r="C702" t="inlineStr">
        <is>
          <t>December</t>
        </is>
      </c>
      <c r="D702" t="inlineStr">
        <is>
          <t>Smart Puzzle</t>
        </is>
      </c>
      <c r="E702" t="inlineStr">
        <is>
          <t>Toys &amp; Games</t>
        </is>
      </c>
      <c r="F702" t="inlineStr">
        <is>
          <t>Olivia Brown</t>
        </is>
      </c>
      <c r="G702" t="inlineStr">
        <is>
          <t>United States</t>
        </is>
      </c>
      <c r="H702" t="inlineStr">
        <is>
          <t>Marketplace</t>
        </is>
      </c>
      <c r="I702" t="n">
        <v>2</v>
      </c>
      <c r="J702" s="3" t="n">
        <v>92</v>
      </c>
      <c r="K702" s="3" t="n">
        <v>18.4</v>
      </c>
      <c r="L702" s="3" t="n">
        <v>73.59999999999999</v>
      </c>
      <c r="M702" s="3" t="n">
        <v>48.88</v>
      </c>
      <c r="N702" s="3" t="n">
        <v>24.72</v>
      </c>
      <c r="O702">
        <f>TEXT(A702,"yyyy-mm")</f>
        <v/>
      </c>
    </row>
    <row r="703">
      <c r="A703" s="2" t="n">
        <v>45646</v>
      </c>
      <c r="B703" t="n">
        <v>2024</v>
      </c>
      <c r="C703" t="inlineStr">
        <is>
          <t>December</t>
        </is>
      </c>
      <c r="D703" t="inlineStr">
        <is>
          <t>Smart Camera</t>
        </is>
      </c>
      <c r="E703" t="inlineStr">
        <is>
          <t>Electronics</t>
        </is>
      </c>
      <c r="F703" t="inlineStr">
        <is>
          <t>Nina Lopez</t>
        </is>
      </c>
      <c r="G703" t="inlineStr">
        <is>
          <t>Poland</t>
        </is>
      </c>
      <c r="H703" t="inlineStr">
        <is>
          <t>Marketplace</t>
        </is>
      </c>
      <c r="I703" t="n">
        <v>5</v>
      </c>
      <c r="J703" s="3" t="n">
        <v>627.8</v>
      </c>
      <c r="K703" s="3" t="n">
        <v>125.56</v>
      </c>
      <c r="L703" s="3" t="n">
        <v>502.24</v>
      </c>
      <c r="M703" s="3" t="n">
        <v>427.9</v>
      </c>
      <c r="N703" s="3" t="n">
        <v>74.34</v>
      </c>
      <c r="O703">
        <f>TEXT(A703,"yyyy-mm")</f>
        <v/>
      </c>
    </row>
    <row r="704">
      <c r="A704" s="2" t="n">
        <v>45647</v>
      </c>
      <c r="B704" t="n">
        <v>2024</v>
      </c>
      <c r="C704" t="inlineStr">
        <is>
          <t>December</t>
        </is>
      </c>
      <c r="D704" t="inlineStr">
        <is>
          <t>Eco Planter</t>
        </is>
      </c>
      <c r="E704" t="inlineStr">
        <is>
          <t>Home &amp; Garden</t>
        </is>
      </c>
      <c r="F704" t="inlineStr">
        <is>
          <t>Thomas Schmidt</t>
        </is>
      </c>
      <c r="G704" t="inlineStr">
        <is>
          <t>France</t>
        </is>
      </c>
      <c r="H704" t="inlineStr">
        <is>
          <t>Web Store</t>
        </is>
      </c>
      <c r="I704" t="n">
        <v>2</v>
      </c>
      <c r="J704" s="3" t="n">
        <v>363.3</v>
      </c>
      <c r="K704" s="3" t="n">
        <v>0</v>
      </c>
      <c r="L704" s="3" t="n">
        <v>363.3</v>
      </c>
      <c r="M704" s="3" t="n">
        <v>224.82</v>
      </c>
      <c r="N704" s="3" t="n">
        <v>138.48</v>
      </c>
      <c r="O704">
        <f>TEXT(A704,"yyyy-mm")</f>
        <v/>
      </c>
    </row>
    <row r="705">
      <c r="A705" s="2" t="n">
        <v>45647</v>
      </c>
      <c r="B705" t="n">
        <v>2024</v>
      </c>
      <c r="C705" t="inlineStr">
        <is>
          <t>December</t>
        </is>
      </c>
      <c r="D705" t="inlineStr">
        <is>
          <t>Smart Camera</t>
        </is>
      </c>
      <c r="E705" t="inlineStr">
        <is>
          <t>Electronics</t>
        </is>
      </c>
      <c r="F705" t="inlineStr">
        <is>
          <t>Thomas Schmidt</t>
        </is>
      </c>
      <c r="G705" t="inlineStr">
        <is>
          <t>France</t>
        </is>
      </c>
      <c r="H705" t="inlineStr">
        <is>
          <t>Web Store</t>
        </is>
      </c>
      <c r="I705" t="n">
        <v>1</v>
      </c>
      <c r="J705" s="3" t="n">
        <v>122.23</v>
      </c>
      <c r="K705" s="3" t="n">
        <v>0</v>
      </c>
      <c r="L705" s="3" t="n">
        <v>122.23</v>
      </c>
      <c r="M705" s="3" t="n">
        <v>85.58</v>
      </c>
      <c r="N705" s="3" t="n">
        <v>36.65</v>
      </c>
      <c r="O705">
        <f>TEXT(A705,"yyyy-mm")</f>
        <v/>
      </c>
    </row>
    <row r="706">
      <c r="A706" s="2" t="n">
        <v>45647</v>
      </c>
      <c r="B706" t="n">
        <v>2024</v>
      </c>
      <c r="C706" t="inlineStr">
        <is>
          <t>December</t>
        </is>
      </c>
      <c r="D706" t="inlineStr">
        <is>
          <t>Ultra Vitamins</t>
        </is>
      </c>
      <c r="E706" t="inlineStr">
        <is>
          <t>Beauty &amp; Health</t>
        </is>
      </c>
      <c r="F706" t="inlineStr">
        <is>
          <t>Thomas Schmidt</t>
        </is>
      </c>
      <c r="G706" t="inlineStr">
        <is>
          <t>France</t>
        </is>
      </c>
      <c r="H706" t="inlineStr">
        <is>
          <t>Web Store</t>
        </is>
      </c>
      <c r="I706" t="n">
        <v>2</v>
      </c>
      <c r="J706" s="3" t="n">
        <v>428.82</v>
      </c>
      <c r="K706" s="3" t="n">
        <v>42.88</v>
      </c>
      <c r="L706" s="3" t="n">
        <v>385.94</v>
      </c>
      <c r="M706" s="3" t="n">
        <v>252.2</v>
      </c>
      <c r="N706" s="3" t="n">
        <v>133.74</v>
      </c>
      <c r="O706">
        <f>TEXT(A706,"yyyy-mm")</f>
        <v/>
      </c>
    </row>
    <row r="707">
      <c r="A707" s="2" t="n">
        <v>45648</v>
      </c>
      <c r="B707" t="n">
        <v>2024</v>
      </c>
      <c r="C707" t="inlineStr">
        <is>
          <t>December</t>
        </is>
      </c>
      <c r="D707" t="inlineStr">
        <is>
          <t>Portable Notebook</t>
        </is>
      </c>
      <c r="E707" t="inlineStr">
        <is>
          <t>Books</t>
        </is>
      </c>
      <c r="F707" t="inlineStr">
        <is>
          <t>Sophie Johnson</t>
        </is>
      </c>
      <c r="G707" t="inlineStr">
        <is>
          <t>France</t>
        </is>
      </c>
      <c r="H707" t="inlineStr">
        <is>
          <t>Marketplace</t>
        </is>
      </c>
      <c r="I707" t="n">
        <v>5</v>
      </c>
      <c r="J707" s="3" t="n">
        <v>614.4</v>
      </c>
      <c r="K707" s="3" t="n">
        <v>0</v>
      </c>
      <c r="L707" s="3" t="n">
        <v>614.4</v>
      </c>
      <c r="M707" s="3" t="n">
        <v>356.4</v>
      </c>
      <c r="N707" s="3" t="n">
        <v>258</v>
      </c>
      <c r="O707">
        <f>TEXT(A707,"yyyy-mm")</f>
        <v/>
      </c>
    </row>
    <row r="708">
      <c r="A708" s="2" t="n">
        <v>45648</v>
      </c>
      <c r="B708" t="n">
        <v>2024</v>
      </c>
      <c r="C708" t="inlineStr">
        <is>
          <t>December</t>
        </is>
      </c>
      <c r="D708" t="inlineStr">
        <is>
          <t>Wireless Cookbook</t>
        </is>
      </c>
      <c r="E708" t="inlineStr">
        <is>
          <t>Books</t>
        </is>
      </c>
      <c r="F708" t="inlineStr">
        <is>
          <t>Sophie Johnson</t>
        </is>
      </c>
      <c r="G708" t="inlineStr">
        <is>
          <t>France</t>
        </is>
      </c>
      <c r="H708" t="inlineStr">
        <is>
          <t>Marketplace</t>
        </is>
      </c>
      <c r="I708" t="n">
        <v>1</v>
      </c>
      <c r="J708" s="3" t="n">
        <v>73.3</v>
      </c>
      <c r="K708" s="3" t="n">
        <v>0</v>
      </c>
      <c r="L708" s="3" t="n">
        <v>73.3</v>
      </c>
      <c r="M708" s="3" t="n">
        <v>56.61</v>
      </c>
      <c r="N708" s="3" t="n">
        <v>16.69</v>
      </c>
      <c r="O708">
        <f>TEXT(A708,"yyyy-mm")</f>
        <v/>
      </c>
    </row>
    <row r="709">
      <c r="A709" s="2" t="n">
        <v>45648</v>
      </c>
      <c r="B709" t="n">
        <v>2024</v>
      </c>
      <c r="C709" t="inlineStr">
        <is>
          <t>December</t>
        </is>
      </c>
      <c r="D709" t="inlineStr">
        <is>
          <t>Portable Toolset</t>
        </is>
      </c>
      <c r="E709" t="inlineStr">
        <is>
          <t>Home &amp; Garden</t>
        </is>
      </c>
      <c r="F709" t="inlineStr">
        <is>
          <t>David Wojcik</t>
        </is>
      </c>
      <c r="G709" t="inlineStr">
        <is>
          <t>Germany</t>
        </is>
      </c>
      <c r="H709" t="inlineStr">
        <is>
          <t>Marketplace</t>
        </is>
      </c>
      <c r="I709" t="n">
        <v>2</v>
      </c>
      <c r="J709" s="3" t="n">
        <v>178.38</v>
      </c>
      <c r="K709" s="3" t="n">
        <v>35.68</v>
      </c>
      <c r="L709" s="3" t="n">
        <v>142.7</v>
      </c>
      <c r="M709" s="3" t="n">
        <v>101.08</v>
      </c>
      <c r="N709" s="3" t="n">
        <v>41.62</v>
      </c>
      <c r="O709">
        <f>TEXT(A709,"yyyy-mm")</f>
        <v/>
      </c>
    </row>
    <row r="710">
      <c r="A710" s="2" t="n">
        <v>45648</v>
      </c>
      <c r="B710" t="n">
        <v>2024</v>
      </c>
      <c r="C710" t="inlineStr">
        <is>
          <t>December</t>
        </is>
      </c>
      <c r="D710" t="inlineStr">
        <is>
          <t>Deluxe Smartwatch</t>
        </is>
      </c>
      <c r="E710" t="inlineStr">
        <is>
          <t>Electronics</t>
        </is>
      </c>
      <c r="F710" t="inlineStr">
        <is>
          <t>David Wojcik</t>
        </is>
      </c>
      <c r="G710" t="inlineStr">
        <is>
          <t>Germany</t>
        </is>
      </c>
      <c r="H710" t="inlineStr">
        <is>
          <t>Marketplace</t>
        </is>
      </c>
      <c r="I710" t="n">
        <v>2</v>
      </c>
      <c r="J710" s="3" t="n">
        <v>323.54</v>
      </c>
      <c r="K710" s="3" t="n">
        <v>48.53</v>
      </c>
      <c r="L710" s="3" t="n">
        <v>275.01</v>
      </c>
      <c r="M710" s="3" t="n">
        <v>245.44</v>
      </c>
      <c r="N710" s="3" t="n">
        <v>29.57</v>
      </c>
      <c r="O710">
        <f>TEXT(A710,"yyyy-mm")</f>
        <v/>
      </c>
    </row>
    <row r="711">
      <c r="A711" s="2" t="n">
        <v>45649</v>
      </c>
      <c r="B711" t="n">
        <v>2024</v>
      </c>
      <c r="C711" t="inlineStr">
        <is>
          <t>December</t>
        </is>
      </c>
      <c r="D711" t="inlineStr">
        <is>
          <t>Wireless Backpack</t>
        </is>
      </c>
      <c r="E711" t="inlineStr">
        <is>
          <t>Sports &amp; Outdoors</t>
        </is>
      </c>
      <c r="F711" t="inlineStr">
        <is>
          <t>Clara Martin</t>
        </is>
      </c>
      <c r="G711" t="inlineStr">
        <is>
          <t>United States</t>
        </is>
      </c>
      <c r="H711" t="inlineStr">
        <is>
          <t>Web Store</t>
        </is>
      </c>
      <c r="I711" t="n">
        <v>5</v>
      </c>
      <c r="J711" s="3" t="n">
        <v>256.9</v>
      </c>
      <c r="K711" s="3" t="n">
        <v>0</v>
      </c>
      <c r="L711" s="3" t="n">
        <v>256.9</v>
      </c>
      <c r="M711" s="3" t="n">
        <v>140.5</v>
      </c>
      <c r="N711" s="3" t="n">
        <v>116.4</v>
      </c>
      <c r="O711">
        <f>TEXT(A711,"yyyy-mm")</f>
        <v/>
      </c>
    </row>
    <row r="712">
      <c r="A712" s="2" t="n">
        <v>45649</v>
      </c>
      <c r="B712" t="n">
        <v>2024</v>
      </c>
      <c r="C712" t="inlineStr">
        <is>
          <t>December</t>
        </is>
      </c>
      <c r="D712" t="inlineStr">
        <is>
          <t>Premium Tent</t>
        </is>
      </c>
      <c r="E712" t="inlineStr">
        <is>
          <t>Sports &amp; Outdoors</t>
        </is>
      </c>
      <c r="F712" t="inlineStr">
        <is>
          <t>Clara Martin</t>
        </is>
      </c>
      <c r="G712" t="inlineStr">
        <is>
          <t>United States</t>
        </is>
      </c>
      <c r="H712" t="inlineStr">
        <is>
          <t>Web Store</t>
        </is>
      </c>
      <c r="I712" t="n">
        <v>3</v>
      </c>
      <c r="J712" s="3" t="n">
        <v>766.77</v>
      </c>
      <c r="K712" s="3" t="n">
        <v>38.34</v>
      </c>
      <c r="L712" s="3" t="n">
        <v>728.4299999999999</v>
      </c>
      <c r="M712" s="3" t="n">
        <v>417.12</v>
      </c>
      <c r="N712" s="3" t="n">
        <v>311.31</v>
      </c>
      <c r="O712">
        <f>TEXT(A712,"yyyy-mm")</f>
        <v/>
      </c>
    </row>
    <row r="713">
      <c r="A713" s="2" t="n">
        <v>45649</v>
      </c>
      <c r="B713" t="n">
        <v>2024</v>
      </c>
      <c r="C713" t="inlineStr">
        <is>
          <t>December</t>
        </is>
      </c>
      <c r="D713" t="inlineStr">
        <is>
          <t>Smart Charger</t>
        </is>
      </c>
      <c r="E713" t="inlineStr">
        <is>
          <t>Electronics</t>
        </is>
      </c>
      <c r="F713" t="inlineStr">
        <is>
          <t>Clara Martin</t>
        </is>
      </c>
      <c r="G713" t="inlineStr">
        <is>
          <t>United States</t>
        </is>
      </c>
      <c r="H713" t="inlineStr">
        <is>
          <t>Web Store</t>
        </is>
      </c>
      <c r="I713" t="n">
        <v>1</v>
      </c>
      <c r="J713" s="3" t="n">
        <v>41.19</v>
      </c>
      <c r="K713" s="3" t="n">
        <v>8.24</v>
      </c>
      <c r="L713" s="3" t="n">
        <v>32.95</v>
      </c>
      <c r="M713" s="3" t="n">
        <v>27.64</v>
      </c>
      <c r="N713" s="3" t="n">
        <v>5.31</v>
      </c>
      <c r="O713">
        <f>TEXT(A713,"yyyy-mm")</f>
        <v/>
      </c>
    </row>
    <row r="714">
      <c r="A714" s="2" t="n">
        <v>45650</v>
      </c>
      <c r="B714" t="n">
        <v>2024</v>
      </c>
      <c r="C714" t="inlineStr">
        <is>
          <t>December</t>
        </is>
      </c>
      <c r="D714" t="inlineStr">
        <is>
          <t>Portable Pasta</t>
        </is>
      </c>
      <c r="E714" t="inlineStr">
        <is>
          <t>Grocery</t>
        </is>
      </c>
      <c r="F714" t="inlineStr">
        <is>
          <t>Mark Bianchi</t>
        </is>
      </c>
      <c r="G714" t="inlineStr">
        <is>
          <t>Spain</t>
        </is>
      </c>
      <c r="H714" t="inlineStr">
        <is>
          <t>Marketplace</t>
        </is>
      </c>
      <c r="I714" t="n">
        <v>4</v>
      </c>
      <c r="J714" s="3" t="n">
        <v>153.32</v>
      </c>
      <c r="K714" s="3" t="n">
        <v>0</v>
      </c>
      <c r="L714" s="3" t="n">
        <v>153.32</v>
      </c>
      <c r="M714" s="3" t="n">
        <v>111</v>
      </c>
      <c r="N714" s="3" t="n">
        <v>42.32</v>
      </c>
      <c r="O714">
        <f>TEXT(A714,"yyyy-mm")</f>
        <v/>
      </c>
    </row>
    <row r="715">
      <c r="A715" s="2" t="n">
        <v>45650</v>
      </c>
      <c r="B715" t="n">
        <v>2024</v>
      </c>
      <c r="C715" t="inlineStr">
        <is>
          <t>December</t>
        </is>
      </c>
      <c r="D715" t="inlineStr">
        <is>
          <t>Premium Tent</t>
        </is>
      </c>
      <c r="E715" t="inlineStr">
        <is>
          <t>Sports &amp; Outdoors</t>
        </is>
      </c>
      <c r="F715" t="inlineStr">
        <is>
          <t>Mark Bianchi</t>
        </is>
      </c>
      <c r="G715" t="inlineStr">
        <is>
          <t>Spain</t>
        </is>
      </c>
      <c r="H715" t="inlineStr">
        <is>
          <t>Marketplace</t>
        </is>
      </c>
      <c r="I715" t="n">
        <v>1</v>
      </c>
      <c r="J715" s="3" t="n">
        <v>248.39</v>
      </c>
      <c r="K715" s="3" t="n">
        <v>24.84</v>
      </c>
      <c r="L715" s="3" t="n">
        <v>223.55</v>
      </c>
      <c r="M715" s="3" t="n">
        <v>139.04</v>
      </c>
      <c r="N715" s="3" t="n">
        <v>84.51000000000001</v>
      </c>
      <c r="O715">
        <f>TEXT(A715,"yyyy-mm")</f>
        <v/>
      </c>
    </row>
    <row r="716">
      <c r="A716" s="2" t="n">
        <v>45650</v>
      </c>
      <c r="B716" t="n">
        <v>2024</v>
      </c>
      <c r="C716" t="inlineStr">
        <is>
          <t>December</t>
        </is>
      </c>
      <c r="D716" t="inlineStr">
        <is>
          <t>Premium Water Bottle</t>
        </is>
      </c>
      <c r="E716" t="inlineStr">
        <is>
          <t>Sports &amp; Outdoors</t>
        </is>
      </c>
      <c r="F716" t="inlineStr">
        <is>
          <t>David Weber</t>
        </is>
      </c>
      <c r="G716" t="inlineStr">
        <is>
          <t>Germany</t>
        </is>
      </c>
      <c r="H716" t="inlineStr">
        <is>
          <t>Retail Store</t>
        </is>
      </c>
      <c r="I716" t="n">
        <v>2</v>
      </c>
      <c r="J716" s="3" t="n">
        <v>244.86</v>
      </c>
      <c r="K716" s="3" t="n">
        <v>36.73</v>
      </c>
      <c r="L716" s="3" t="n">
        <v>208.13</v>
      </c>
      <c r="M716" s="3" t="n">
        <v>179.24</v>
      </c>
      <c r="N716" s="3" t="n">
        <v>28.89</v>
      </c>
      <c r="O716">
        <f>TEXT(A716,"yyyy-mm")</f>
        <v/>
      </c>
    </row>
    <row r="717">
      <c r="A717" s="2" t="n">
        <v>45650</v>
      </c>
      <c r="B717" t="n">
        <v>2024</v>
      </c>
      <c r="C717" t="inlineStr">
        <is>
          <t>December</t>
        </is>
      </c>
      <c r="D717" t="inlineStr">
        <is>
          <t>Wireless Cookbook</t>
        </is>
      </c>
      <c r="E717" t="inlineStr">
        <is>
          <t>Books</t>
        </is>
      </c>
      <c r="F717" t="inlineStr">
        <is>
          <t>Clara Martin</t>
        </is>
      </c>
      <c r="G717" t="inlineStr">
        <is>
          <t>United States</t>
        </is>
      </c>
      <c r="H717" t="inlineStr">
        <is>
          <t>Mobile App</t>
        </is>
      </c>
      <c r="I717" t="n">
        <v>2</v>
      </c>
      <c r="J717" s="3" t="n">
        <v>150.9</v>
      </c>
      <c r="K717" s="3" t="n">
        <v>0</v>
      </c>
      <c r="L717" s="3" t="n">
        <v>150.9</v>
      </c>
      <c r="M717" s="3" t="n">
        <v>113.22</v>
      </c>
      <c r="N717" s="3" t="n">
        <v>37.68</v>
      </c>
      <c r="O717">
        <f>TEXT(A717,"yyyy-mm")</f>
        <v/>
      </c>
    </row>
    <row r="718">
      <c r="A718" s="2" t="n">
        <v>45650</v>
      </c>
      <c r="B718" t="n">
        <v>2024</v>
      </c>
      <c r="C718" t="inlineStr">
        <is>
          <t>December</t>
        </is>
      </c>
      <c r="D718" t="inlineStr">
        <is>
          <t>Essential Lamp</t>
        </is>
      </c>
      <c r="E718" t="inlineStr">
        <is>
          <t>Home &amp; Garden</t>
        </is>
      </c>
      <c r="F718" t="inlineStr">
        <is>
          <t>David Weber</t>
        </is>
      </c>
      <c r="G718" t="inlineStr">
        <is>
          <t>Germany</t>
        </is>
      </c>
      <c r="H718" t="inlineStr">
        <is>
          <t>Retail Store</t>
        </is>
      </c>
      <c r="I718" t="n">
        <v>2</v>
      </c>
      <c r="J718" s="3" t="n">
        <v>134.5</v>
      </c>
      <c r="K718" s="3" t="n">
        <v>20.18</v>
      </c>
      <c r="L718" s="3" t="n">
        <v>114.32</v>
      </c>
      <c r="M718" s="3" t="n">
        <v>90.8</v>
      </c>
      <c r="N718" s="3" t="n">
        <v>23.53</v>
      </c>
      <c r="O718">
        <f>TEXT(A718,"yyyy-mm")</f>
        <v/>
      </c>
    </row>
    <row r="719">
      <c r="A719" s="2" t="n">
        <v>45651</v>
      </c>
      <c r="B719" t="n">
        <v>2024</v>
      </c>
      <c r="C719" t="inlineStr">
        <is>
          <t>December</t>
        </is>
      </c>
      <c r="D719" t="inlineStr">
        <is>
          <t>Smart Charger</t>
        </is>
      </c>
      <c r="E719" t="inlineStr">
        <is>
          <t>Electronics</t>
        </is>
      </c>
      <c r="F719" t="inlineStr">
        <is>
          <t>Olivia Schmidt</t>
        </is>
      </c>
      <c r="G719" t="inlineStr">
        <is>
          <t>United States</t>
        </is>
      </c>
      <c r="H719" t="inlineStr">
        <is>
          <t>Web Store</t>
        </is>
      </c>
      <c r="I719" t="n">
        <v>1</v>
      </c>
      <c r="J719" s="3" t="n">
        <v>39.89</v>
      </c>
      <c r="K719" s="3" t="n">
        <v>3.99</v>
      </c>
      <c r="L719" s="3" t="n">
        <v>35.9</v>
      </c>
      <c r="M719" s="3" t="n">
        <v>27.64</v>
      </c>
      <c r="N719" s="3" t="n">
        <v>8.26</v>
      </c>
      <c r="O719">
        <f>TEXT(A719,"yyyy-mm")</f>
        <v/>
      </c>
    </row>
    <row r="720">
      <c r="A720" s="2" t="n">
        <v>45651</v>
      </c>
      <c r="B720" t="n">
        <v>2024</v>
      </c>
      <c r="C720" t="inlineStr">
        <is>
          <t>December</t>
        </is>
      </c>
      <c r="D720" t="inlineStr">
        <is>
          <t>Smart Drone</t>
        </is>
      </c>
      <c r="E720" t="inlineStr">
        <is>
          <t>Toys &amp; Games</t>
        </is>
      </c>
      <c r="F720" t="inlineStr">
        <is>
          <t>Olivia Schmidt</t>
        </is>
      </c>
      <c r="G720" t="inlineStr">
        <is>
          <t>United States</t>
        </is>
      </c>
      <c r="H720" t="inlineStr">
        <is>
          <t>Web Store</t>
        </is>
      </c>
      <c r="I720" t="n">
        <v>5</v>
      </c>
      <c r="J720" s="3" t="n">
        <v>1082.2</v>
      </c>
      <c r="K720" s="3" t="n">
        <v>0</v>
      </c>
      <c r="L720" s="3" t="n">
        <v>1082.2</v>
      </c>
      <c r="M720" s="3" t="n">
        <v>634.75</v>
      </c>
      <c r="N720" s="3" t="n">
        <v>447.45</v>
      </c>
      <c r="O720">
        <f>TEXT(A720,"yyyy-mm")</f>
        <v/>
      </c>
    </row>
    <row r="721">
      <c r="A721" s="2" t="n">
        <v>45651</v>
      </c>
      <c r="B721" t="n">
        <v>2024</v>
      </c>
      <c r="C721" t="inlineStr">
        <is>
          <t>December</t>
        </is>
      </c>
      <c r="D721" t="inlineStr">
        <is>
          <t>Compact Pasta</t>
        </is>
      </c>
      <c r="E721" t="inlineStr">
        <is>
          <t>Grocery</t>
        </is>
      </c>
      <c r="F721" t="inlineStr">
        <is>
          <t>Olivia Schmidt</t>
        </is>
      </c>
      <c r="G721" t="inlineStr">
        <is>
          <t>United States</t>
        </is>
      </c>
      <c r="H721" t="inlineStr">
        <is>
          <t>Web Store</t>
        </is>
      </c>
      <c r="I721" t="n">
        <v>3</v>
      </c>
      <c r="J721" s="3" t="n">
        <v>897.36</v>
      </c>
      <c r="K721" s="3" t="n">
        <v>0</v>
      </c>
      <c r="L721" s="3" t="n">
        <v>897.36</v>
      </c>
      <c r="M721" s="3" t="n">
        <v>598.2</v>
      </c>
      <c r="N721" s="3" t="n">
        <v>299.16</v>
      </c>
      <c r="O721">
        <f>TEXT(A721,"yyyy-mm")</f>
        <v/>
      </c>
    </row>
    <row r="722">
      <c r="A722" s="2" t="n">
        <v>45651</v>
      </c>
      <c r="B722" t="n">
        <v>2024</v>
      </c>
      <c r="C722" t="inlineStr">
        <is>
          <t>December</t>
        </is>
      </c>
      <c r="D722" t="inlineStr">
        <is>
          <t>Ultra Rug</t>
        </is>
      </c>
      <c r="E722" t="inlineStr">
        <is>
          <t>Home &amp; Garden</t>
        </is>
      </c>
      <c r="F722" t="inlineStr">
        <is>
          <t>Olivia Schmidt</t>
        </is>
      </c>
      <c r="G722" t="inlineStr">
        <is>
          <t>United States</t>
        </is>
      </c>
      <c r="H722" t="inlineStr">
        <is>
          <t>Web Store</t>
        </is>
      </c>
      <c r="I722" t="n">
        <v>1</v>
      </c>
      <c r="J722" s="3" t="n">
        <v>54.1</v>
      </c>
      <c r="K722" s="3" t="n">
        <v>10.82</v>
      </c>
      <c r="L722" s="3" t="n">
        <v>43.28</v>
      </c>
      <c r="M722" s="3" t="n">
        <v>32.91</v>
      </c>
      <c r="N722" s="3" t="n">
        <v>10.37</v>
      </c>
      <c r="O722">
        <f>TEXT(A722,"yyyy-mm")</f>
        <v/>
      </c>
    </row>
    <row r="723">
      <c r="A723" s="2" t="n">
        <v>45651</v>
      </c>
      <c r="B723" t="n">
        <v>2024</v>
      </c>
      <c r="C723" t="inlineStr">
        <is>
          <t>December</t>
        </is>
      </c>
      <c r="D723" t="inlineStr">
        <is>
          <t>Smart Camera</t>
        </is>
      </c>
      <c r="E723" t="inlineStr">
        <is>
          <t>Electronics</t>
        </is>
      </c>
      <c r="F723" t="inlineStr">
        <is>
          <t>John Wilson</t>
        </is>
      </c>
      <c r="G723" t="inlineStr">
        <is>
          <t>France</t>
        </is>
      </c>
      <c r="H723" t="inlineStr">
        <is>
          <t>Retail Store</t>
        </is>
      </c>
      <c r="I723" t="n">
        <v>1</v>
      </c>
      <c r="J723" s="3" t="n">
        <v>315.43</v>
      </c>
      <c r="K723" s="3" t="n">
        <v>31.54</v>
      </c>
      <c r="L723" s="3" t="n">
        <v>283.89</v>
      </c>
      <c r="M723" s="3" t="n">
        <v>167.4</v>
      </c>
      <c r="N723" s="3" t="n">
        <v>116.49</v>
      </c>
      <c r="O723">
        <f>TEXT(A723,"yyyy-mm")</f>
        <v/>
      </c>
    </row>
    <row r="724">
      <c r="A724" s="2" t="n">
        <v>45651</v>
      </c>
      <c r="B724" t="n">
        <v>2024</v>
      </c>
      <c r="C724" t="inlineStr">
        <is>
          <t>December</t>
        </is>
      </c>
      <c r="D724" t="inlineStr">
        <is>
          <t>Wireless Drone</t>
        </is>
      </c>
      <c r="E724" t="inlineStr">
        <is>
          <t>Toys &amp; Games</t>
        </is>
      </c>
      <c r="F724" t="inlineStr">
        <is>
          <t>Thomas Muller</t>
        </is>
      </c>
      <c r="G724" t="inlineStr">
        <is>
          <t>Italy</t>
        </is>
      </c>
      <c r="H724" t="inlineStr">
        <is>
          <t>Web Store</t>
        </is>
      </c>
      <c r="I724" t="n">
        <v>5</v>
      </c>
      <c r="J724" s="3" t="n">
        <v>1109.6</v>
      </c>
      <c r="K724" s="3" t="n">
        <v>55.48</v>
      </c>
      <c r="L724" s="3" t="n">
        <v>1054.12</v>
      </c>
      <c r="M724" s="3" t="n">
        <v>656.45</v>
      </c>
      <c r="N724" s="3" t="n">
        <v>397.67</v>
      </c>
      <c r="O724">
        <f>TEXT(A724,"yyyy-mm")</f>
        <v/>
      </c>
    </row>
    <row r="725">
      <c r="A725" s="2" t="n">
        <v>45653</v>
      </c>
      <c r="B725" t="n">
        <v>2024</v>
      </c>
      <c r="C725" t="inlineStr">
        <is>
          <t>December</t>
        </is>
      </c>
      <c r="D725" t="inlineStr">
        <is>
          <t>Smart Olive Oil</t>
        </is>
      </c>
      <c r="E725" t="inlineStr">
        <is>
          <t>Grocery</t>
        </is>
      </c>
      <c r="F725" t="inlineStr">
        <is>
          <t>Clara Nowak</t>
        </is>
      </c>
      <c r="G725" t="inlineStr">
        <is>
          <t>Italy</t>
        </is>
      </c>
      <c r="H725" t="inlineStr">
        <is>
          <t>Retail Store</t>
        </is>
      </c>
      <c r="I725" t="n">
        <v>2</v>
      </c>
      <c r="J725" s="3" t="n">
        <v>336.08</v>
      </c>
      <c r="K725" s="3" t="n">
        <v>50.41</v>
      </c>
      <c r="L725" s="3" t="n">
        <v>285.67</v>
      </c>
      <c r="M725" s="3" t="n">
        <v>220.04</v>
      </c>
      <c r="N725" s="3" t="n">
        <v>65.63</v>
      </c>
      <c r="O725">
        <f>TEXT(A725,"yyyy-mm")</f>
        <v/>
      </c>
    </row>
    <row r="726">
      <c r="A726" s="2" t="n">
        <v>45653</v>
      </c>
      <c r="B726" t="n">
        <v>2024</v>
      </c>
      <c r="C726" t="inlineStr">
        <is>
          <t>December</t>
        </is>
      </c>
      <c r="D726" t="inlineStr">
        <is>
          <t>Portable Bike Helmet</t>
        </is>
      </c>
      <c r="E726" t="inlineStr">
        <is>
          <t>Sports &amp; Outdoors</t>
        </is>
      </c>
      <c r="F726" t="inlineStr">
        <is>
          <t>Clara Nowak</t>
        </is>
      </c>
      <c r="G726" t="inlineStr">
        <is>
          <t>Italy</t>
        </is>
      </c>
      <c r="H726" t="inlineStr">
        <is>
          <t>Retail Store</t>
        </is>
      </c>
      <c r="I726" t="n">
        <v>5</v>
      </c>
      <c r="J726" s="3" t="n">
        <v>1479.35</v>
      </c>
      <c r="K726" s="3" t="n">
        <v>0</v>
      </c>
      <c r="L726" s="3" t="n">
        <v>1479.35</v>
      </c>
      <c r="M726" s="3" t="n">
        <v>826.85</v>
      </c>
      <c r="N726" s="3" t="n">
        <v>652.5</v>
      </c>
      <c r="O726">
        <f>TEXT(A726,"yyyy-mm")</f>
        <v/>
      </c>
    </row>
    <row r="727">
      <c r="A727" s="2" t="n">
        <v>45653</v>
      </c>
      <c r="B727" t="n">
        <v>2024</v>
      </c>
      <c r="C727" t="inlineStr">
        <is>
          <t>December</t>
        </is>
      </c>
      <c r="D727" t="inlineStr">
        <is>
          <t>Smart Honey</t>
        </is>
      </c>
      <c r="E727" t="inlineStr">
        <is>
          <t>Grocery</t>
        </is>
      </c>
      <c r="F727" t="inlineStr">
        <is>
          <t>Clara Nowak</t>
        </is>
      </c>
      <c r="G727" t="inlineStr">
        <is>
          <t>Italy</t>
        </is>
      </c>
      <c r="H727" t="inlineStr">
        <is>
          <t>Retail Store</t>
        </is>
      </c>
      <c r="I727" t="n">
        <v>2</v>
      </c>
      <c r="J727" s="3" t="n">
        <v>266.38</v>
      </c>
      <c r="K727" s="3" t="n">
        <v>26.64</v>
      </c>
      <c r="L727" s="3" t="n">
        <v>239.74</v>
      </c>
      <c r="M727" s="3" t="n">
        <v>142.88</v>
      </c>
      <c r="N727" s="3" t="n">
        <v>96.86</v>
      </c>
      <c r="O727">
        <f>TEXT(A727,"yyyy-mm")</f>
        <v/>
      </c>
    </row>
    <row r="728">
      <c r="A728" s="2" t="n">
        <v>45653</v>
      </c>
      <c r="B728" t="n">
        <v>2024</v>
      </c>
      <c r="C728" t="inlineStr">
        <is>
          <t>December</t>
        </is>
      </c>
      <c r="D728" t="inlineStr">
        <is>
          <t>Deluxe Toolset</t>
        </is>
      </c>
      <c r="E728" t="inlineStr">
        <is>
          <t>Home &amp; Garden</t>
        </is>
      </c>
      <c r="F728" t="inlineStr">
        <is>
          <t>Clara Nowak</t>
        </is>
      </c>
      <c r="G728" t="inlineStr">
        <is>
          <t>Italy</t>
        </is>
      </c>
      <c r="H728" t="inlineStr">
        <is>
          <t>Retail Store</t>
        </is>
      </c>
      <c r="I728" t="n">
        <v>2</v>
      </c>
      <c r="J728" s="3" t="n">
        <v>136.3</v>
      </c>
      <c r="K728" s="3" t="n">
        <v>0</v>
      </c>
      <c r="L728" s="3" t="n">
        <v>136.3</v>
      </c>
      <c r="M728" s="3" t="n">
        <v>95.42</v>
      </c>
      <c r="N728" s="3" t="n">
        <v>40.88</v>
      </c>
      <c r="O728">
        <f>TEXT(A728,"yyyy-mm")</f>
        <v/>
      </c>
    </row>
    <row r="729">
      <c r="A729" s="2" t="n">
        <v>45653</v>
      </c>
      <c r="B729" t="n">
        <v>2024</v>
      </c>
      <c r="C729" t="inlineStr">
        <is>
          <t>December</t>
        </is>
      </c>
      <c r="D729" t="inlineStr">
        <is>
          <t>Smart Camera</t>
        </is>
      </c>
      <c r="E729" t="inlineStr">
        <is>
          <t>Electronics</t>
        </is>
      </c>
      <c r="F729" t="inlineStr">
        <is>
          <t>Anna Smith</t>
        </is>
      </c>
      <c r="G729" t="inlineStr">
        <is>
          <t>Germany</t>
        </is>
      </c>
      <c r="H729" t="inlineStr">
        <is>
          <t>Marketplace</t>
        </is>
      </c>
      <c r="I729" t="n">
        <v>1</v>
      </c>
      <c r="J729" s="3" t="n">
        <v>297.08</v>
      </c>
      <c r="K729" s="3" t="n">
        <v>14.85</v>
      </c>
      <c r="L729" s="3" t="n">
        <v>282.23</v>
      </c>
      <c r="M729" s="3" t="n">
        <v>167.4</v>
      </c>
      <c r="N729" s="3" t="n">
        <v>114.83</v>
      </c>
      <c r="O729">
        <f>TEXT(A729,"yyyy-mm")</f>
        <v/>
      </c>
    </row>
    <row r="730">
      <c r="A730" s="2" t="n">
        <v>45653</v>
      </c>
      <c r="B730" t="n">
        <v>2024</v>
      </c>
      <c r="C730" t="inlineStr">
        <is>
          <t>December</t>
        </is>
      </c>
      <c r="D730" t="inlineStr">
        <is>
          <t>Premium Tent</t>
        </is>
      </c>
      <c r="E730" t="inlineStr">
        <is>
          <t>Sports &amp; Outdoors</t>
        </is>
      </c>
      <c r="F730" t="inlineStr">
        <is>
          <t>Anna Smith</t>
        </is>
      </c>
      <c r="G730" t="inlineStr">
        <is>
          <t>Germany</t>
        </is>
      </c>
      <c r="H730" t="inlineStr">
        <is>
          <t>Marketplace</t>
        </is>
      </c>
      <c r="I730" t="n">
        <v>4</v>
      </c>
      <c r="J730" s="3" t="n">
        <v>564.76</v>
      </c>
      <c r="K730" s="3" t="n">
        <v>0</v>
      </c>
      <c r="L730" s="3" t="n">
        <v>564.76</v>
      </c>
      <c r="M730" s="3" t="n">
        <v>385.6</v>
      </c>
      <c r="N730" s="3" t="n">
        <v>179.16</v>
      </c>
      <c r="O730">
        <f>TEXT(A730,"yyyy-mm")</f>
        <v/>
      </c>
    </row>
    <row r="731">
      <c r="A731" s="2" t="n">
        <v>45653</v>
      </c>
      <c r="B731" t="n">
        <v>2024</v>
      </c>
      <c r="C731" t="inlineStr">
        <is>
          <t>December</t>
        </is>
      </c>
      <c r="D731" t="inlineStr">
        <is>
          <t>Premium Water Bottle</t>
        </is>
      </c>
      <c r="E731" t="inlineStr">
        <is>
          <t>Sports &amp; Outdoors</t>
        </is>
      </c>
      <c r="F731" t="inlineStr">
        <is>
          <t>Thomas Kowalski</t>
        </is>
      </c>
      <c r="G731" t="inlineStr">
        <is>
          <t>United Kingdom</t>
        </is>
      </c>
      <c r="H731" t="inlineStr">
        <is>
          <t>Marketplace</t>
        </is>
      </c>
      <c r="I731" t="n">
        <v>3</v>
      </c>
      <c r="J731" s="3" t="n">
        <v>376.23</v>
      </c>
      <c r="K731" s="3" t="n">
        <v>56.43</v>
      </c>
      <c r="L731" s="3" t="n">
        <v>319.8</v>
      </c>
      <c r="M731" s="3" t="n">
        <v>268.86</v>
      </c>
      <c r="N731" s="3" t="n">
        <v>50.94</v>
      </c>
      <c r="O731">
        <f>TEXT(A731,"yyyy-mm")</f>
        <v/>
      </c>
    </row>
    <row r="732">
      <c r="A732" s="2" t="n">
        <v>45653</v>
      </c>
      <c r="B732" t="n">
        <v>2024</v>
      </c>
      <c r="C732" t="inlineStr">
        <is>
          <t>December</t>
        </is>
      </c>
      <c r="D732" t="inlineStr">
        <is>
          <t>Smart Charger</t>
        </is>
      </c>
      <c r="E732" t="inlineStr">
        <is>
          <t>Electronics</t>
        </is>
      </c>
      <c r="F732" t="inlineStr">
        <is>
          <t>Thomas Kowalski</t>
        </is>
      </c>
      <c r="G732" t="inlineStr">
        <is>
          <t>United Kingdom</t>
        </is>
      </c>
      <c r="H732" t="inlineStr">
        <is>
          <t>Marketplace</t>
        </is>
      </c>
      <c r="I732" t="n">
        <v>1</v>
      </c>
      <c r="J732" s="3" t="n">
        <v>247.68</v>
      </c>
      <c r="K732" s="3" t="n">
        <v>12.38</v>
      </c>
      <c r="L732" s="3" t="n">
        <v>235.3</v>
      </c>
      <c r="M732" s="3" t="n">
        <v>142.52</v>
      </c>
      <c r="N732" s="3" t="n">
        <v>92.78</v>
      </c>
      <c r="O732">
        <f>TEXT(A732,"yyyy-mm")</f>
        <v/>
      </c>
    </row>
    <row r="733">
      <c r="A733" s="2" t="n">
        <v>45654</v>
      </c>
      <c r="B733" t="n">
        <v>2024</v>
      </c>
      <c r="C733" t="inlineStr">
        <is>
          <t>December</t>
        </is>
      </c>
      <c r="D733" t="inlineStr">
        <is>
          <t>Essential Notebook</t>
        </is>
      </c>
      <c r="E733" t="inlineStr">
        <is>
          <t>Books</t>
        </is>
      </c>
      <c r="F733" t="inlineStr">
        <is>
          <t>Nina Bianchi</t>
        </is>
      </c>
      <c r="G733" t="inlineStr">
        <is>
          <t>Italy</t>
        </is>
      </c>
      <c r="H733" t="inlineStr">
        <is>
          <t>Web Store</t>
        </is>
      </c>
      <c r="I733" t="n">
        <v>4</v>
      </c>
      <c r="J733" s="3" t="n">
        <v>469.6</v>
      </c>
      <c r="K733" s="3" t="n">
        <v>0</v>
      </c>
      <c r="L733" s="3" t="n">
        <v>469.6</v>
      </c>
      <c r="M733" s="3" t="n">
        <v>316.4</v>
      </c>
      <c r="N733" s="3" t="n">
        <v>153.2</v>
      </c>
      <c r="O733">
        <f>TEXT(A733,"yyyy-mm")</f>
        <v/>
      </c>
    </row>
    <row r="734">
      <c r="A734" s="2" t="n">
        <v>45654</v>
      </c>
      <c r="B734" t="n">
        <v>2024</v>
      </c>
      <c r="C734" t="inlineStr">
        <is>
          <t>December</t>
        </is>
      </c>
      <c r="D734" t="inlineStr">
        <is>
          <t>Classic Tent</t>
        </is>
      </c>
      <c r="E734" t="inlineStr">
        <is>
          <t>Sports &amp; Outdoors</t>
        </is>
      </c>
      <c r="F734" t="inlineStr">
        <is>
          <t>Nina Bianchi</t>
        </is>
      </c>
      <c r="G734" t="inlineStr">
        <is>
          <t>Italy</t>
        </is>
      </c>
      <c r="H734" t="inlineStr">
        <is>
          <t>Web Store</t>
        </is>
      </c>
      <c r="I734" t="n">
        <v>5</v>
      </c>
      <c r="J734" s="3" t="n">
        <v>1042.55</v>
      </c>
      <c r="K734" s="3" t="n">
        <v>156.38</v>
      </c>
      <c r="L734" s="3" t="n">
        <v>886.17</v>
      </c>
      <c r="M734" s="3" t="n">
        <v>590.1</v>
      </c>
      <c r="N734" s="3" t="n">
        <v>296.07</v>
      </c>
      <c r="O734">
        <f>TEXT(A734,"yyyy-mm")</f>
        <v/>
      </c>
    </row>
    <row r="735">
      <c r="A735" s="2" t="n">
        <v>45654</v>
      </c>
      <c r="B735" t="n">
        <v>2024</v>
      </c>
      <c r="C735" t="inlineStr">
        <is>
          <t>December</t>
        </is>
      </c>
      <c r="D735" t="inlineStr">
        <is>
          <t>Smart Camera</t>
        </is>
      </c>
      <c r="E735" t="inlineStr">
        <is>
          <t>Electronics</t>
        </is>
      </c>
      <c r="F735" t="inlineStr">
        <is>
          <t>Nina Lopez</t>
        </is>
      </c>
      <c r="G735" t="inlineStr">
        <is>
          <t>Poland</t>
        </is>
      </c>
      <c r="H735" t="inlineStr">
        <is>
          <t>Mobile App</t>
        </is>
      </c>
      <c r="I735" t="n">
        <v>3</v>
      </c>
      <c r="J735" s="3" t="n">
        <v>967.59</v>
      </c>
      <c r="K735" s="3" t="n">
        <v>0</v>
      </c>
      <c r="L735" s="3" t="n">
        <v>967.59</v>
      </c>
      <c r="M735" s="3" t="n">
        <v>502.2</v>
      </c>
      <c r="N735" s="3" t="n">
        <v>465.39</v>
      </c>
      <c r="O735">
        <f>TEXT(A735,"yyyy-mm")</f>
        <v/>
      </c>
    </row>
    <row r="736">
      <c r="A736" s="2" t="n">
        <v>45654</v>
      </c>
      <c r="B736" t="n">
        <v>2024</v>
      </c>
      <c r="C736" t="inlineStr">
        <is>
          <t>December</t>
        </is>
      </c>
      <c r="D736" t="inlineStr">
        <is>
          <t>Smart Camera</t>
        </is>
      </c>
      <c r="E736" t="inlineStr">
        <is>
          <t>Electronics</t>
        </is>
      </c>
      <c r="F736" t="inlineStr">
        <is>
          <t>Nina Lopez</t>
        </is>
      </c>
      <c r="G736" t="inlineStr">
        <is>
          <t>Poland</t>
        </is>
      </c>
      <c r="H736" t="inlineStr">
        <is>
          <t>Mobile App</t>
        </is>
      </c>
      <c r="I736" t="n">
        <v>1</v>
      </c>
      <c r="J736" s="3" t="n">
        <v>122.33</v>
      </c>
      <c r="K736" s="3" t="n">
        <v>6.12</v>
      </c>
      <c r="L736" s="3" t="n">
        <v>116.21</v>
      </c>
      <c r="M736" s="3" t="n">
        <v>85.58</v>
      </c>
      <c r="N736" s="3" t="n">
        <v>30.63</v>
      </c>
      <c r="O736">
        <f>TEXT(A736,"yyyy-mm")</f>
        <v/>
      </c>
    </row>
    <row r="737">
      <c r="A737" s="2" t="n">
        <v>45654</v>
      </c>
      <c r="B737" t="n">
        <v>2024</v>
      </c>
      <c r="C737" t="inlineStr">
        <is>
          <t>December</t>
        </is>
      </c>
      <c r="D737" t="inlineStr">
        <is>
          <t>Eco Sweater</t>
        </is>
      </c>
      <c r="E737" t="inlineStr">
        <is>
          <t>Clothing</t>
        </is>
      </c>
      <c r="F737" t="inlineStr">
        <is>
          <t>Robert Rossi</t>
        </is>
      </c>
      <c r="G737" t="inlineStr">
        <is>
          <t>Italy</t>
        </is>
      </c>
      <c r="H737" t="inlineStr">
        <is>
          <t>Mobile App</t>
        </is>
      </c>
      <c r="I737" t="n">
        <v>2</v>
      </c>
      <c r="J737" s="3" t="n">
        <v>292.28</v>
      </c>
      <c r="K737" s="3" t="n">
        <v>29.23</v>
      </c>
      <c r="L737" s="3" t="n">
        <v>263.05</v>
      </c>
      <c r="M737" s="3" t="n">
        <v>208.46</v>
      </c>
      <c r="N737" s="3" t="n">
        <v>54.59</v>
      </c>
      <c r="O737">
        <f>TEXT(A737,"yyyy-mm")</f>
        <v/>
      </c>
    </row>
    <row r="738">
      <c r="A738" s="2" t="n">
        <v>45654</v>
      </c>
      <c r="B738" t="n">
        <v>2024</v>
      </c>
      <c r="C738" t="inlineStr">
        <is>
          <t>December</t>
        </is>
      </c>
      <c r="D738" t="inlineStr">
        <is>
          <t>Essential Cushion</t>
        </is>
      </c>
      <c r="E738" t="inlineStr">
        <is>
          <t>Home &amp; Garden</t>
        </is>
      </c>
      <c r="F738" t="inlineStr">
        <is>
          <t>Robert Rossi</t>
        </is>
      </c>
      <c r="G738" t="inlineStr">
        <is>
          <t>Italy</t>
        </is>
      </c>
      <c r="H738" t="inlineStr">
        <is>
          <t>Mobile App</t>
        </is>
      </c>
      <c r="I738" t="n">
        <v>5</v>
      </c>
      <c r="J738" s="3" t="n">
        <v>221.1</v>
      </c>
      <c r="K738" s="3" t="n">
        <v>22.11</v>
      </c>
      <c r="L738" s="3" t="n">
        <v>198.99</v>
      </c>
      <c r="M738" s="3" t="n">
        <v>152.75</v>
      </c>
      <c r="N738" s="3" t="n">
        <v>46.24</v>
      </c>
      <c r="O738">
        <f>TEXT(A738,"yyyy-mm")</f>
        <v/>
      </c>
    </row>
    <row r="739">
      <c r="A739" s="2" t="n">
        <v>45654</v>
      </c>
      <c r="B739" t="n">
        <v>2024</v>
      </c>
      <c r="C739" t="inlineStr">
        <is>
          <t>December</t>
        </is>
      </c>
      <c r="D739" t="inlineStr">
        <is>
          <t>Wireless Honey</t>
        </is>
      </c>
      <c r="E739" t="inlineStr">
        <is>
          <t>Grocery</t>
        </is>
      </c>
      <c r="F739" t="inlineStr">
        <is>
          <t>Nina Lopez</t>
        </is>
      </c>
      <c r="G739" t="inlineStr">
        <is>
          <t>Poland</t>
        </is>
      </c>
      <c r="H739" t="inlineStr">
        <is>
          <t>Mobile App</t>
        </is>
      </c>
      <c r="I739" t="n">
        <v>2</v>
      </c>
      <c r="J739" s="3" t="n">
        <v>260.76</v>
      </c>
      <c r="K739" s="3" t="n">
        <v>26.08</v>
      </c>
      <c r="L739" s="3" t="n">
        <v>234.68</v>
      </c>
      <c r="M739" s="3" t="n">
        <v>188.14</v>
      </c>
      <c r="N739" s="3" t="n">
        <v>46.54</v>
      </c>
      <c r="O739">
        <f>TEXT(A739,"yyyy-mm")</f>
        <v/>
      </c>
    </row>
    <row r="740">
      <c r="A740" s="2" t="n">
        <v>45654</v>
      </c>
      <c r="B740" t="n">
        <v>2024</v>
      </c>
      <c r="C740" t="inlineStr">
        <is>
          <t>December</t>
        </is>
      </c>
      <c r="D740" t="inlineStr">
        <is>
          <t>Ultra Toolset</t>
        </is>
      </c>
      <c r="E740" t="inlineStr">
        <is>
          <t>Home &amp; Garden</t>
        </is>
      </c>
      <c r="F740" t="inlineStr">
        <is>
          <t>Robert Rossi</t>
        </is>
      </c>
      <c r="G740" t="inlineStr">
        <is>
          <t>Italy</t>
        </is>
      </c>
      <c r="H740" t="inlineStr">
        <is>
          <t>Mobile App</t>
        </is>
      </c>
      <c r="I740" t="n">
        <v>3</v>
      </c>
      <c r="J740" s="3" t="n">
        <v>1105.68</v>
      </c>
      <c r="K740" s="3" t="n">
        <v>221.14</v>
      </c>
      <c r="L740" s="3" t="n">
        <v>884.54</v>
      </c>
      <c r="M740" s="3" t="n">
        <v>571.2</v>
      </c>
      <c r="N740" s="3" t="n">
        <v>313.34</v>
      </c>
      <c r="O740">
        <f>TEXT(A740,"yyyy-mm")</f>
        <v/>
      </c>
    </row>
    <row r="741">
      <c r="A741" s="2" t="n">
        <v>45654</v>
      </c>
      <c r="B741" t="n">
        <v>2024</v>
      </c>
      <c r="C741" t="inlineStr">
        <is>
          <t>December</t>
        </is>
      </c>
      <c r="D741" t="inlineStr">
        <is>
          <t>Wireless Coffee Beans</t>
        </is>
      </c>
      <c r="E741" t="inlineStr">
        <is>
          <t>Grocery</t>
        </is>
      </c>
      <c r="F741" t="inlineStr">
        <is>
          <t>Robert Rossi</t>
        </is>
      </c>
      <c r="G741" t="inlineStr">
        <is>
          <t>Italy</t>
        </is>
      </c>
      <c r="H741" t="inlineStr">
        <is>
          <t>Mobile App</t>
        </is>
      </c>
      <c r="I741" t="n">
        <v>1</v>
      </c>
      <c r="J741" s="3" t="n">
        <v>123.34</v>
      </c>
      <c r="K741" s="3" t="n">
        <v>0</v>
      </c>
      <c r="L741" s="3" t="n">
        <v>123.34</v>
      </c>
      <c r="M741" s="3" t="n">
        <v>79.37</v>
      </c>
      <c r="N741" s="3" t="n">
        <v>43.97</v>
      </c>
      <c r="O741">
        <f>TEXT(A741,"yyyy-mm")</f>
        <v/>
      </c>
    </row>
    <row r="742">
      <c r="A742" s="2" t="n">
        <v>45655</v>
      </c>
      <c r="B742" t="n">
        <v>2024</v>
      </c>
      <c r="C742" t="inlineStr">
        <is>
          <t>December</t>
        </is>
      </c>
      <c r="D742" t="inlineStr">
        <is>
          <t>Premium Tent</t>
        </is>
      </c>
      <c r="E742" t="inlineStr">
        <is>
          <t>Sports &amp; Outdoors</t>
        </is>
      </c>
      <c r="F742" t="inlineStr">
        <is>
          <t>Clara Martin</t>
        </is>
      </c>
      <c r="G742" t="inlineStr">
        <is>
          <t>United Kingdom</t>
        </is>
      </c>
      <c r="H742" t="inlineStr">
        <is>
          <t>Web Store</t>
        </is>
      </c>
      <c r="I742" t="n">
        <v>2</v>
      </c>
      <c r="J742" s="3" t="n">
        <v>502.08</v>
      </c>
      <c r="K742" s="3" t="n">
        <v>100.42</v>
      </c>
      <c r="L742" s="3" t="n">
        <v>401.66</v>
      </c>
      <c r="M742" s="3" t="n">
        <v>278.08</v>
      </c>
      <c r="N742" s="3" t="n">
        <v>123.58</v>
      </c>
      <c r="O742">
        <f>TEXT(A742,"yyyy-mm")</f>
        <v/>
      </c>
    </row>
    <row r="743">
      <c r="A743" s="2" t="n">
        <v>45655</v>
      </c>
      <c r="B743" t="n">
        <v>2024</v>
      </c>
      <c r="C743" t="inlineStr">
        <is>
          <t>December</t>
        </is>
      </c>
      <c r="D743" t="inlineStr">
        <is>
          <t>Wireless Honey</t>
        </is>
      </c>
      <c r="E743" t="inlineStr">
        <is>
          <t>Grocery</t>
        </is>
      </c>
      <c r="F743" t="inlineStr">
        <is>
          <t>Clara Martin</t>
        </is>
      </c>
      <c r="G743" t="inlineStr">
        <is>
          <t>United Kingdom</t>
        </is>
      </c>
      <c r="H743" t="inlineStr">
        <is>
          <t>Web Store</t>
        </is>
      </c>
      <c r="I743" t="n">
        <v>3</v>
      </c>
      <c r="J743" s="3" t="n">
        <v>398.13</v>
      </c>
      <c r="K743" s="3" t="n">
        <v>39.81</v>
      </c>
      <c r="L743" s="3" t="n">
        <v>358.32</v>
      </c>
      <c r="M743" s="3" t="n">
        <v>282.21</v>
      </c>
      <c r="N743" s="3" t="n">
        <v>76.11</v>
      </c>
      <c r="O743">
        <f>TEXT(A743,"yyyy-mm")</f>
        <v/>
      </c>
    </row>
    <row r="744">
      <c r="A744" s="2" t="n">
        <v>45655</v>
      </c>
      <c r="B744" t="n">
        <v>2024</v>
      </c>
      <c r="C744" t="inlineStr">
        <is>
          <t>December</t>
        </is>
      </c>
      <c r="D744" t="inlineStr">
        <is>
          <t>Premium Rug</t>
        </is>
      </c>
      <c r="E744" t="inlineStr">
        <is>
          <t>Home &amp; Garden</t>
        </is>
      </c>
      <c r="F744" t="inlineStr">
        <is>
          <t>Clara Schmidt</t>
        </is>
      </c>
      <c r="G744" t="inlineStr">
        <is>
          <t>Spain</t>
        </is>
      </c>
      <c r="H744" t="inlineStr">
        <is>
          <t>Marketplace</t>
        </is>
      </c>
      <c r="I744" t="n">
        <v>3</v>
      </c>
      <c r="J744" s="3" t="n">
        <v>557.9400000000001</v>
      </c>
      <c r="K744" s="3" t="n">
        <v>0</v>
      </c>
      <c r="L744" s="3" t="n">
        <v>557.9400000000001</v>
      </c>
      <c r="M744" s="3" t="n">
        <v>333.57</v>
      </c>
      <c r="N744" s="3" t="n">
        <v>224.37</v>
      </c>
      <c r="O744">
        <f>TEXT(A744,"yyyy-mm")</f>
        <v/>
      </c>
    </row>
    <row r="745">
      <c r="A745" s="2" t="n">
        <v>45655</v>
      </c>
      <c r="B745" t="n">
        <v>2024</v>
      </c>
      <c r="C745" t="inlineStr">
        <is>
          <t>December</t>
        </is>
      </c>
      <c r="D745" t="inlineStr">
        <is>
          <t>Smart Coffee Beans</t>
        </is>
      </c>
      <c r="E745" t="inlineStr">
        <is>
          <t>Grocery</t>
        </is>
      </c>
      <c r="F745" t="inlineStr">
        <is>
          <t>Clara Martin</t>
        </is>
      </c>
      <c r="G745" t="inlineStr">
        <is>
          <t>United Kingdom</t>
        </is>
      </c>
      <c r="H745" t="inlineStr">
        <is>
          <t>Web Store</t>
        </is>
      </c>
      <c r="I745" t="n">
        <v>3</v>
      </c>
      <c r="J745" s="3" t="n">
        <v>343.92</v>
      </c>
      <c r="K745" s="3" t="n">
        <v>51.59</v>
      </c>
      <c r="L745" s="3" t="n">
        <v>292.33</v>
      </c>
      <c r="M745" s="3" t="n">
        <v>218.55</v>
      </c>
      <c r="N745" s="3" t="n">
        <v>73.78</v>
      </c>
      <c r="O745">
        <f>TEXT(A745,"yyyy-mm")</f>
        <v/>
      </c>
    </row>
    <row r="746">
      <c r="A746" s="2" t="n">
        <v>45655</v>
      </c>
      <c r="B746" t="n">
        <v>2024</v>
      </c>
      <c r="C746" t="inlineStr">
        <is>
          <t>December</t>
        </is>
      </c>
      <c r="D746" t="inlineStr">
        <is>
          <t>Premium Tent</t>
        </is>
      </c>
      <c r="E746" t="inlineStr">
        <is>
          <t>Sports &amp; Outdoors</t>
        </is>
      </c>
      <c r="F746" t="inlineStr">
        <is>
          <t>Clara Martin</t>
        </is>
      </c>
      <c r="G746" t="inlineStr">
        <is>
          <t>United Kingdom</t>
        </is>
      </c>
      <c r="H746" t="inlineStr">
        <is>
          <t>Web Store</t>
        </is>
      </c>
      <c r="I746" t="n">
        <v>5</v>
      </c>
      <c r="J746" s="3" t="n">
        <v>679</v>
      </c>
      <c r="K746" s="3" t="n">
        <v>0</v>
      </c>
      <c r="L746" s="3" t="n">
        <v>679</v>
      </c>
      <c r="M746" s="3" t="n">
        <v>482</v>
      </c>
      <c r="N746" s="3" t="n">
        <v>197</v>
      </c>
      <c r="O746">
        <f>TEXT(A746,"yyyy-mm")</f>
        <v/>
      </c>
    </row>
    <row r="747">
      <c r="A747" s="2" t="n">
        <v>45656</v>
      </c>
      <c r="B747" t="n">
        <v>2024</v>
      </c>
      <c r="C747" t="inlineStr">
        <is>
          <t>December</t>
        </is>
      </c>
      <c r="D747" t="inlineStr">
        <is>
          <t>Classic Bike Helmet</t>
        </is>
      </c>
      <c r="E747" t="inlineStr">
        <is>
          <t>Sports &amp; Outdoors</t>
        </is>
      </c>
      <c r="F747" t="inlineStr">
        <is>
          <t>Robert Wojcik</t>
        </is>
      </c>
      <c r="G747" t="inlineStr">
        <is>
          <t>Italy</t>
        </is>
      </c>
      <c r="H747" t="inlineStr">
        <is>
          <t>Mobile App</t>
        </is>
      </c>
      <c r="I747" t="n">
        <v>3</v>
      </c>
      <c r="J747" s="3" t="n">
        <v>674.49</v>
      </c>
      <c r="K747" s="3" t="n">
        <v>0</v>
      </c>
      <c r="L747" s="3" t="n">
        <v>674.49</v>
      </c>
      <c r="M747" s="3" t="n">
        <v>461.43</v>
      </c>
      <c r="N747" s="3" t="n">
        <v>213.06</v>
      </c>
      <c r="O747">
        <f>TEXT(A747,"yyyy-mm")</f>
        <v/>
      </c>
    </row>
    <row r="748">
      <c r="A748" s="2" t="n">
        <v>45656</v>
      </c>
      <c r="B748" t="n">
        <v>2024</v>
      </c>
      <c r="C748" t="inlineStr">
        <is>
          <t>December</t>
        </is>
      </c>
      <c r="D748" t="inlineStr">
        <is>
          <t>Smart Puzzle</t>
        </is>
      </c>
      <c r="E748" t="inlineStr">
        <is>
          <t>Toys &amp; Games</t>
        </is>
      </c>
      <c r="F748" t="inlineStr">
        <is>
          <t>Robert Wojcik</t>
        </is>
      </c>
      <c r="G748" t="inlineStr">
        <is>
          <t>Italy</t>
        </is>
      </c>
      <c r="H748" t="inlineStr">
        <is>
          <t>Mobile App</t>
        </is>
      </c>
      <c r="I748" t="n">
        <v>5</v>
      </c>
      <c r="J748" s="3" t="n">
        <v>1378.35</v>
      </c>
      <c r="K748" s="3" t="n">
        <v>0</v>
      </c>
      <c r="L748" s="3" t="n">
        <v>1378.35</v>
      </c>
      <c r="M748" s="3" t="n">
        <v>963.8</v>
      </c>
      <c r="N748" s="3" t="n">
        <v>414.55</v>
      </c>
      <c r="O748">
        <f>TEXT(A748,"yyyy-mm")</f>
        <v/>
      </c>
    </row>
    <row r="749">
      <c r="A749" s="2" t="n">
        <v>45656</v>
      </c>
      <c r="B749" t="n">
        <v>2024</v>
      </c>
      <c r="C749" t="inlineStr">
        <is>
          <t>December</t>
        </is>
      </c>
      <c r="D749" t="inlineStr">
        <is>
          <t>Smart Drone</t>
        </is>
      </c>
      <c r="E749" t="inlineStr">
        <is>
          <t>Toys &amp; Games</t>
        </is>
      </c>
      <c r="F749" t="inlineStr">
        <is>
          <t>Laura Johnson</t>
        </is>
      </c>
      <c r="G749" t="inlineStr">
        <is>
          <t>Germany</t>
        </is>
      </c>
      <c r="H749" t="inlineStr">
        <is>
          <t>Retail Store</t>
        </is>
      </c>
      <c r="I749" t="n">
        <v>1</v>
      </c>
      <c r="J749" s="3" t="n">
        <v>215.91</v>
      </c>
      <c r="K749" s="3" t="n">
        <v>21.59</v>
      </c>
      <c r="L749" s="3" t="n">
        <v>194.32</v>
      </c>
      <c r="M749" s="3" t="n">
        <v>126.95</v>
      </c>
      <c r="N749" s="3" t="n">
        <v>67.37</v>
      </c>
      <c r="O749">
        <f>TEXT(A749,"yyyy-mm")</f>
        <v/>
      </c>
    </row>
    <row r="750">
      <c r="A750" s="2" t="n">
        <v>45656</v>
      </c>
      <c r="B750" t="n">
        <v>2024</v>
      </c>
      <c r="C750" t="inlineStr">
        <is>
          <t>December</t>
        </is>
      </c>
      <c r="D750" t="inlineStr">
        <is>
          <t>Premium Tent</t>
        </is>
      </c>
      <c r="E750" t="inlineStr">
        <is>
          <t>Sports &amp; Outdoors</t>
        </is>
      </c>
      <c r="F750" t="inlineStr">
        <is>
          <t>Clara Schmidt</t>
        </is>
      </c>
      <c r="G750" t="inlineStr">
        <is>
          <t>United States</t>
        </is>
      </c>
      <c r="H750" t="inlineStr">
        <is>
          <t>Mobile App</t>
        </is>
      </c>
      <c r="I750" t="n">
        <v>2</v>
      </c>
      <c r="J750" s="3" t="n">
        <v>276.96</v>
      </c>
      <c r="K750" s="3" t="n">
        <v>0</v>
      </c>
      <c r="L750" s="3" t="n">
        <v>276.96</v>
      </c>
      <c r="M750" s="3" t="n">
        <v>192.8</v>
      </c>
      <c r="N750" s="3" t="n">
        <v>84.16</v>
      </c>
      <c r="O750">
        <f>TEXT(A750,"yyyy-mm")</f>
        <v/>
      </c>
    </row>
    <row r="751">
      <c r="A751" s="2" t="n">
        <v>45656</v>
      </c>
      <c r="B751" t="n">
        <v>2024</v>
      </c>
      <c r="C751" t="inlineStr">
        <is>
          <t>December</t>
        </is>
      </c>
      <c r="D751" t="inlineStr">
        <is>
          <t>Smart Face Cream</t>
        </is>
      </c>
      <c r="E751" t="inlineStr">
        <is>
          <t>Beauty &amp; Health</t>
        </is>
      </c>
      <c r="F751" t="inlineStr">
        <is>
          <t>Clara Schmidt</t>
        </is>
      </c>
      <c r="G751" t="inlineStr">
        <is>
          <t>United States</t>
        </is>
      </c>
      <c r="H751" t="inlineStr">
        <is>
          <t>Mobile App</t>
        </is>
      </c>
      <c r="I751" t="n">
        <v>1</v>
      </c>
      <c r="J751" s="3" t="n">
        <v>265.06</v>
      </c>
      <c r="K751" s="3" t="n">
        <v>39.76</v>
      </c>
      <c r="L751" s="3" t="n">
        <v>225.3</v>
      </c>
      <c r="M751" s="3" t="n">
        <v>193.14</v>
      </c>
      <c r="N751" s="3" t="n">
        <v>32.16</v>
      </c>
      <c r="O751">
        <f>TEXT(A751,"yyyy-mm")</f>
        <v/>
      </c>
    </row>
    <row r="752">
      <c r="A752" s="2" t="n">
        <v>45656</v>
      </c>
      <c r="B752" t="n">
        <v>2024</v>
      </c>
      <c r="C752" t="inlineStr">
        <is>
          <t>December</t>
        </is>
      </c>
      <c r="D752" t="inlineStr">
        <is>
          <t>Wireless Cookbook</t>
        </is>
      </c>
      <c r="E752" t="inlineStr">
        <is>
          <t>Books</t>
        </is>
      </c>
      <c r="F752" t="inlineStr">
        <is>
          <t>Clara Schmidt</t>
        </is>
      </c>
      <c r="G752" t="inlineStr">
        <is>
          <t>United States</t>
        </is>
      </c>
      <c r="H752" t="inlineStr">
        <is>
          <t>Mobile App</t>
        </is>
      </c>
      <c r="I752" t="n">
        <v>4</v>
      </c>
      <c r="J752" s="3" t="n">
        <v>293.84</v>
      </c>
      <c r="K752" s="3" t="n">
        <v>58.77</v>
      </c>
      <c r="L752" s="3" t="n">
        <v>235.07</v>
      </c>
      <c r="M752" s="3" t="n">
        <v>226.44</v>
      </c>
      <c r="N752" s="3" t="n">
        <v>8.630000000000001</v>
      </c>
      <c r="O752">
        <f>TEXT(A752,"yyyy-mm")</f>
        <v/>
      </c>
    </row>
    <row r="753">
      <c r="A753" s="2" t="n">
        <v>45656</v>
      </c>
      <c r="B753" t="n">
        <v>2024</v>
      </c>
      <c r="C753" t="inlineStr">
        <is>
          <t>December</t>
        </is>
      </c>
      <c r="D753" t="inlineStr">
        <is>
          <t>Smart Charger</t>
        </is>
      </c>
      <c r="E753" t="inlineStr">
        <is>
          <t>Electronics</t>
        </is>
      </c>
      <c r="F753" t="inlineStr">
        <is>
          <t>Clara Schmidt</t>
        </is>
      </c>
      <c r="G753" t="inlineStr">
        <is>
          <t>United States</t>
        </is>
      </c>
      <c r="H753" t="inlineStr">
        <is>
          <t>Mobile App</t>
        </is>
      </c>
      <c r="I753" t="n">
        <v>5</v>
      </c>
      <c r="J753" s="3" t="n">
        <v>195.05</v>
      </c>
      <c r="K753" s="3" t="n">
        <v>9.75</v>
      </c>
      <c r="L753" s="3" t="n">
        <v>185.3</v>
      </c>
      <c r="M753" s="3" t="n">
        <v>138.2</v>
      </c>
      <c r="N753" s="3" t="n">
        <v>47.1</v>
      </c>
      <c r="O753">
        <f>TEXT(A753,"yyyy-mm")</f>
        <v/>
      </c>
    </row>
    <row r="754">
      <c r="A754" s="2" t="n">
        <v>45656</v>
      </c>
      <c r="B754" t="n">
        <v>2024</v>
      </c>
      <c r="C754" t="inlineStr">
        <is>
          <t>December</t>
        </is>
      </c>
      <c r="D754" t="inlineStr">
        <is>
          <t>Essential Rug</t>
        </is>
      </c>
      <c r="E754" t="inlineStr">
        <is>
          <t>Home &amp; Garden</t>
        </is>
      </c>
      <c r="F754" t="inlineStr">
        <is>
          <t>Sophie Schmidt</t>
        </is>
      </c>
      <c r="G754" t="inlineStr">
        <is>
          <t>Germany</t>
        </is>
      </c>
      <c r="H754" t="inlineStr">
        <is>
          <t>Web Store</t>
        </is>
      </c>
      <c r="I754" t="n">
        <v>2</v>
      </c>
      <c r="J754" s="3" t="n">
        <v>279.4</v>
      </c>
      <c r="K754" s="3" t="n">
        <v>0</v>
      </c>
      <c r="L754" s="3" t="n">
        <v>279.4</v>
      </c>
      <c r="M754" s="3" t="n">
        <v>152.66</v>
      </c>
      <c r="N754" s="3" t="n">
        <v>126.74</v>
      </c>
      <c r="O754">
        <f>TEXT(A754,"yyyy-mm")</f>
        <v/>
      </c>
    </row>
    <row r="755">
      <c r="A755" s="2" t="n">
        <v>45656</v>
      </c>
      <c r="B755" t="n">
        <v>2024</v>
      </c>
      <c r="C755" t="inlineStr">
        <is>
          <t>December</t>
        </is>
      </c>
      <c r="D755" t="inlineStr">
        <is>
          <t>Ultra Vitamins</t>
        </is>
      </c>
      <c r="E755" t="inlineStr">
        <is>
          <t>Beauty &amp; Health</t>
        </is>
      </c>
      <c r="F755" t="inlineStr">
        <is>
          <t>Robert Wojcik</t>
        </is>
      </c>
      <c r="G755" t="inlineStr">
        <is>
          <t>Italy</t>
        </is>
      </c>
      <c r="H755" t="inlineStr">
        <is>
          <t>Mobile App</t>
        </is>
      </c>
      <c r="I755" t="n">
        <v>3</v>
      </c>
      <c r="J755" s="3" t="n">
        <v>645.78</v>
      </c>
      <c r="K755" s="3" t="n">
        <v>32.29</v>
      </c>
      <c r="L755" s="3" t="n">
        <v>613.49</v>
      </c>
      <c r="M755" s="3" t="n">
        <v>378.3</v>
      </c>
      <c r="N755" s="3" t="n">
        <v>235.19</v>
      </c>
      <c r="O755">
        <f>TEXT(A755,"yyyy-mm")</f>
        <v/>
      </c>
    </row>
    <row r="756">
      <c r="A756" s="2" t="n">
        <v>45656</v>
      </c>
      <c r="B756" t="n">
        <v>2024</v>
      </c>
      <c r="C756" t="inlineStr">
        <is>
          <t>December</t>
        </is>
      </c>
      <c r="D756" t="inlineStr">
        <is>
          <t>Wireless Coffee Beans</t>
        </is>
      </c>
      <c r="E756" t="inlineStr">
        <is>
          <t>Grocery</t>
        </is>
      </c>
      <c r="F756" t="inlineStr">
        <is>
          <t>John Wilson</t>
        </is>
      </c>
      <c r="G756" t="inlineStr">
        <is>
          <t>France</t>
        </is>
      </c>
      <c r="H756" t="inlineStr">
        <is>
          <t>Retail Store</t>
        </is>
      </c>
      <c r="I756" t="n">
        <v>4</v>
      </c>
      <c r="J756" s="3" t="n">
        <v>479.2</v>
      </c>
      <c r="K756" s="3" t="n">
        <v>47.92</v>
      </c>
      <c r="L756" s="3" t="n">
        <v>431.28</v>
      </c>
      <c r="M756" s="3" t="n">
        <v>317.48</v>
      </c>
      <c r="N756" s="3" t="n">
        <v>113.8</v>
      </c>
      <c r="O756">
        <f>TEXT(A756,"yyyy-mm")</f>
        <v/>
      </c>
    </row>
    <row r="757">
      <c r="A757" s="2" t="n">
        <v>45656</v>
      </c>
      <c r="B757" t="n">
        <v>2024</v>
      </c>
      <c r="C757" t="inlineStr">
        <is>
          <t>December</t>
        </is>
      </c>
      <c r="D757" t="inlineStr">
        <is>
          <t>Ultra Rug</t>
        </is>
      </c>
      <c r="E757" t="inlineStr">
        <is>
          <t>Home &amp; Garden</t>
        </is>
      </c>
      <c r="F757" t="inlineStr">
        <is>
          <t>John Wilson</t>
        </is>
      </c>
      <c r="G757" t="inlineStr">
        <is>
          <t>France</t>
        </is>
      </c>
      <c r="H757" t="inlineStr">
        <is>
          <t>Retail Store</t>
        </is>
      </c>
      <c r="I757" t="n">
        <v>4</v>
      </c>
      <c r="J757" s="3" t="n">
        <v>217.72</v>
      </c>
      <c r="K757" s="3" t="n">
        <v>10.89</v>
      </c>
      <c r="L757" s="3" t="n">
        <v>206.83</v>
      </c>
      <c r="M757" s="3" t="n">
        <v>131.64</v>
      </c>
      <c r="N757" s="3" t="n">
        <v>75.19</v>
      </c>
      <c r="O757">
        <f>TEXT(A757,"yyyy-mm")</f>
        <v/>
      </c>
    </row>
    <row r="758">
      <c r="A758" s="2" t="n">
        <v>45656</v>
      </c>
      <c r="B758" t="n">
        <v>2024</v>
      </c>
      <c r="C758" t="inlineStr">
        <is>
          <t>December</t>
        </is>
      </c>
      <c r="D758" t="inlineStr">
        <is>
          <t>Premium Rug</t>
        </is>
      </c>
      <c r="E758" t="inlineStr">
        <is>
          <t>Home &amp; Garden</t>
        </is>
      </c>
      <c r="F758" t="inlineStr">
        <is>
          <t>Sophie Schmidt</t>
        </is>
      </c>
      <c r="G758" t="inlineStr">
        <is>
          <t>Germany</t>
        </is>
      </c>
      <c r="H758" t="inlineStr">
        <is>
          <t>Web Store</t>
        </is>
      </c>
      <c r="I758" t="n">
        <v>3</v>
      </c>
      <c r="J758" s="3" t="n">
        <v>539.61</v>
      </c>
      <c r="K758" s="3" t="n">
        <v>80.94</v>
      </c>
      <c r="L758" s="3" t="n">
        <v>458.67</v>
      </c>
      <c r="M758" s="3" t="n">
        <v>333.57</v>
      </c>
      <c r="N758" s="3" t="n">
        <v>125.1</v>
      </c>
      <c r="O758">
        <f>TEXT(A758,"yyyy-mm")</f>
        <v/>
      </c>
    </row>
    <row r="759">
      <c r="A759" s="2" t="n">
        <v>45656</v>
      </c>
      <c r="B759" t="n">
        <v>2024</v>
      </c>
      <c r="C759" t="inlineStr">
        <is>
          <t>December</t>
        </is>
      </c>
      <c r="D759" t="inlineStr">
        <is>
          <t>Classic Coffee Beans</t>
        </is>
      </c>
      <c r="E759" t="inlineStr">
        <is>
          <t>Grocery</t>
        </is>
      </c>
      <c r="F759" t="inlineStr">
        <is>
          <t>Sophie Schmidt</t>
        </is>
      </c>
      <c r="G759" t="inlineStr">
        <is>
          <t>Germany</t>
        </is>
      </c>
      <c r="H759" t="inlineStr">
        <is>
          <t>Web Store</t>
        </is>
      </c>
      <c r="I759" t="n">
        <v>1</v>
      </c>
      <c r="J759" s="3" t="n">
        <v>309.68</v>
      </c>
      <c r="K759" s="3" t="n">
        <v>0</v>
      </c>
      <c r="L759" s="3" t="n">
        <v>309.68</v>
      </c>
      <c r="M759" s="3" t="n">
        <v>194.76</v>
      </c>
      <c r="N759" s="3" t="n">
        <v>114.92</v>
      </c>
      <c r="O759">
        <f>TEXT(A759,"yyyy-mm")</f>
        <v/>
      </c>
    </row>
    <row r="760">
      <c r="A760" s="2" t="n">
        <v>45656</v>
      </c>
      <c r="B760" t="n">
        <v>2024</v>
      </c>
      <c r="C760" t="inlineStr">
        <is>
          <t>December</t>
        </is>
      </c>
      <c r="D760" t="inlineStr">
        <is>
          <t>Premium Tent</t>
        </is>
      </c>
      <c r="E760" t="inlineStr">
        <is>
          <t>Sports &amp; Outdoors</t>
        </is>
      </c>
      <c r="F760" t="inlineStr">
        <is>
          <t>Sophie Schmidt</t>
        </is>
      </c>
      <c r="G760" t="inlineStr">
        <is>
          <t>Germany</t>
        </is>
      </c>
      <c r="H760" t="inlineStr">
        <is>
          <t>Web Store</t>
        </is>
      </c>
      <c r="I760" t="n">
        <v>4</v>
      </c>
      <c r="J760" s="3" t="n">
        <v>1034.2</v>
      </c>
      <c r="K760" s="3" t="n">
        <v>103.42</v>
      </c>
      <c r="L760" s="3" t="n">
        <v>930.78</v>
      </c>
      <c r="M760" s="3" t="n">
        <v>556.16</v>
      </c>
      <c r="N760" s="3" t="n">
        <v>374.62</v>
      </c>
      <c r="O760">
        <f>TEXT(A760,"yyyy-mm")</f>
        <v/>
      </c>
    </row>
    <row r="761">
      <c r="A761" s="2" t="n">
        <v>45657</v>
      </c>
      <c r="B761" t="n">
        <v>2024</v>
      </c>
      <c r="C761" t="inlineStr">
        <is>
          <t>December</t>
        </is>
      </c>
      <c r="D761" t="inlineStr">
        <is>
          <t>Classic Coffee Beans</t>
        </is>
      </c>
      <c r="E761" t="inlineStr">
        <is>
          <t>Grocery</t>
        </is>
      </c>
      <c r="F761" t="inlineStr">
        <is>
          <t>Clara Smith</t>
        </is>
      </c>
      <c r="G761" t="inlineStr">
        <is>
          <t>United States</t>
        </is>
      </c>
      <c r="H761" t="inlineStr">
        <is>
          <t>Marketplace</t>
        </is>
      </c>
      <c r="I761" t="n">
        <v>5</v>
      </c>
      <c r="J761" s="3" t="n">
        <v>1664.75</v>
      </c>
      <c r="K761" s="3" t="n">
        <v>0</v>
      </c>
      <c r="L761" s="3" t="n">
        <v>1664.75</v>
      </c>
      <c r="M761" s="3" t="n">
        <v>973.8</v>
      </c>
      <c r="N761" s="3" t="n">
        <v>690.95</v>
      </c>
      <c r="O761">
        <f>TEXT(A761,"yyyy-mm")</f>
        <v/>
      </c>
    </row>
    <row r="762">
      <c r="A762" s="2" t="n">
        <v>45657</v>
      </c>
      <c r="B762" t="n">
        <v>2024</v>
      </c>
      <c r="C762" t="inlineStr">
        <is>
          <t>December</t>
        </is>
      </c>
      <c r="D762" t="inlineStr">
        <is>
          <t>Smart Honey</t>
        </is>
      </c>
      <c r="E762" t="inlineStr">
        <is>
          <t>Grocery</t>
        </is>
      </c>
      <c r="F762" t="inlineStr">
        <is>
          <t>Clara Smith</t>
        </is>
      </c>
      <c r="G762" t="inlineStr">
        <is>
          <t>United States</t>
        </is>
      </c>
      <c r="H762" t="inlineStr">
        <is>
          <t>Marketplace</t>
        </is>
      </c>
      <c r="I762" t="n">
        <v>4</v>
      </c>
      <c r="J762" s="3" t="n">
        <v>536.92</v>
      </c>
      <c r="K762" s="3" t="n">
        <v>26.85</v>
      </c>
      <c r="L762" s="3" t="n">
        <v>510.07</v>
      </c>
      <c r="M762" s="3" t="n">
        <v>285.76</v>
      </c>
      <c r="N762" s="3" t="n">
        <v>224.31</v>
      </c>
      <c r="O762">
        <f>TEXT(A762,"yyyy-mm")</f>
        <v/>
      </c>
    </row>
    <row r="763">
      <c r="A763" s="2" t="n">
        <v>45658</v>
      </c>
      <c r="B763" t="n">
        <v>2025</v>
      </c>
      <c r="C763" t="inlineStr">
        <is>
          <t>January</t>
        </is>
      </c>
      <c r="D763" t="inlineStr">
        <is>
          <t>Classic Tea Set</t>
        </is>
      </c>
      <c r="E763" t="inlineStr">
        <is>
          <t>Grocery</t>
        </is>
      </c>
      <c r="F763" t="inlineStr">
        <is>
          <t>Robert Brown</t>
        </is>
      </c>
      <c r="G763" t="inlineStr">
        <is>
          <t>United Kingdom</t>
        </is>
      </c>
      <c r="H763" t="inlineStr">
        <is>
          <t>Retail Store</t>
        </is>
      </c>
      <c r="I763" t="n">
        <v>3</v>
      </c>
      <c r="J763" s="3" t="n">
        <v>551.67</v>
      </c>
      <c r="K763" s="3" t="n">
        <v>0</v>
      </c>
      <c r="L763" s="3" t="n">
        <v>551.67</v>
      </c>
      <c r="M763" s="3" t="n">
        <v>376.2</v>
      </c>
      <c r="N763" s="3" t="n">
        <v>175.47</v>
      </c>
      <c r="O763">
        <f>TEXT(A763,"yyyy-mm")</f>
        <v/>
      </c>
    </row>
    <row r="764">
      <c r="A764" s="2" t="n">
        <v>45660</v>
      </c>
      <c r="B764" t="n">
        <v>2025</v>
      </c>
      <c r="C764" t="inlineStr">
        <is>
          <t>January</t>
        </is>
      </c>
      <c r="D764" t="inlineStr">
        <is>
          <t>Eco Tent</t>
        </is>
      </c>
      <c r="E764" t="inlineStr">
        <is>
          <t>Sports &amp; Outdoors</t>
        </is>
      </c>
      <c r="F764" t="inlineStr">
        <is>
          <t>Clara Smith</t>
        </is>
      </c>
      <c r="G764" t="inlineStr">
        <is>
          <t>United States</t>
        </is>
      </c>
      <c r="H764" t="inlineStr">
        <is>
          <t>Retail Store</t>
        </is>
      </c>
      <c r="I764" t="n">
        <v>4</v>
      </c>
      <c r="J764" s="3" t="n">
        <v>944.6</v>
      </c>
      <c r="K764" s="3" t="n">
        <v>0</v>
      </c>
      <c r="L764" s="3" t="n">
        <v>944.6</v>
      </c>
      <c r="M764" s="3" t="n">
        <v>540.12</v>
      </c>
      <c r="N764" s="3" t="n">
        <v>404.48</v>
      </c>
      <c r="O764">
        <f>TEXT(A764,"yyyy-mm")</f>
        <v/>
      </c>
    </row>
    <row r="765">
      <c r="A765" s="2" t="n">
        <v>45660</v>
      </c>
      <c r="B765" t="n">
        <v>2025</v>
      </c>
      <c r="C765" t="inlineStr">
        <is>
          <t>January</t>
        </is>
      </c>
      <c r="D765" t="inlineStr">
        <is>
          <t>Portable Pasta</t>
        </is>
      </c>
      <c r="E765" t="inlineStr">
        <is>
          <t>Grocery</t>
        </is>
      </c>
      <c r="F765" t="inlineStr">
        <is>
          <t>Clara Smith</t>
        </is>
      </c>
      <c r="G765" t="inlineStr">
        <is>
          <t>United States</t>
        </is>
      </c>
      <c r="H765" t="inlineStr">
        <is>
          <t>Retail Store</t>
        </is>
      </c>
      <c r="I765" t="n">
        <v>3</v>
      </c>
      <c r="J765" s="3" t="n">
        <v>113.88</v>
      </c>
      <c r="K765" s="3" t="n">
        <v>5.69</v>
      </c>
      <c r="L765" s="3" t="n">
        <v>108.19</v>
      </c>
      <c r="M765" s="3" t="n">
        <v>83.25</v>
      </c>
      <c r="N765" s="3" t="n">
        <v>24.94</v>
      </c>
      <c r="O765">
        <f>TEXT(A765,"yyyy-mm")</f>
        <v/>
      </c>
    </row>
    <row r="766">
      <c r="A766" s="2" t="n">
        <v>45660</v>
      </c>
      <c r="B766" t="n">
        <v>2025</v>
      </c>
      <c r="C766" t="inlineStr">
        <is>
          <t>January</t>
        </is>
      </c>
      <c r="D766" t="inlineStr">
        <is>
          <t>Wireless Honey</t>
        </is>
      </c>
      <c r="E766" t="inlineStr">
        <is>
          <t>Grocery</t>
        </is>
      </c>
      <c r="F766" t="inlineStr">
        <is>
          <t>Nina Weber</t>
        </is>
      </c>
      <c r="G766" t="inlineStr">
        <is>
          <t>Italy</t>
        </is>
      </c>
      <c r="H766" t="inlineStr">
        <is>
          <t>Mobile App</t>
        </is>
      </c>
      <c r="I766" t="n">
        <v>1</v>
      </c>
      <c r="J766" s="3" t="n">
        <v>127.31</v>
      </c>
      <c r="K766" s="3" t="n">
        <v>0</v>
      </c>
      <c r="L766" s="3" t="n">
        <v>127.31</v>
      </c>
      <c r="M766" s="3" t="n">
        <v>94.06999999999999</v>
      </c>
      <c r="N766" s="3" t="n">
        <v>33.24</v>
      </c>
      <c r="O766">
        <f>TEXT(A766,"yyyy-mm")</f>
        <v/>
      </c>
    </row>
    <row r="767">
      <c r="A767" s="2" t="n">
        <v>45660</v>
      </c>
      <c r="B767" t="n">
        <v>2025</v>
      </c>
      <c r="C767" t="inlineStr">
        <is>
          <t>January</t>
        </is>
      </c>
      <c r="D767" t="inlineStr">
        <is>
          <t>Portable Bike Helmet</t>
        </is>
      </c>
      <c r="E767" t="inlineStr">
        <is>
          <t>Sports &amp; Outdoors</t>
        </is>
      </c>
      <c r="F767" t="inlineStr">
        <is>
          <t>Nina Weber</t>
        </is>
      </c>
      <c r="G767" t="inlineStr">
        <is>
          <t>Italy</t>
        </is>
      </c>
      <c r="H767" t="inlineStr">
        <is>
          <t>Mobile App</t>
        </is>
      </c>
      <c r="I767" t="n">
        <v>3</v>
      </c>
      <c r="J767" s="3" t="n">
        <v>919.08</v>
      </c>
      <c r="K767" s="3" t="n">
        <v>0</v>
      </c>
      <c r="L767" s="3" t="n">
        <v>919.08</v>
      </c>
      <c r="M767" s="3" t="n">
        <v>496.11</v>
      </c>
      <c r="N767" s="3" t="n">
        <v>422.97</v>
      </c>
      <c r="O767">
        <f>TEXT(A767,"yyyy-mm")</f>
        <v/>
      </c>
    </row>
    <row r="768">
      <c r="A768" s="2" t="n">
        <v>45660</v>
      </c>
      <c r="B768" t="n">
        <v>2025</v>
      </c>
      <c r="C768" t="inlineStr">
        <is>
          <t>January</t>
        </is>
      </c>
      <c r="D768" t="inlineStr">
        <is>
          <t>Compact Pasta</t>
        </is>
      </c>
      <c r="E768" t="inlineStr">
        <is>
          <t>Grocery</t>
        </is>
      </c>
      <c r="F768" t="inlineStr">
        <is>
          <t>Clara Smith</t>
        </is>
      </c>
      <c r="G768" t="inlineStr">
        <is>
          <t>United States</t>
        </is>
      </c>
      <c r="H768" t="inlineStr">
        <is>
          <t>Retail Store</t>
        </is>
      </c>
      <c r="I768" t="n">
        <v>3</v>
      </c>
      <c r="J768" s="3" t="n">
        <v>943.14</v>
      </c>
      <c r="K768" s="3" t="n">
        <v>0</v>
      </c>
      <c r="L768" s="3" t="n">
        <v>943.14</v>
      </c>
      <c r="M768" s="3" t="n">
        <v>598.2</v>
      </c>
      <c r="N768" s="3" t="n">
        <v>344.94</v>
      </c>
      <c r="O768">
        <f>TEXT(A768,"yyyy-mm")</f>
        <v/>
      </c>
    </row>
    <row r="769">
      <c r="A769" s="2" t="n">
        <v>45660</v>
      </c>
      <c r="B769" t="n">
        <v>2025</v>
      </c>
      <c r="C769" t="inlineStr">
        <is>
          <t>January</t>
        </is>
      </c>
      <c r="D769" t="inlineStr">
        <is>
          <t>Classic Charger</t>
        </is>
      </c>
      <c r="E769" t="inlineStr">
        <is>
          <t>Electronics</t>
        </is>
      </c>
      <c r="F769" t="inlineStr">
        <is>
          <t>Nina Weber</t>
        </is>
      </c>
      <c r="G769" t="inlineStr">
        <is>
          <t>Italy</t>
        </is>
      </c>
      <c r="H769" t="inlineStr">
        <is>
          <t>Mobile App</t>
        </is>
      </c>
      <c r="I769" t="n">
        <v>5</v>
      </c>
      <c r="J769" s="3" t="n">
        <v>497.2</v>
      </c>
      <c r="K769" s="3" t="n">
        <v>49.72</v>
      </c>
      <c r="L769" s="3" t="n">
        <v>447.48</v>
      </c>
      <c r="M769" s="3" t="n">
        <v>311.05</v>
      </c>
      <c r="N769" s="3" t="n">
        <v>136.43</v>
      </c>
      <c r="O769">
        <f>TEXT(A769,"yyyy-mm")</f>
        <v/>
      </c>
    </row>
    <row r="770">
      <c r="A770" s="2" t="n">
        <v>45660</v>
      </c>
      <c r="B770" t="n">
        <v>2025</v>
      </c>
      <c r="C770" t="inlineStr">
        <is>
          <t>January</t>
        </is>
      </c>
      <c r="D770" t="inlineStr">
        <is>
          <t>Essential Charger</t>
        </is>
      </c>
      <c r="E770" t="inlineStr">
        <is>
          <t>Electronics</t>
        </is>
      </c>
      <c r="F770" t="inlineStr">
        <is>
          <t>Nina Weber</t>
        </is>
      </c>
      <c r="G770" t="inlineStr">
        <is>
          <t>Italy</t>
        </is>
      </c>
      <c r="H770" t="inlineStr">
        <is>
          <t>Mobile App</t>
        </is>
      </c>
      <c r="I770" t="n">
        <v>5</v>
      </c>
      <c r="J770" s="3" t="n">
        <v>214.1</v>
      </c>
      <c r="K770" s="3" t="n">
        <v>42.82</v>
      </c>
      <c r="L770" s="3" t="n">
        <v>171.28</v>
      </c>
      <c r="M770" s="3" t="n">
        <v>145.5</v>
      </c>
      <c r="N770" s="3" t="n">
        <v>25.78</v>
      </c>
      <c r="O770">
        <f>TEXT(A770,"yyyy-mm")</f>
        <v/>
      </c>
    </row>
    <row r="771">
      <c r="A771" s="2" t="n">
        <v>45660</v>
      </c>
      <c r="B771" t="n">
        <v>2025</v>
      </c>
      <c r="C771" t="inlineStr">
        <is>
          <t>January</t>
        </is>
      </c>
      <c r="D771" t="inlineStr">
        <is>
          <t>Smart Camera</t>
        </is>
      </c>
      <c r="E771" t="inlineStr">
        <is>
          <t>Electronics</t>
        </is>
      </c>
      <c r="F771" t="inlineStr">
        <is>
          <t>David Dubois</t>
        </is>
      </c>
      <c r="G771" t="inlineStr">
        <is>
          <t>United Kingdom</t>
        </is>
      </c>
      <c r="H771" t="inlineStr">
        <is>
          <t>Web Store</t>
        </is>
      </c>
      <c r="I771" t="n">
        <v>1</v>
      </c>
      <c r="J771" s="3" t="n">
        <v>305.48</v>
      </c>
      <c r="K771" s="3" t="n">
        <v>0</v>
      </c>
      <c r="L771" s="3" t="n">
        <v>305.48</v>
      </c>
      <c r="M771" s="3" t="n">
        <v>167.4</v>
      </c>
      <c r="N771" s="3" t="n">
        <v>138.08</v>
      </c>
      <c r="O771">
        <f>TEXT(A771,"yyyy-mm")</f>
        <v/>
      </c>
    </row>
    <row r="772">
      <c r="A772" s="2" t="n">
        <v>45660</v>
      </c>
      <c r="B772" t="n">
        <v>2025</v>
      </c>
      <c r="C772" t="inlineStr">
        <is>
          <t>January</t>
        </is>
      </c>
      <c r="D772" t="inlineStr">
        <is>
          <t>Deluxe Puzzle</t>
        </is>
      </c>
      <c r="E772" t="inlineStr">
        <is>
          <t>Toys &amp; Games</t>
        </is>
      </c>
      <c r="F772" t="inlineStr">
        <is>
          <t>David Dubois</t>
        </is>
      </c>
      <c r="G772" t="inlineStr">
        <is>
          <t>United Kingdom</t>
        </is>
      </c>
      <c r="H772" t="inlineStr">
        <is>
          <t>Web Store</t>
        </is>
      </c>
      <c r="I772" t="n">
        <v>4</v>
      </c>
      <c r="J772" s="3" t="n">
        <v>831.76</v>
      </c>
      <c r="K772" s="3" t="n">
        <v>83.18000000000001</v>
      </c>
      <c r="L772" s="3" t="n">
        <v>748.58</v>
      </c>
      <c r="M772" s="3" t="n">
        <v>444.68</v>
      </c>
      <c r="N772" s="3" t="n">
        <v>303.9</v>
      </c>
      <c r="O772">
        <f>TEXT(A772,"yyyy-mm")</f>
        <v/>
      </c>
    </row>
    <row r="773">
      <c r="A773" s="2" t="n">
        <v>45660</v>
      </c>
      <c r="B773" t="n">
        <v>2025</v>
      </c>
      <c r="C773" t="inlineStr">
        <is>
          <t>January</t>
        </is>
      </c>
      <c r="D773" t="inlineStr">
        <is>
          <t>Classic Tent</t>
        </is>
      </c>
      <c r="E773" t="inlineStr">
        <is>
          <t>Sports &amp; Outdoors</t>
        </is>
      </c>
      <c r="F773" t="inlineStr">
        <is>
          <t>David Dubois</t>
        </is>
      </c>
      <c r="G773" t="inlineStr">
        <is>
          <t>United Kingdom</t>
        </is>
      </c>
      <c r="H773" t="inlineStr">
        <is>
          <t>Web Store</t>
        </is>
      </c>
      <c r="I773" t="n">
        <v>1</v>
      </c>
      <c r="J773" s="3" t="n">
        <v>200.08</v>
      </c>
      <c r="K773" s="3" t="n">
        <v>30.01</v>
      </c>
      <c r="L773" s="3" t="n">
        <v>170.07</v>
      </c>
      <c r="M773" s="3" t="n">
        <v>118.02</v>
      </c>
      <c r="N773" s="3" t="n">
        <v>52.05</v>
      </c>
      <c r="O773">
        <f>TEXT(A773,"yyyy-mm")</f>
        <v/>
      </c>
    </row>
    <row r="774">
      <c r="A774" s="2" t="n">
        <v>45660</v>
      </c>
      <c r="B774" t="n">
        <v>2025</v>
      </c>
      <c r="C774" t="inlineStr">
        <is>
          <t>January</t>
        </is>
      </c>
      <c r="D774" t="inlineStr">
        <is>
          <t>Eco Drone</t>
        </is>
      </c>
      <c r="E774" t="inlineStr">
        <is>
          <t>Toys &amp; Games</t>
        </is>
      </c>
      <c r="F774" t="inlineStr">
        <is>
          <t>Clara Smith</t>
        </is>
      </c>
      <c r="G774" t="inlineStr">
        <is>
          <t>United States</t>
        </is>
      </c>
      <c r="H774" t="inlineStr">
        <is>
          <t>Retail Store</t>
        </is>
      </c>
      <c r="I774" t="n">
        <v>5</v>
      </c>
      <c r="J774" s="3" t="n">
        <v>1016.8</v>
      </c>
      <c r="K774" s="3" t="n">
        <v>152.52</v>
      </c>
      <c r="L774" s="3" t="n">
        <v>864.28</v>
      </c>
      <c r="M774" s="3" t="n">
        <v>647.95</v>
      </c>
      <c r="N774" s="3" t="n">
        <v>216.33</v>
      </c>
      <c r="O774">
        <f>TEXT(A774,"yyyy-mm")</f>
        <v/>
      </c>
    </row>
    <row r="775">
      <c r="A775" s="2" t="n">
        <v>45661</v>
      </c>
      <c r="B775" t="n">
        <v>2025</v>
      </c>
      <c r="C775" t="inlineStr">
        <is>
          <t>January</t>
        </is>
      </c>
      <c r="D775" t="inlineStr">
        <is>
          <t>Compact Biography</t>
        </is>
      </c>
      <c r="E775" t="inlineStr">
        <is>
          <t>Books</t>
        </is>
      </c>
      <c r="F775" t="inlineStr">
        <is>
          <t>Peter Schmidt</t>
        </is>
      </c>
      <c r="G775" t="inlineStr">
        <is>
          <t>United Kingdom</t>
        </is>
      </c>
      <c r="H775" t="inlineStr">
        <is>
          <t>Web Store</t>
        </is>
      </c>
      <c r="I775" t="n">
        <v>5</v>
      </c>
      <c r="J775" s="3" t="n">
        <v>1356.6</v>
      </c>
      <c r="K775" s="3" t="n">
        <v>203.49</v>
      </c>
      <c r="L775" s="3" t="n">
        <v>1153.11</v>
      </c>
      <c r="M775" s="3" t="n">
        <v>701.65</v>
      </c>
      <c r="N775" s="3" t="n">
        <v>451.46</v>
      </c>
      <c r="O775">
        <f>TEXT(A775,"yyyy-mm")</f>
        <v/>
      </c>
    </row>
    <row r="776">
      <c r="A776" s="2" t="n">
        <v>45661</v>
      </c>
      <c r="B776" t="n">
        <v>2025</v>
      </c>
      <c r="C776" t="inlineStr">
        <is>
          <t>January</t>
        </is>
      </c>
      <c r="D776" t="inlineStr">
        <is>
          <t>Smart Drone</t>
        </is>
      </c>
      <c r="E776" t="inlineStr">
        <is>
          <t>Toys &amp; Games</t>
        </is>
      </c>
      <c r="F776" t="inlineStr">
        <is>
          <t>Peter Schmidt</t>
        </is>
      </c>
      <c r="G776" t="inlineStr">
        <is>
          <t>United Kingdom</t>
        </is>
      </c>
      <c r="H776" t="inlineStr">
        <is>
          <t>Web Store</t>
        </is>
      </c>
      <c r="I776" t="n">
        <v>3</v>
      </c>
      <c r="J776" s="3" t="n">
        <v>673.47</v>
      </c>
      <c r="K776" s="3" t="n">
        <v>134.69</v>
      </c>
      <c r="L776" s="3" t="n">
        <v>538.78</v>
      </c>
      <c r="M776" s="3" t="n">
        <v>380.85</v>
      </c>
      <c r="N776" s="3" t="n">
        <v>157.93</v>
      </c>
      <c r="O776">
        <f>TEXT(A776,"yyyy-mm")</f>
        <v/>
      </c>
    </row>
    <row r="777">
      <c r="A777" s="2" t="n">
        <v>45661</v>
      </c>
      <c r="B777" t="n">
        <v>2025</v>
      </c>
      <c r="C777" t="inlineStr">
        <is>
          <t>January</t>
        </is>
      </c>
      <c r="D777" t="inlineStr">
        <is>
          <t>Portable Notebook</t>
        </is>
      </c>
      <c r="E777" t="inlineStr">
        <is>
          <t>Books</t>
        </is>
      </c>
      <c r="F777" t="inlineStr">
        <is>
          <t>Peter Schmidt</t>
        </is>
      </c>
      <c r="G777" t="inlineStr">
        <is>
          <t>United Kingdom</t>
        </is>
      </c>
      <c r="H777" t="inlineStr">
        <is>
          <t>Web Store</t>
        </is>
      </c>
      <c r="I777" t="n">
        <v>1</v>
      </c>
      <c r="J777" s="3" t="n">
        <v>121.69</v>
      </c>
      <c r="K777" s="3" t="n">
        <v>0</v>
      </c>
      <c r="L777" s="3" t="n">
        <v>121.69</v>
      </c>
      <c r="M777" s="3" t="n">
        <v>71.28</v>
      </c>
      <c r="N777" s="3" t="n">
        <v>50.41</v>
      </c>
      <c r="O777">
        <f>TEXT(A777,"yyyy-mm")</f>
        <v/>
      </c>
    </row>
    <row r="778">
      <c r="A778" s="2" t="n">
        <v>45662</v>
      </c>
      <c r="B778" t="n">
        <v>2025</v>
      </c>
      <c r="C778" t="inlineStr">
        <is>
          <t>January</t>
        </is>
      </c>
      <c r="D778" t="inlineStr">
        <is>
          <t>Compact Jacket</t>
        </is>
      </c>
      <c r="E778" t="inlineStr">
        <is>
          <t>Clothing</t>
        </is>
      </c>
      <c r="F778" t="inlineStr">
        <is>
          <t>David Nowak</t>
        </is>
      </c>
      <c r="G778" t="inlineStr">
        <is>
          <t>Spain</t>
        </is>
      </c>
      <c r="H778" t="inlineStr">
        <is>
          <t>Web Store</t>
        </is>
      </c>
      <c r="I778" t="n">
        <v>5</v>
      </c>
      <c r="J778" s="3" t="n">
        <v>194</v>
      </c>
      <c r="K778" s="3" t="n">
        <v>0</v>
      </c>
      <c r="L778" s="3" t="n">
        <v>194</v>
      </c>
      <c r="M778" s="3" t="n">
        <v>102</v>
      </c>
      <c r="N778" s="3" t="n">
        <v>92</v>
      </c>
      <c r="O778">
        <f>TEXT(A778,"yyyy-mm")</f>
        <v/>
      </c>
    </row>
    <row r="779">
      <c r="A779" s="2" t="n">
        <v>45662</v>
      </c>
      <c r="B779" t="n">
        <v>2025</v>
      </c>
      <c r="C779" t="inlineStr">
        <is>
          <t>January</t>
        </is>
      </c>
      <c r="D779" t="inlineStr">
        <is>
          <t>Classic Sunscreen</t>
        </is>
      </c>
      <c r="E779" t="inlineStr">
        <is>
          <t>Beauty &amp; Health</t>
        </is>
      </c>
      <c r="F779" t="inlineStr">
        <is>
          <t>David Nowak</t>
        </is>
      </c>
      <c r="G779" t="inlineStr">
        <is>
          <t>Spain</t>
        </is>
      </c>
      <c r="H779" t="inlineStr">
        <is>
          <t>Web Store</t>
        </is>
      </c>
      <c r="I779" t="n">
        <v>2</v>
      </c>
      <c r="J779" s="3" t="n">
        <v>284.48</v>
      </c>
      <c r="K779" s="3" t="n">
        <v>42.67</v>
      </c>
      <c r="L779" s="3" t="n">
        <v>241.81</v>
      </c>
      <c r="M779" s="3" t="n">
        <v>187.38</v>
      </c>
      <c r="N779" s="3" t="n">
        <v>54.43</v>
      </c>
      <c r="O779">
        <f>TEXT(A779,"yyyy-mm")</f>
        <v/>
      </c>
    </row>
    <row r="780">
      <c r="A780" s="2" t="n">
        <v>45662</v>
      </c>
      <c r="B780" t="n">
        <v>2025</v>
      </c>
      <c r="C780" t="inlineStr">
        <is>
          <t>January</t>
        </is>
      </c>
      <c r="D780" t="inlineStr">
        <is>
          <t>Classic Tea Set</t>
        </is>
      </c>
      <c r="E780" t="inlineStr">
        <is>
          <t>Grocery</t>
        </is>
      </c>
      <c r="F780" t="inlineStr">
        <is>
          <t>David Nowak</t>
        </is>
      </c>
      <c r="G780" t="inlineStr">
        <is>
          <t>Spain</t>
        </is>
      </c>
      <c r="H780" t="inlineStr">
        <is>
          <t>Web Store</t>
        </is>
      </c>
      <c r="I780" t="n">
        <v>2</v>
      </c>
      <c r="J780" s="3" t="n">
        <v>348.1</v>
      </c>
      <c r="K780" s="3" t="n">
        <v>69.62</v>
      </c>
      <c r="L780" s="3" t="n">
        <v>278.48</v>
      </c>
      <c r="M780" s="3" t="n">
        <v>250.8</v>
      </c>
      <c r="N780" s="3" t="n">
        <v>27.68</v>
      </c>
      <c r="O780">
        <f>TEXT(A780,"yyyy-mm")</f>
        <v/>
      </c>
    </row>
    <row r="781">
      <c r="A781" s="2" t="n">
        <v>45663</v>
      </c>
      <c r="B781" t="n">
        <v>2025</v>
      </c>
      <c r="C781" t="inlineStr">
        <is>
          <t>January</t>
        </is>
      </c>
      <c r="D781" t="inlineStr">
        <is>
          <t>Ultra Vitamins</t>
        </is>
      </c>
      <c r="E781" t="inlineStr">
        <is>
          <t>Beauty &amp; Health</t>
        </is>
      </c>
      <c r="F781" t="inlineStr">
        <is>
          <t>Clara Garcia</t>
        </is>
      </c>
      <c r="G781" t="inlineStr">
        <is>
          <t>France</t>
        </is>
      </c>
      <c r="H781" t="inlineStr">
        <is>
          <t>Retail Store</t>
        </is>
      </c>
      <c r="I781" t="n">
        <v>4</v>
      </c>
      <c r="J781" s="3" t="n">
        <v>870.2</v>
      </c>
      <c r="K781" s="3" t="n">
        <v>130.53</v>
      </c>
      <c r="L781" s="3" t="n">
        <v>739.67</v>
      </c>
      <c r="M781" s="3" t="n">
        <v>504.4</v>
      </c>
      <c r="N781" s="3" t="n">
        <v>235.27</v>
      </c>
      <c r="O781">
        <f>TEXT(A781,"yyyy-mm")</f>
        <v/>
      </c>
    </row>
    <row r="782">
      <c r="A782" s="2" t="n">
        <v>45663</v>
      </c>
      <c r="B782" t="n">
        <v>2025</v>
      </c>
      <c r="C782" t="inlineStr">
        <is>
          <t>January</t>
        </is>
      </c>
      <c r="D782" t="inlineStr">
        <is>
          <t>Essential Jacket</t>
        </is>
      </c>
      <c r="E782" t="inlineStr">
        <is>
          <t>Clothing</t>
        </is>
      </c>
      <c r="F782" t="inlineStr">
        <is>
          <t>Clara Garcia</t>
        </is>
      </c>
      <c r="G782" t="inlineStr">
        <is>
          <t>France</t>
        </is>
      </c>
      <c r="H782" t="inlineStr">
        <is>
          <t>Retail Store</t>
        </is>
      </c>
      <c r="I782" t="n">
        <v>2</v>
      </c>
      <c r="J782" s="3" t="n">
        <v>290.02</v>
      </c>
      <c r="K782" s="3" t="n">
        <v>29</v>
      </c>
      <c r="L782" s="3" t="n">
        <v>261.02</v>
      </c>
      <c r="M782" s="3" t="n">
        <v>170.7</v>
      </c>
      <c r="N782" s="3" t="n">
        <v>90.31999999999999</v>
      </c>
      <c r="O782">
        <f>TEXT(A782,"yyyy-mm")</f>
        <v/>
      </c>
    </row>
    <row r="783">
      <c r="A783" s="2" t="n">
        <v>45663</v>
      </c>
      <c r="B783" t="n">
        <v>2025</v>
      </c>
      <c r="C783" t="inlineStr">
        <is>
          <t>January</t>
        </is>
      </c>
      <c r="D783" t="inlineStr">
        <is>
          <t>Smart Charger</t>
        </is>
      </c>
      <c r="E783" t="inlineStr">
        <is>
          <t>Electronics</t>
        </is>
      </c>
      <c r="F783" t="inlineStr">
        <is>
          <t>Clara Garcia</t>
        </is>
      </c>
      <c r="G783" t="inlineStr">
        <is>
          <t>France</t>
        </is>
      </c>
      <c r="H783" t="inlineStr">
        <is>
          <t>Retail Store</t>
        </is>
      </c>
      <c r="I783" t="n">
        <v>5</v>
      </c>
      <c r="J783" s="3" t="n">
        <v>1330.85</v>
      </c>
      <c r="K783" s="3" t="n">
        <v>0</v>
      </c>
      <c r="L783" s="3" t="n">
        <v>1330.85</v>
      </c>
      <c r="M783" s="3" t="n">
        <v>712.6</v>
      </c>
      <c r="N783" s="3" t="n">
        <v>618.25</v>
      </c>
      <c r="O783">
        <f>TEXT(A783,"yyyy-mm")</f>
        <v/>
      </c>
    </row>
    <row r="784">
      <c r="A784" s="2" t="n">
        <v>45663</v>
      </c>
      <c r="B784" t="n">
        <v>2025</v>
      </c>
      <c r="C784" t="inlineStr">
        <is>
          <t>January</t>
        </is>
      </c>
      <c r="D784" t="inlineStr">
        <is>
          <t>Eco Drone</t>
        </is>
      </c>
      <c r="E784" t="inlineStr">
        <is>
          <t>Toys &amp; Games</t>
        </is>
      </c>
      <c r="F784" t="inlineStr">
        <is>
          <t>Clara Garcia</t>
        </is>
      </c>
      <c r="G784" t="inlineStr">
        <is>
          <t>France</t>
        </is>
      </c>
      <c r="H784" t="inlineStr">
        <is>
          <t>Retail Store</t>
        </is>
      </c>
      <c r="I784" t="n">
        <v>1</v>
      </c>
      <c r="J784" s="3" t="n">
        <v>205.13</v>
      </c>
      <c r="K784" s="3" t="n">
        <v>20.51</v>
      </c>
      <c r="L784" s="3" t="n">
        <v>184.62</v>
      </c>
      <c r="M784" s="3" t="n">
        <v>129.59</v>
      </c>
      <c r="N784" s="3" t="n">
        <v>55.03</v>
      </c>
      <c r="O784">
        <f>TEXT(A784,"yyyy-mm")</f>
        <v/>
      </c>
    </row>
    <row r="785">
      <c r="A785" s="2" t="n">
        <v>45664</v>
      </c>
      <c r="B785" t="n">
        <v>2025</v>
      </c>
      <c r="C785" t="inlineStr">
        <is>
          <t>January</t>
        </is>
      </c>
      <c r="D785" t="inlineStr">
        <is>
          <t>Eco Biography</t>
        </is>
      </c>
      <c r="E785" t="inlineStr">
        <is>
          <t>Books</t>
        </is>
      </c>
      <c r="F785" t="inlineStr">
        <is>
          <t>Robert Brown</t>
        </is>
      </c>
      <c r="G785" t="inlineStr">
        <is>
          <t>United Kingdom</t>
        </is>
      </c>
      <c r="H785" t="inlineStr">
        <is>
          <t>Mobile App</t>
        </is>
      </c>
      <c r="I785" t="n">
        <v>1</v>
      </c>
      <c r="J785" s="3" t="n">
        <v>122.06</v>
      </c>
      <c r="K785" s="3" t="n">
        <v>0</v>
      </c>
      <c r="L785" s="3" t="n">
        <v>122.06</v>
      </c>
      <c r="M785" s="3" t="n">
        <v>71.02</v>
      </c>
      <c r="N785" s="3" t="n">
        <v>51.04</v>
      </c>
      <c r="O785">
        <f>TEXT(A785,"yyyy-mm")</f>
        <v/>
      </c>
    </row>
    <row r="786">
      <c r="A786" s="2" t="n">
        <v>45664</v>
      </c>
      <c r="B786" t="n">
        <v>2025</v>
      </c>
      <c r="C786" t="inlineStr">
        <is>
          <t>January</t>
        </is>
      </c>
      <c r="D786" t="inlineStr">
        <is>
          <t>Portable Tea Set</t>
        </is>
      </c>
      <c r="E786" t="inlineStr">
        <is>
          <t>Grocery</t>
        </is>
      </c>
      <c r="F786" t="inlineStr">
        <is>
          <t>Robert Brown</t>
        </is>
      </c>
      <c r="G786" t="inlineStr">
        <is>
          <t>United Kingdom</t>
        </is>
      </c>
      <c r="H786" t="inlineStr">
        <is>
          <t>Mobile App</t>
        </is>
      </c>
      <c r="I786" t="n">
        <v>4</v>
      </c>
      <c r="J786" s="3" t="n">
        <v>1153</v>
      </c>
      <c r="K786" s="3" t="n">
        <v>0</v>
      </c>
      <c r="L786" s="3" t="n">
        <v>1153</v>
      </c>
      <c r="M786" s="3" t="n">
        <v>752.48</v>
      </c>
      <c r="N786" s="3" t="n">
        <v>400.52</v>
      </c>
      <c r="O786">
        <f>TEXT(A786,"yyyy-mm")</f>
        <v/>
      </c>
    </row>
    <row r="787">
      <c r="A787" s="2" t="n">
        <v>45664</v>
      </c>
      <c r="B787" t="n">
        <v>2025</v>
      </c>
      <c r="C787" t="inlineStr">
        <is>
          <t>January</t>
        </is>
      </c>
      <c r="D787" t="inlineStr">
        <is>
          <t>Ultra Rug</t>
        </is>
      </c>
      <c r="E787" t="inlineStr">
        <is>
          <t>Home &amp; Garden</t>
        </is>
      </c>
      <c r="F787" t="inlineStr">
        <is>
          <t>Clara Muller</t>
        </is>
      </c>
      <c r="G787" t="inlineStr">
        <is>
          <t>Germany</t>
        </is>
      </c>
      <c r="H787" t="inlineStr">
        <is>
          <t>Retail Store</t>
        </is>
      </c>
      <c r="I787" t="n">
        <v>1</v>
      </c>
      <c r="J787" s="3" t="n">
        <v>50.12</v>
      </c>
      <c r="K787" s="3" t="n">
        <v>0</v>
      </c>
      <c r="L787" s="3" t="n">
        <v>50.12</v>
      </c>
      <c r="M787" s="3" t="n">
        <v>32.91</v>
      </c>
      <c r="N787" s="3" t="n">
        <v>17.21</v>
      </c>
      <c r="O787">
        <f>TEXT(A787,"yyyy-mm")</f>
        <v/>
      </c>
    </row>
    <row r="788">
      <c r="A788" s="2" t="n">
        <v>45664</v>
      </c>
      <c r="B788" t="n">
        <v>2025</v>
      </c>
      <c r="C788" t="inlineStr">
        <is>
          <t>January</t>
        </is>
      </c>
      <c r="D788" t="inlineStr">
        <is>
          <t>Classic Sunscreen</t>
        </is>
      </c>
      <c r="E788" t="inlineStr">
        <is>
          <t>Beauty &amp; Health</t>
        </is>
      </c>
      <c r="F788" t="inlineStr">
        <is>
          <t>Clara Muller</t>
        </is>
      </c>
      <c r="G788" t="inlineStr">
        <is>
          <t>Germany</t>
        </is>
      </c>
      <c r="H788" t="inlineStr">
        <is>
          <t>Retail Store</t>
        </is>
      </c>
      <c r="I788" t="n">
        <v>4</v>
      </c>
      <c r="J788" s="3" t="n">
        <v>583.12</v>
      </c>
      <c r="K788" s="3" t="n">
        <v>0</v>
      </c>
      <c r="L788" s="3" t="n">
        <v>583.12</v>
      </c>
      <c r="M788" s="3" t="n">
        <v>374.76</v>
      </c>
      <c r="N788" s="3" t="n">
        <v>208.36</v>
      </c>
      <c r="O788">
        <f>TEXT(A788,"yyyy-mm")</f>
        <v/>
      </c>
    </row>
    <row r="789">
      <c r="A789" s="2" t="n">
        <v>45664</v>
      </c>
      <c r="B789" t="n">
        <v>2025</v>
      </c>
      <c r="C789" t="inlineStr">
        <is>
          <t>January</t>
        </is>
      </c>
      <c r="D789" t="inlineStr">
        <is>
          <t>Smart Puzzle</t>
        </is>
      </c>
      <c r="E789" t="inlineStr">
        <is>
          <t>Toys &amp; Games</t>
        </is>
      </c>
      <c r="F789" t="inlineStr">
        <is>
          <t>Clara Muller</t>
        </is>
      </c>
      <c r="G789" t="inlineStr">
        <is>
          <t>Germany</t>
        </is>
      </c>
      <c r="H789" t="inlineStr">
        <is>
          <t>Retail Store</t>
        </is>
      </c>
      <c r="I789" t="n">
        <v>1</v>
      </c>
      <c r="J789" s="3" t="n">
        <v>272.66</v>
      </c>
      <c r="K789" s="3" t="n">
        <v>0</v>
      </c>
      <c r="L789" s="3" t="n">
        <v>272.66</v>
      </c>
      <c r="M789" s="3" t="n">
        <v>192.76</v>
      </c>
      <c r="N789" s="3" t="n">
        <v>79.90000000000001</v>
      </c>
      <c r="O789">
        <f>TEXT(A789,"yyyy-mm")</f>
        <v/>
      </c>
    </row>
    <row r="790">
      <c r="A790" s="2" t="n">
        <v>45664</v>
      </c>
      <c r="B790" t="n">
        <v>2025</v>
      </c>
      <c r="C790" t="inlineStr">
        <is>
          <t>January</t>
        </is>
      </c>
      <c r="D790" t="inlineStr">
        <is>
          <t>Premium Water Bottle</t>
        </is>
      </c>
      <c r="E790" t="inlineStr">
        <is>
          <t>Sports &amp; Outdoors</t>
        </is>
      </c>
      <c r="F790" t="inlineStr">
        <is>
          <t>Robert Brown</t>
        </is>
      </c>
      <c r="G790" t="inlineStr">
        <is>
          <t>United Kingdom</t>
        </is>
      </c>
      <c r="H790" t="inlineStr">
        <is>
          <t>Mobile App</t>
        </is>
      </c>
      <c r="I790" t="n">
        <v>4</v>
      </c>
      <c r="J790" s="3" t="n">
        <v>464.64</v>
      </c>
      <c r="K790" s="3" t="n">
        <v>23.23</v>
      </c>
      <c r="L790" s="3" t="n">
        <v>441.41</v>
      </c>
      <c r="M790" s="3" t="n">
        <v>358.48</v>
      </c>
      <c r="N790" s="3" t="n">
        <v>82.93000000000001</v>
      </c>
      <c r="O790">
        <f>TEXT(A790,"yyyy-mm")</f>
        <v/>
      </c>
    </row>
    <row r="791">
      <c r="A791" s="2" t="n">
        <v>45664</v>
      </c>
      <c r="B791" t="n">
        <v>2025</v>
      </c>
      <c r="C791" t="inlineStr">
        <is>
          <t>January</t>
        </is>
      </c>
      <c r="D791" t="inlineStr">
        <is>
          <t>Compact Jacket</t>
        </is>
      </c>
      <c r="E791" t="inlineStr">
        <is>
          <t>Clothing</t>
        </is>
      </c>
      <c r="F791" t="inlineStr">
        <is>
          <t>Clara Muller</t>
        </is>
      </c>
      <c r="G791" t="inlineStr">
        <is>
          <t>Germany</t>
        </is>
      </c>
      <c r="H791" t="inlineStr">
        <is>
          <t>Retail Store</t>
        </is>
      </c>
      <c r="I791" t="n">
        <v>4</v>
      </c>
      <c r="J791" s="3" t="n">
        <v>153.52</v>
      </c>
      <c r="K791" s="3" t="n">
        <v>0</v>
      </c>
      <c r="L791" s="3" t="n">
        <v>153.52</v>
      </c>
      <c r="M791" s="3" t="n">
        <v>81.59999999999999</v>
      </c>
      <c r="N791" s="3" t="n">
        <v>71.92</v>
      </c>
      <c r="O791">
        <f>TEXT(A791,"yyyy-mm")</f>
        <v/>
      </c>
    </row>
    <row r="792">
      <c r="A792" s="2" t="n">
        <v>45665</v>
      </c>
      <c r="B792" t="n">
        <v>2025</v>
      </c>
      <c r="C792" t="inlineStr">
        <is>
          <t>January</t>
        </is>
      </c>
      <c r="D792" t="inlineStr">
        <is>
          <t>Classic Tea Set</t>
        </is>
      </c>
      <c r="E792" t="inlineStr">
        <is>
          <t>Grocery</t>
        </is>
      </c>
      <c r="F792" t="inlineStr">
        <is>
          <t>James Kowalski</t>
        </is>
      </c>
      <c r="G792" t="inlineStr">
        <is>
          <t>Germany</t>
        </is>
      </c>
      <c r="H792" t="inlineStr">
        <is>
          <t>Retail Store</t>
        </is>
      </c>
      <c r="I792" t="n">
        <v>3</v>
      </c>
      <c r="J792" s="3" t="n">
        <v>558.0599999999999</v>
      </c>
      <c r="K792" s="3" t="n">
        <v>55.81</v>
      </c>
      <c r="L792" s="3" t="n">
        <v>502.25</v>
      </c>
      <c r="M792" s="3" t="n">
        <v>376.2</v>
      </c>
      <c r="N792" s="3" t="n">
        <v>126.05</v>
      </c>
      <c r="O792">
        <f>TEXT(A792,"yyyy-mm")</f>
        <v/>
      </c>
    </row>
    <row r="793">
      <c r="A793" s="2" t="n">
        <v>45665</v>
      </c>
      <c r="B793" t="n">
        <v>2025</v>
      </c>
      <c r="C793" t="inlineStr">
        <is>
          <t>January</t>
        </is>
      </c>
      <c r="D793" t="inlineStr">
        <is>
          <t>Deluxe Cookbook</t>
        </is>
      </c>
      <c r="E793" t="inlineStr">
        <is>
          <t>Books</t>
        </is>
      </c>
      <c r="F793" t="inlineStr">
        <is>
          <t>James Kowalski</t>
        </is>
      </c>
      <c r="G793" t="inlineStr">
        <is>
          <t>Germany</t>
        </is>
      </c>
      <c r="H793" t="inlineStr">
        <is>
          <t>Retail Store</t>
        </is>
      </c>
      <c r="I793" t="n">
        <v>1</v>
      </c>
      <c r="J793" s="3" t="n">
        <v>136.21</v>
      </c>
      <c r="K793" s="3" t="n">
        <v>0</v>
      </c>
      <c r="L793" s="3" t="n">
        <v>136.21</v>
      </c>
      <c r="M793" s="3" t="n">
        <v>85.27</v>
      </c>
      <c r="N793" s="3" t="n">
        <v>50.94</v>
      </c>
      <c r="O793">
        <f>TEXT(A793,"yyyy-mm")</f>
        <v/>
      </c>
    </row>
    <row r="794">
      <c r="A794" s="2" t="n">
        <v>45665</v>
      </c>
      <c r="B794" t="n">
        <v>2025</v>
      </c>
      <c r="C794" t="inlineStr">
        <is>
          <t>January</t>
        </is>
      </c>
      <c r="D794" t="inlineStr">
        <is>
          <t>Essential Lamp</t>
        </is>
      </c>
      <c r="E794" t="inlineStr">
        <is>
          <t>Home &amp; Garden</t>
        </is>
      </c>
      <c r="F794" t="inlineStr">
        <is>
          <t>James Kowalski</t>
        </is>
      </c>
      <c r="G794" t="inlineStr">
        <is>
          <t>Germany</t>
        </is>
      </c>
      <c r="H794" t="inlineStr">
        <is>
          <t>Retail Store</t>
        </is>
      </c>
      <c r="I794" t="n">
        <v>5</v>
      </c>
      <c r="J794" s="3" t="n">
        <v>324.6</v>
      </c>
      <c r="K794" s="3" t="n">
        <v>0</v>
      </c>
      <c r="L794" s="3" t="n">
        <v>324.6</v>
      </c>
      <c r="M794" s="3" t="n">
        <v>227</v>
      </c>
      <c r="N794" s="3" t="n">
        <v>97.59999999999999</v>
      </c>
      <c r="O794">
        <f>TEXT(A794,"yyyy-mm")</f>
        <v/>
      </c>
    </row>
    <row r="795">
      <c r="A795" s="2" t="n">
        <v>45665</v>
      </c>
      <c r="B795" t="n">
        <v>2025</v>
      </c>
      <c r="C795" t="inlineStr">
        <is>
          <t>January</t>
        </is>
      </c>
      <c r="D795" t="inlineStr">
        <is>
          <t>Smart Charger</t>
        </is>
      </c>
      <c r="E795" t="inlineStr">
        <is>
          <t>Electronics</t>
        </is>
      </c>
      <c r="F795" t="inlineStr">
        <is>
          <t>James Kowalski</t>
        </is>
      </c>
      <c r="G795" t="inlineStr">
        <is>
          <t>Germany</t>
        </is>
      </c>
      <c r="H795" t="inlineStr">
        <is>
          <t>Retail Store</t>
        </is>
      </c>
      <c r="I795" t="n">
        <v>5</v>
      </c>
      <c r="J795" s="3" t="n">
        <v>1331.4</v>
      </c>
      <c r="K795" s="3" t="n">
        <v>0</v>
      </c>
      <c r="L795" s="3" t="n">
        <v>1331.4</v>
      </c>
      <c r="M795" s="3" t="n">
        <v>712.6</v>
      </c>
      <c r="N795" s="3" t="n">
        <v>618.8</v>
      </c>
      <c r="O795">
        <f>TEXT(A795,"yyyy-mm")</f>
        <v/>
      </c>
    </row>
    <row r="796">
      <c r="A796" s="2" t="n">
        <v>45666</v>
      </c>
      <c r="B796" t="n">
        <v>2025</v>
      </c>
      <c r="C796" t="inlineStr">
        <is>
          <t>January</t>
        </is>
      </c>
      <c r="D796" t="inlineStr">
        <is>
          <t>Ultra Backpack</t>
        </is>
      </c>
      <c r="E796" t="inlineStr">
        <is>
          <t>Sports &amp; Outdoors</t>
        </is>
      </c>
      <c r="F796" t="inlineStr">
        <is>
          <t>Thomas Lopez</t>
        </is>
      </c>
      <c r="G796" t="inlineStr">
        <is>
          <t>Spain</t>
        </is>
      </c>
      <c r="H796" t="inlineStr">
        <is>
          <t>Retail Store</t>
        </is>
      </c>
      <c r="I796" t="n">
        <v>1</v>
      </c>
      <c r="J796" s="3" t="n">
        <v>312.74</v>
      </c>
      <c r="K796" s="3" t="n">
        <v>0</v>
      </c>
      <c r="L796" s="3" t="n">
        <v>312.74</v>
      </c>
      <c r="M796" s="3" t="n">
        <v>173.69</v>
      </c>
      <c r="N796" s="3" t="n">
        <v>139.05</v>
      </c>
      <c r="O796">
        <f>TEXT(A796,"yyyy-mm")</f>
        <v/>
      </c>
    </row>
    <row r="797">
      <c r="A797" s="2" t="n">
        <v>45666</v>
      </c>
      <c r="B797" t="n">
        <v>2025</v>
      </c>
      <c r="C797" t="inlineStr">
        <is>
          <t>January</t>
        </is>
      </c>
      <c r="D797" t="inlineStr">
        <is>
          <t>Premium Tent</t>
        </is>
      </c>
      <c r="E797" t="inlineStr">
        <is>
          <t>Sports &amp; Outdoors</t>
        </is>
      </c>
      <c r="F797" t="inlineStr">
        <is>
          <t>Emily Moreau</t>
        </is>
      </c>
      <c r="G797" t="inlineStr">
        <is>
          <t>Germany</t>
        </is>
      </c>
      <c r="H797" t="inlineStr">
        <is>
          <t>Web Store</t>
        </is>
      </c>
      <c r="I797" t="n">
        <v>3</v>
      </c>
      <c r="J797" s="3" t="n">
        <v>748.47</v>
      </c>
      <c r="K797" s="3" t="n">
        <v>112.27</v>
      </c>
      <c r="L797" s="3" t="n">
        <v>636.2</v>
      </c>
      <c r="M797" s="3" t="n">
        <v>495.93</v>
      </c>
      <c r="N797" s="3" t="n">
        <v>140.27</v>
      </c>
      <c r="O797">
        <f>TEXT(A797,"yyyy-mm")</f>
        <v/>
      </c>
    </row>
    <row r="798">
      <c r="A798" s="2" t="n">
        <v>45666</v>
      </c>
      <c r="B798" t="n">
        <v>2025</v>
      </c>
      <c r="C798" t="inlineStr">
        <is>
          <t>January</t>
        </is>
      </c>
      <c r="D798" t="inlineStr">
        <is>
          <t>Wireless Backpack</t>
        </is>
      </c>
      <c r="E798" t="inlineStr">
        <is>
          <t>Sports &amp; Outdoors</t>
        </is>
      </c>
      <c r="F798" t="inlineStr">
        <is>
          <t>Emily Moreau</t>
        </is>
      </c>
      <c r="G798" t="inlineStr">
        <is>
          <t>Germany</t>
        </is>
      </c>
      <c r="H798" t="inlineStr">
        <is>
          <t>Web Store</t>
        </is>
      </c>
      <c r="I798" t="n">
        <v>4</v>
      </c>
      <c r="J798" s="3" t="n">
        <v>206.16</v>
      </c>
      <c r="K798" s="3" t="n">
        <v>0</v>
      </c>
      <c r="L798" s="3" t="n">
        <v>206.16</v>
      </c>
      <c r="M798" s="3" t="n">
        <v>112.4</v>
      </c>
      <c r="N798" s="3" t="n">
        <v>93.76000000000001</v>
      </c>
      <c r="O798">
        <f>TEXT(A798,"yyyy-mm")</f>
        <v/>
      </c>
    </row>
    <row r="799">
      <c r="A799" s="2" t="n">
        <v>45666</v>
      </c>
      <c r="B799" t="n">
        <v>2025</v>
      </c>
      <c r="C799" t="inlineStr">
        <is>
          <t>January</t>
        </is>
      </c>
      <c r="D799" t="inlineStr">
        <is>
          <t>Smart Honey</t>
        </is>
      </c>
      <c r="E799" t="inlineStr">
        <is>
          <t>Grocery</t>
        </is>
      </c>
      <c r="F799" t="inlineStr">
        <is>
          <t>Emily Moreau</t>
        </is>
      </c>
      <c r="G799" t="inlineStr">
        <is>
          <t>Germany</t>
        </is>
      </c>
      <c r="H799" t="inlineStr">
        <is>
          <t>Web Store</t>
        </is>
      </c>
      <c r="I799" t="n">
        <v>5</v>
      </c>
      <c r="J799" s="3" t="n">
        <v>686.35</v>
      </c>
      <c r="K799" s="3" t="n">
        <v>0</v>
      </c>
      <c r="L799" s="3" t="n">
        <v>686.35</v>
      </c>
      <c r="M799" s="3" t="n">
        <v>357.2</v>
      </c>
      <c r="N799" s="3" t="n">
        <v>329.15</v>
      </c>
      <c r="O799">
        <f>TEXT(A799,"yyyy-mm")</f>
        <v/>
      </c>
    </row>
    <row r="800">
      <c r="A800" s="2" t="n">
        <v>45666</v>
      </c>
      <c r="B800" t="n">
        <v>2025</v>
      </c>
      <c r="C800" t="inlineStr">
        <is>
          <t>January</t>
        </is>
      </c>
      <c r="D800" t="inlineStr">
        <is>
          <t>Smart Tea Set</t>
        </is>
      </c>
      <c r="E800" t="inlineStr">
        <is>
          <t>Grocery</t>
        </is>
      </c>
      <c r="F800" t="inlineStr">
        <is>
          <t>Emily Moreau</t>
        </is>
      </c>
      <c r="G800" t="inlineStr">
        <is>
          <t>Germany</t>
        </is>
      </c>
      <c r="H800" t="inlineStr">
        <is>
          <t>Web Store</t>
        </is>
      </c>
      <c r="I800" t="n">
        <v>3</v>
      </c>
      <c r="J800" s="3" t="n">
        <v>273.18</v>
      </c>
      <c r="K800" s="3" t="n">
        <v>40.98</v>
      </c>
      <c r="L800" s="3" t="n">
        <v>232.2</v>
      </c>
      <c r="M800" s="3" t="n">
        <v>185.4</v>
      </c>
      <c r="N800" s="3" t="n">
        <v>46.8</v>
      </c>
      <c r="O800">
        <f>TEXT(A800,"yyyy-mm")</f>
        <v/>
      </c>
    </row>
    <row r="801">
      <c r="A801" s="2" t="n">
        <v>45666</v>
      </c>
      <c r="B801" t="n">
        <v>2025</v>
      </c>
      <c r="C801" t="inlineStr">
        <is>
          <t>January</t>
        </is>
      </c>
      <c r="D801" t="inlineStr">
        <is>
          <t>Portable Toolset</t>
        </is>
      </c>
      <c r="E801" t="inlineStr">
        <is>
          <t>Home &amp; Garden</t>
        </is>
      </c>
      <c r="F801" t="inlineStr">
        <is>
          <t>David Dubois</t>
        </is>
      </c>
      <c r="G801" t="inlineStr">
        <is>
          <t>United Kingdom</t>
        </is>
      </c>
      <c r="H801" t="inlineStr">
        <is>
          <t>Retail Store</t>
        </is>
      </c>
      <c r="I801" t="n">
        <v>2</v>
      </c>
      <c r="J801" s="3" t="n">
        <v>293.26</v>
      </c>
      <c r="K801" s="3" t="n">
        <v>29.33</v>
      </c>
      <c r="L801" s="3" t="n">
        <v>263.93</v>
      </c>
      <c r="M801" s="3" t="n">
        <v>185.7</v>
      </c>
      <c r="N801" s="3" t="n">
        <v>78.23</v>
      </c>
      <c r="O801">
        <f>TEXT(A801,"yyyy-mm")</f>
        <v/>
      </c>
    </row>
    <row r="802">
      <c r="A802" s="2" t="n">
        <v>45666</v>
      </c>
      <c r="B802" t="n">
        <v>2025</v>
      </c>
      <c r="C802" t="inlineStr">
        <is>
          <t>January</t>
        </is>
      </c>
      <c r="D802" t="inlineStr">
        <is>
          <t>Premium Cookbook</t>
        </is>
      </c>
      <c r="E802" t="inlineStr">
        <is>
          <t>Books</t>
        </is>
      </c>
      <c r="F802" t="inlineStr">
        <is>
          <t>David Dubois</t>
        </is>
      </c>
      <c r="G802" t="inlineStr">
        <is>
          <t>United Kingdom</t>
        </is>
      </c>
      <c r="H802" t="inlineStr">
        <is>
          <t>Retail Store</t>
        </is>
      </c>
      <c r="I802" t="n">
        <v>1</v>
      </c>
      <c r="J802" s="3" t="n">
        <v>127.59</v>
      </c>
      <c r="K802" s="3" t="n">
        <v>25.52</v>
      </c>
      <c r="L802" s="3" t="n">
        <v>102.07</v>
      </c>
      <c r="M802" s="3" t="n">
        <v>94.98</v>
      </c>
      <c r="N802" s="3" t="n">
        <v>7.09</v>
      </c>
      <c r="O802">
        <f>TEXT(A802,"yyyy-mm")</f>
        <v/>
      </c>
    </row>
    <row r="803">
      <c r="A803" s="2" t="n">
        <v>45666</v>
      </c>
      <c r="B803" t="n">
        <v>2025</v>
      </c>
      <c r="C803" t="inlineStr">
        <is>
          <t>January</t>
        </is>
      </c>
      <c r="D803" t="inlineStr">
        <is>
          <t>Ultra Toolset</t>
        </is>
      </c>
      <c r="E803" t="inlineStr">
        <is>
          <t>Home &amp; Garden</t>
        </is>
      </c>
      <c r="F803" t="inlineStr">
        <is>
          <t>David Dubois</t>
        </is>
      </c>
      <c r="G803" t="inlineStr">
        <is>
          <t>United Kingdom</t>
        </is>
      </c>
      <c r="H803" t="inlineStr">
        <is>
          <t>Retail Store</t>
        </is>
      </c>
      <c r="I803" t="n">
        <v>3</v>
      </c>
      <c r="J803" s="3" t="n">
        <v>1031.7</v>
      </c>
      <c r="K803" s="3" t="n">
        <v>0</v>
      </c>
      <c r="L803" s="3" t="n">
        <v>1031.7</v>
      </c>
      <c r="M803" s="3" t="n">
        <v>571.2</v>
      </c>
      <c r="N803" s="3" t="n">
        <v>460.5</v>
      </c>
      <c r="O803">
        <f>TEXT(A803,"yyyy-mm")</f>
        <v/>
      </c>
    </row>
    <row r="804">
      <c r="A804" s="2" t="n">
        <v>45666</v>
      </c>
      <c r="B804" t="n">
        <v>2025</v>
      </c>
      <c r="C804" t="inlineStr">
        <is>
          <t>January</t>
        </is>
      </c>
      <c r="D804" t="inlineStr">
        <is>
          <t>Premium Tent</t>
        </is>
      </c>
      <c r="E804" t="inlineStr">
        <is>
          <t>Sports &amp; Outdoors</t>
        </is>
      </c>
      <c r="F804" t="inlineStr">
        <is>
          <t>Sophie Conti</t>
        </is>
      </c>
      <c r="G804" t="inlineStr">
        <is>
          <t>Netherlands</t>
        </is>
      </c>
      <c r="H804" t="inlineStr">
        <is>
          <t>Marketplace</t>
        </is>
      </c>
      <c r="I804" t="n">
        <v>5</v>
      </c>
      <c r="J804" s="3" t="n">
        <v>1304.85</v>
      </c>
      <c r="K804" s="3" t="n">
        <v>65.23999999999999</v>
      </c>
      <c r="L804" s="3" t="n">
        <v>1239.61</v>
      </c>
      <c r="M804" s="3" t="n">
        <v>826.55</v>
      </c>
      <c r="N804" s="3" t="n">
        <v>413.06</v>
      </c>
      <c r="O804">
        <f>TEXT(A804,"yyyy-mm")</f>
        <v/>
      </c>
    </row>
    <row r="805">
      <c r="A805" s="2" t="n">
        <v>45666</v>
      </c>
      <c r="B805" t="n">
        <v>2025</v>
      </c>
      <c r="C805" t="inlineStr">
        <is>
          <t>January</t>
        </is>
      </c>
      <c r="D805" t="inlineStr">
        <is>
          <t>Smart Sweater</t>
        </is>
      </c>
      <c r="E805" t="inlineStr">
        <is>
          <t>Clothing</t>
        </is>
      </c>
      <c r="F805" t="inlineStr">
        <is>
          <t>Sophie Conti</t>
        </is>
      </c>
      <c r="G805" t="inlineStr">
        <is>
          <t>Netherlands</t>
        </is>
      </c>
      <c r="H805" t="inlineStr">
        <is>
          <t>Marketplace</t>
        </is>
      </c>
      <c r="I805" t="n">
        <v>3</v>
      </c>
      <c r="J805" s="3" t="n">
        <v>428.64</v>
      </c>
      <c r="K805" s="3" t="n">
        <v>64.3</v>
      </c>
      <c r="L805" s="3" t="n">
        <v>364.34</v>
      </c>
      <c r="M805" s="3" t="n">
        <v>232.05</v>
      </c>
      <c r="N805" s="3" t="n">
        <v>132.29</v>
      </c>
      <c r="O805">
        <f>TEXT(A805,"yyyy-mm")</f>
        <v/>
      </c>
    </row>
    <row r="806">
      <c r="A806" s="2" t="n">
        <v>45666</v>
      </c>
      <c r="B806" t="n">
        <v>2025</v>
      </c>
      <c r="C806" t="inlineStr">
        <is>
          <t>January</t>
        </is>
      </c>
      <c r="D806" t="inlineStr">
        <is>
          <t>Eco Backpack</t>
        </is>
      </c>
      <c r="E806" t="inlineStr">
        <is>
          <t>Sports &amp; Outdoors</t>
        </is>
      </c>
      <c r="F806" t="inlineStr">
        <is>
          <t>Sophie Conti</t>
        </is>
      </c>
      <c r="G806" t="inlineStr">
        <is>
          <t>Netherlands</t>
        </is>
      </c>
      <c r="H806" t="inlineStr">
        <is>
          <t>Marketplace</t>
        </is>
      </c>
      <c r="I806" t="n">
        <v>2</v>
      </c>
      <c r="J806" s="3" t="n">
        <v>533.34</v>
      </c>
      <c r="K806" s="3" t="n">
        <v>0</v>
      </c>
      <c r="L806" s="3" t="n">
        <v>533.34</v>
      </c>
      <c r="M806" s="3" t="n">
        <v>293.16</v>
      </c>
      <c r="N806" s="3" t="n">
        <v>240.18</v>
      </c>
      <c r="O806">
        <f>TEXT(A806,"yyyy-mm")</f>
        <v/>
      </c>
    </row>
    <row r="807">
      <c r="A807" s="2" t="n">
        <v>45666</v>
      </c>
      <c r="B807" t="n">
        <v>2025</v>
      </c>
      <c r="C807" t="inlineStr">
        <is>
          <t>January</t>
        </is>
      </c>
      <c r="D807" t="inlineStr">
        <is>
          <t>Smart Puzzle</t>
        </is>
      </c>
      <c r="E807" t="inlineStr">
        <is>
          <t>Toys &amp; Games</t>
        </is>
      </c>
      <c r="F807" t="inlineStr">
        <is>
          <t>Sophie Conti</t>
        </is>
      </c>
      <c r="G807" t="inlineStr">
        <is>
          <t>Netherlands</t>
        </is>
      </c>
      <c r="H807" t="inlineStr">
        <is>
          <t>Marketplace</t>
        </is>
      </c>
      <c r="I807" t="n">
        <v>5</v>
      </c>
      <c r="J807" s="3" t="n">
        <v>1368.95</v>
      </c>
      <c r="K807" s="3" t="n">
        <v>68.45</v>
      </c>
      <c r="L807" s="3" t="n">
        <v>1300.5</v>
      </c>
      <c r="M807" s="3" t="n">
        <v>963.8</v>
      </c>
      <c r="N807" s="3" t="n">
        <v>336.7</v>
      </c>
      <c r="O807">
        <f>TEXT(A807,"yyyy-mm")</f>
        <v/>
      </c>
    </row>
    <row r="808">
      <c r="A808" s="2" t="n">
        <v>45667</v>
      </c>
      <c r="B808" t="n">
        <v>2025</v>
      </c>
      <c r="C808" t="inlineStr">
        <is>
          <t>January</t>
        </is>
      </c>
      <c r="D808" t="inlineStr">
        <is>
          <t>Portable Notebook</t>
        </is>
      </c>
      <c r="E808" t="inlineStr">
        <is>
          <t>Books</t>
        </is>
      </c>
      <c r="F808" t="inlineStr">
        <is>
          <t>Peter Schmidt</t>
        </is>
      </c>
      <c r="G808" t="inlineStr">
        <is>
          <t>United Kingdom</t>
        </is>
      </c>
      <c r="H808" t="inlineStr">
        <is>
          <t>Marketplace</t>
        </is>
      </c>
      <c r="I808" t="n">
        <v>3</v>
      </c>
      <c r="J808" s="3" t="n">
        <v>381.66</v>
      </c>
      <c r="K808" s="3" t="n">
        <v>38.17</v>
      </c>
      <c r="L808" s="3" t="n">
        <v>343.49</v>
      </c>
      <c r="M808" s="3" t="n">
        <v>213.84</v>
      </c>
      <c r="N808" s="3" t="n">
        <v>129.65</v>
      </c>
      <c r="O808">
        <f>TEXT(A808,"yyyy-mm")</f>
        <v/>
      </c>
    </row>
    <row r="809">
      <c r="A809" s="2" t="n">
        <v>45667</v>
      </c>
      <c r="B809" t="n">
        <v>2025</v>
      </c>
      <c r="C809" t="inlineStr">
        <is>
          <t>January</t>
        </is>
      </c>
      <c r="D809" t="inlineStr">
        <is>
          <t>Portable Bike Helmet</t>
        </is>
      </c>
      <c r="E809" t="inlineStr">
        <is>
          <t>Sports &amp; Outdoors</t>
        </is>
      </c>
      <c r="F809" t="inlineStr">
        <is>
          <t>Peter Schmidt</t>
        </is>
      </c>
      <c r="G809" t="inlineStr">
        <is>
          <t>United Kingdom</t>
        </is>
      </c>
      <c r="H809" t="inlineStr">
        <is>
          <t>Marketplace</t>
        </is>
      </c>
      <c r="I809" t="n">
        <v>1</v>
      </c>
      <c r="J809" s="3" t="n">
        <v>321.14</v>
      </c>
      <c r="K809" s="3" t="n">
        <v>32.11</v>
      </c>
      <c r="L809" s="3" t="n">
        <v>289.03</v>
      </c>
      <c r="M809" s="3" t="n">
        <v>165.37</v>
      </c>
      <c r="N809" s="3" t="n">
        <v>123.66</v>
      </c>
      <c r="O809">
        <f>TEXT(A809,"yyyy-mm")</f>
        <v/>
      </c>
    </row>
    <row r="810">
      <c r="A810" s="2" t="n">
        <v>45667</v>
      </c>
      <c r="B810" t="n">
        <v>2025</v>
      </c>
      <c r="C810" t="inlineStr">
        <is>
          <t>January</t>
        </is>
      </c>
      <c r="D810" t="inlineStr">
        <is>
          <t>Classic Yoga Mat</t>
        </is>
      </c>
      <c r="E810" t="inlineStr">
        <is>
          <t>Sports &amp; Outdoors</t>
        </is>
      </c>
      <c r="F810" t="inlineStr">
        <is>
          <t>Peter Schmidt</t>
        </is>
      </c>
      <c r="G810" t="inlineStr">
        <is>
          <t>United Kingdom</t>
        </is>
      </c>
      <c r="H810" t="inlineStr">
        <is>
          <t>Marketplace</t>
        </is>
      </c>
      <c r="I810" t="n">
        <v>1</v>
      </c>
      <c r="J810" s="3" t="n">
        <v>332.05</v>
      </c>
      <c r="K810" s="3" t="n">
        <v>16.6</v>
      </c>
      <c r="L810" s="3" t="n">
        <v>315.45</v>
      </c>
      <c r="M810" s="3" t="n">
        <v>195.7</v>
      </c>
      <c r="N810" s="3" t="n">
        <v>119.75</v>
      </c>
      <c r="O810">
        <f>TEXT(A810,"yyyy-mm")</f>
        <v/>
      </c>
    </row>
    <row r="811">
      <c r="A811" s="2" t="n">
        <v>45667</v>
      </c>
      <c r="B811" t="n">
        <v>2025</v>
      </c>
      <c r="C811" t="inlineStr">
        <is>
          <t>January</t>
        </is>
      </c>
      <c r="D811" t="inlineStr">
        <is>
          <t>Premium Water Bottle</t>
        </is>
      </c>
      <c r="E811" t="inlineStr">
        <is>
          <t>Sports &amp; Outdoors</t>
        </is>
      </c>
      <c r="F811" t="inlineStr">
        <is>
          <t>Olivia Kowalski</t>
        </is>
      </c>
      <c r="G811" t="inlineStr">
        <is>
          <t>Poland</t>
        </is>
      </c>
      <c r="H811" t="inlineStr">
        <is>
          <t>Mobile App</t>
        </is>
      </c>
      <c r="I811" t="n">
        <v>3</v>
      </c>
      <c r="J811" s="3" t="n">
        <v>88.41</v>
      </c>
      <c r="K811" s="3" t="n">
        <v>8.84</v>
      </c>
      <c r="L811" s="3" t="n">
        <v>79.56999999999999</v>
      </c>
      <c r="M811" s="3" t="n">
        <v>49.89</v>
      </c>
      <c r="N811" s="3" t="n">
        <v>29.68</v>
      </c>
      <c r="O811">
        <f>TEXT(A811,"yyyy-mm")</f>
        <v/>
      </c>
    </row>
    <row r="812">
      <c r="A812" s="2" t="n">
        <v>45667</v>
      </c>
      <c r="B812" t="n">
        <v>2025</v>
      </c>
      <c r="C812" t="inlineStr">
        <is>
          <t>January</t>
        </is>
      </c>
      <c r="D812" t="inlineStr">
        <is>
          <t>Smart Olive Oil</t>
        </is>
      </c>
      <c r="E812" t="inlineStr">
        <is>
          <t>Grocery</t>
        </is>
      </c>
      <c r="F812" t="inlineStr">
        <is>
          <t>Olivia Kowalski</t>
        </is>
      </c>
      <c r="G812" t="inlineStr">
        <is>
          <t>Poland</t>
        </is>
      </c>
      <c r="H812" t="inlineStr">
        <is>
          <t>Mobile App</t>
        </is>
      </c>
      <c r="I812" t="n">
        <v>3</v>
      </c>
      <c r="J812" s="3" t="n">
        <v>514.29</v>
      </c>
      <c r="K812" s="3" t="n">
        <v>0</v>
      </c>
      <c r="L812" s="3" t="n">
        <v>514.29</v>
      </c>
      <c r="M812" s="3" t="n">
        <v>330.06</v>
      </c>
      <c r="N812" s="3" t="n">
        <v>184.23</v>
      </c>
      <c r="O812">
        <f>TEXT(A812,"yyyy-mm")</f>
        <v/>
      </c>
    </row>
    <row r="813">
      <c r="A813" s="2" t="n">
        <v>45667</v>
      </c>
      <c r="B813" t="n">
        <v>2025</v>
      </c>
      <c r="C813" t="inlineStr">
        <is>
          <t>January</t>
        </is>
      </c>
      <c r="D813" t="inlineStr">
        <is>
          <t>Premium Water Bottle</t>
        </is>
      </c>
      <c r="E813" t="inlineStr">
        <is>
          <t>Sports &amp; Outdoors</t>
        </is>
      </c>
      <c r="F813" t="inlineStr">
        <is>
          <t>Olivia Kowalski</t>
        </is>
      </c>
      <c r="G813" t="inlineStr">
        <is>
          <t>Poland</t>
        </is>
      </c>
      <c r="H813" t="inlineStr">
        <is>
          <t>Mobile App</t>
        </is>
      </c>
      <c r="I813" t="n">
        <v>4</v>
      </c>
      <c r="J813" s="3" t="n">
        <v>494.08</v>
      </c>
      <c r="K813" s="3" t="n">
        <v>0</v>
      </c>
      <c r="L813" s="3" t="n">
        <v>494.08</v>
      </c>
      <c r="M813" s="3" t="n">
        <v>358.48</v>
      </c>
      <c r="N813" s="3" t="n">
        <v>135.6</v>
      </c>
      <c r="O813">
        <f>TEXT(A813,"yyyy-mm")</f>
        <v/>
      </c>
    </row>
    <row r="814">
      <c r="A814" s="2" t="n">
        <v>45668</v>
      </c>
      <c r="B814" t="n">
        <v>2025</v>
      </c>
      <c r="C814" t="inlineStr">
        <is>
          <t>January</t>
        </is>
      </c>
      <c r="D814" t="inlineStr">
        <is>
          <t>Portable Toolset</t>
        </is>
      </c>
      <c r="E814" t="inlineStr">
        <is>
          <t>Home &amp; Garden</t>
        </is>
      </c>
      <c r="F814" t="inlineStr">
        <is>
          <t>Emily Schmidt</t>
        </is>
      </c>
      <c r="G814" t="inlineStr">
        <is>
          <t>Netherlands</t>
        </is>
      </c>
      <c r="H814" t="inlineStr">
        <is>
          <t>Retail Store</t>
        </is>
      </c>
      <c r="I814" t="n">
        <v>1</v>
      </c>
      <c r="J814" s="3" t="n">
        <v>89.39</v>
      </c>
      <c r="K814" s="3" t="n">
        <v>0</v>
      </c>
      <c r="L814" s="3" t="n">
        <v>89.39</v>
      </c>
      <c r="M814" s="3" t="n">
        <v>50.54</v>
      </c>
      <c r="N814" s="3" t="n">
        <v>38.85</v>
      </c>
      <c r="O814">
        <f>TEXT(A814,"yyyy-mm")</f>
        <v/>
      </c>
    </row>
    <row r="815">
      <c r="A815" s="2" t="n">
        <v>45668</v>
      </c>
      <c r="B815" t="n">
        <v>2025</v>
      </c>
      <c r="C815" t="inlineStr">
        <is>
          <t>January</t>
        </is>
      </c>
      <c r="D815" t="inlineStr">
        <is>
          <t>Deluxe Scarf</t>
        </is>
      </c>
      <c r="E815" t="inlineStr">
        <is>
          <t>Clothing</t>
        </is>
      </c>
      <c r="F815" t="inlineStr">
        <is>
          <t>Emily Schmidt</t>
        </is>
      </c>
      <c r="G815" t="inlineStr">
        <is>
          <t>Netherlands</t>
        </is>
      </c>
      <c r="H815" t="inlineStr">
        <is>
          <t>Retail Store</t>
        </is>
      </c>
      <c r="I815" t="n">
        <v>1</v>
      </c>
      <c r="J815" s="3" t="n">
        <v>201.28</v>
      </c>
      <c r="K815" s="3" t="n">
        <v>10.06</v>
      </c>
      <c r="L815" s="3" t="n">
        <v>191.22</v>
      </c>
      <c r="M815" s="3" t="n">
        <v>108.52</v>
      </c>
      <c r="N815" s="3" t="n">
        <v>82.7</v>
      </c>
      <c r="O815">
        <f>TEXT(A815,"yyyy-mm")</f>
        <v/>
      </c>
    </row>
    <row r="816">
      <c r="A816" s="2" t="n">
        <v>45668</v>
      </c>
      <c r="B816" t="n">
        <v>2025</v>
      </c>
      <c r="C816" t="inlineStr">
        <is>
          <t>January</t>
        </is>
      </c>
      <c r="D816" t="inlineStr">
        <is>
          <t>Essential Charger</t>
        </is>
      </c>
      <c r="E816" t="inlineStr">
        <is>
          <t>Electronics</t>
        </is>
      </c>
      <c r="F816" t="inlineStr">
        <is>
          <t>Olivia Conti</t>
        </is>
      </c>
      <c r="G816" t="inlineStr">
        <is>
          <t>France</t>
        </is>
      </c>
      <c r="H816" t="inlineStr">
        <is>
          <t>Retail Store</t>
        </is>
      </c>
      <c r="I816" t="n">
        <v>3</v>
      </c>
      <c r="J816" s="3" t="n">
        <v>136.95</v>
      </c>
      <c r="K816" s="3" t="n">
        <v>0</v>
      </c>
      <c r="L816" s="3" t="n">
        <v>136.95</v>
      </c>
      <c r="M816" s="3" t="n">
        <v>87.3</v>
      </c>
      <c r="N816" s="3" t="n">
        <v>49.65</v>
      </c>
      <c r="O816">
        <f>TEXT(A816,"yyyy-mm")</f>
        <v/>
      </c>
    </row>
    <row r="817">
      <c r="A817" s="2" t="n">
        <v>45668</v>
      </c>
      <c r="B817" t="n">
        <v>2025</v>
      </c>
      <c r="C817" t="inlineStr">
        <is>
          <t>January</t>
        </is>
      </c>
      <c r="D817" t="inlineStr">
        <is>
          <t>Premium Tent</t>
        </is>
      </c>
      <c r="E817" t="inlineStr">
        <is>
          <t>Sports &amp; Outdoors</t>
        </is>
      </c>
      <c r="F817" t="inlineStr">
        <is>
          <t>Laura Conti</t>
        </is>
      </c>
      <c r="G817" t="inlineStr">
        <is>
          <t>United Kingdom</t>
        </is>
      </c>
      <c r="H817" t="inlineStr">
        <is>
          <t>Web Store</t>
        </is>
      </c>
      <c r="I817" t="n">
        <v>3</v>
      </c>
      <c r="J817" s="3" t="n">
        <v>747.51</v>
      </c>
      <c r="K817" s="3" t="n">
        <v>149.5</v>
      </c>
      <c r="L817" s="3" t="n">
        <v>598.01</v>
      </c>
      <c r="M817" s="3" t="n">
        <v>417.12</v>
      </c>
      <c r="N817" s="3" t="n">
        <v>180.89</v>
      </c>
      <c r="O817">
        <f>TEXT(A817,"yyyy-mm")</f>
        <v/>
      </c>
    </row>
    <row r="818">
      <c r="A818" s="2" t="n">
        <v>45668</v>
      </c>
      <c r="B818" t="n">
        <v>2025</v>
      </c>
      <c r="C818" t="inlineStr">
        <is>
          <t>January</t>
        </is>
      </c>
      <c r="D818" t="inlineStr">
        <is>
          <t>Portable Speaker</t>
        </is>
      </c>
      <c r="E818" t="inlineStr">
        <is>
          <t>Electronics</t>
        </is>
      </c>
      <c r="F818" t="inlineStr">
        <is>
          <t>Laura Conti</t>
        </is>
      </c>
      <c r="G818" t="inlineStr">
        <is>
          <t>United Kingdom</t>
        </is>
      </c>
      <c r="H818" t="inlineStr">
        <is>
          <t>Web Store</t>
        </is>
      </c>
      <c r="I818" t="n">
        <v>4</v>
      </c>
      <c r="J818" s="3" t="n">
        <v>1353.52</v>
      </c>
      <c r="K818" s="3" t="n">
        <v>67.68000000000001</v>
      </c>
      <c r="L818" s="3" t="n">
        <v>1285.84</v>
      </c>
      <c r="M818" s="3" t="n">
        <v>699.3200000000001</v>
      </c>
      <c r="N818" s="3" t="n">
        <v>586.52</v>
      </c>
      <c r="O818">
        <f>TEXT(A818,"yyyy-mm")</f>
        <v/>
      </c>
    </row>
    <row r="819">
      <c r="A819" s="2" t="n">
        <v>45669</v>
      </c>
      <c r="B819" t="n">
        <v>2025</v>
      </c>
      <c r="C819" t="inlineStr">
        <is>
          <t>January</t>
        </is>
      </c>
      <c r="D819" t="inlineStr">
        <is>
          <t>Eco Tent</t>
        </is>
      </c>
      <c r="E819" t="inlineStr">
        <is>
          <t>Sports &amp; Outdoors</t>
        </is>
      </c>
      <c r="F819" t="inlineStr">
        <is>
          <t>James Weber</t>
        </is>
      </c>
      <c r="G819" t="inlineStr">
        <is>
          <t>Germany</t>
        </is>
      </c>
      <c r="H819" t="inlineStr">
        <is>
          <t>Marketplace</t>
        </is>
      </c>
      <c r="I819" t="n">
        <v>5</v>
      </c>
      <c r="J819" s="3" t="n">
        <v>1252.85</v>
      </c>
      <c r="K819" s="3" t="n">
        <v>0</v>
      </c>
      <c r="L819" s="3" t="n">
        <v>1252.85</v>
      </c>
      <c r="M819" s="3" t="n">
        <v>675.15</v>
      </c>
      <c r="N819" s="3" t="n">
        <v>577.7</v>
      </c>
      <c r="O819">
        <f>TEXT(A819,"yyyy-mm")</f>
        <v/>
      </c>
    </row>
    <row r="820">
      <c r="A820" s="2" t="n">
        <v>45670</v>
      </c>
      <c r="B820" t="n">
        <v>2025</v>
      </c>
      <c r="C820" t="inlineStr">
        <is>
          <t>January</t>
        </is>
      </c>
      <c r="D820" t="inlineStr">
        <is>
          <t>Portable Speaker</t>
        </is>
      </c>
      <c r="E820" t="inlineStr">
        <is>
          <t>Electronics</t>
        </is>
      </c>
      <c r="F820" t="inlineStr">
        <is>
          <t>Emily Brown</t>
        </is>
      </c>
      <c r="G820" t="inlineStr">
        <is>
          <t>United States</t>
        </is>
      </c>
      <c r="H820" t="inlineStr">
        <is>
          <t>Retail Store</t>
        </is>
      </c>
      <c r="I820" t="n">
        <v>4</v>
      </c>
      <c r="J820" s="3" t="n">
        <v>1271.2</v>
      </c>
      <c r="K820" s="3" t="n">
        <v>127.12</v>
      </c>
      <c r="L820" s="3" t="n">
        <v>1144.08</v>
      </c>
      <c r="M820" s="3" t="n">
        <v>699.3200000000001</v>
      </c>
      <c r="N820" s="3" t="n">
        <v>444.76</v>
      </c>
      <c r="O820">
        <f>TEXT(A820,"yyyy-mm")</f>
        <v/>
      </c>
    </row>
    <row r="821">
      <c r="A821" s="2" t="n">
        <v>45670</v>
      </c>
      <c r="B821" t="n">
        <v>2025</v>
      </c>
      <c r="C821" t="inlineStr">
        <is>
          <t>January</t>
        </is>
      </c>
      <c r="D821" t="inlineStr">
        <is>
          <t>Ultra Backpack</t>
        </is>
      </c>
      <c r="E821" t="inlineStr">
        <is>
          <t>Sports &amp; Outdoors</t>
        </is>
      </c>
      <c r="F821" t="inlineStr">
        <is>
          <t>Emily Brown</t>
        </is>
      </c>
      <c r="G821" t="inlineStr">
        <is>
          <t>United States</t>
        </is>
      </c>
      <c r="H821" t="inlineStr">
        <is>
          <t>Retail Store</t>
        </is>
      </c>
      <c r="I821" t="n">
        <v>3</v>
      </c>
      <c r="J821" s="3" t="n">
        <v>928.8</v>
      </c>
      <c r="K821" s="3" t="n">
        <v>92.88</v>
      </c>
      <c r="L821" s="3" t="n">
        <v>835.92</v>
      </c>
      <c r="M821" s="3" t="n">
        <v>521.0700000000001</v>
      </c>
      <c r="N821" s="3" t="n">
        <v>314.85</v>
      </c>
      <c r="O821">
        <f>TEXT(A821,"yyyy-mm")</f>
        <v/>
      </c>
    </row>
    <row r="822">
      <c r="A822" s="2" t="n">
        <v>45670</v>
      </c>
      <c r="B822" t="n">
        <v>2025</v>
      </c>
      <c r="C822" t="inlineStr">
        <is>
          <t>January</t>
        </is>
      </c>
      <c r="D822" t="inlineStr">
        <is>
          <t>Essential Vitamins</t>
        </is>
      </c>
      <c r="E822" t="inlineStr">
        <is>
          <t>Beauty &amp; Health</t>
        </is>
      </c>
      <c r="F822" t="inlineStr">
        <is>
          <t>Maria Smith</t>
        </is>
      </c>
      <c r="G822" t="inlineStr">
        <is>
          <t>Poland</t>
        </is>
      </c>
      <c r="H822" t="inlineStr">
        <is>
          <t>Mobile App</t>
        </is>
      </c>
      <c r="I822" t="n">
        <v>3</v>
      </c>
      <c r="J822" s="3" t="n">
        <v>537.0599999999999</v>
      </c>
      <c r="K822" s="3" t="n">
        <v>26.85</v>
      </c>
      <c r="L822" s="3" t="n">
        <v>510.21</v>
      </c>
      <c r="M822" s="3" t="n">
        <v>330.9</v>
      </c>
      <c r="N822" s="3" t="n">
        <v>179.31</v>
      </c>
      <c r="O822">
        <f>TEXT(A822,"yyyy-mm")</f>
        <v/>
      </c>
    </row>
    <row r="823">
      <c r="A823" s="2" t="n">
        <v>45670</v>
      </c>
      <c r="B823" t="n">
        <v>2025</v>
      </c>
      <c r="C823" t="inlineStr">
        <is>
          <t>January</t>
        </is>
      </c>
      <c r="D823" t="inlineStr">
        <is>
          <t>Smart Cookbook</t>
        </is>
      </c>
      <c r="E823" t="inlineStr">
        <is>
          <t>Books</t>
        </is>
      </c>
      <c r="F823" t="inlineStr">
        <is>
          <t>Olivia Fischer</t>
        </is>
      </c>
      <c r="G823" t="inlineStr">
        <is>
          <t>France</t>
        </is>
      </c>
      <c r="H823" t="inlineStr">
        <is>
          <t>Retail Store</t>
        </is>
      </c>
      <c r="I823" t="n">
        <v>2</v>
      </c>
      <c r="J823" s="3" t="n">
        <v>37.36</v>
      </c>
      <c r="K823" s="3" t="n">
        <v>5.6</v>
      </c>
      <c r="L823" s="3" t="n">
        <v>31.76</v>
      </c>
      <c r="M823" s="3" t="n">
        <v>19.76</v>
      </c>
      <c r="N823" s="3" t="n">
        <v>12</v>
      </c>
      <c r="O823">
        <f>TEXT(A823,"yyyy-mm")</f>
        <v/>
      </c>
    </row>
    <row r="824">
      <c r="A824" s="2" t="n">
        <v>45670</v>
      </c>
      <c r="B824" t="n">
        <v>2025</v>
      </c>
      <c r="C824" t="inlineStr">
        <is>
          <t>January</t>
        </is>
      </c>
      <c r="D824" t="inlineStr">
        <is>
          <t>Classic Charger</t>
        </is>
      </c>
      <c r="E824" t="inlineStr">
        <is>
          <t>Electronics</t>
        </is>
      </c>
      <c r="F824" t="inlineStr">
        <is>
          <t>Maria Smith</t>
        </is>
      </c>
      <c r="G824" t="inlineStr">
        <is>
          <t>Poland</t>
        </is>
      </c>
      <c r="H824" t="inlineStr">
        <is>
          <t>Mobile App</t>
        </is>
      </c>
      <c r="I824" t="n">
        <v>1</v>
      </c>
      <c r="J824" s="3" t="n">
        <v>98.64</v>
      </c>
      <c r="K824" s="3" t="n">
        <v>19.73</v>
      </c>
      <c r="L824" s="3" t="n">
        <v>78.91</v>
      </c>
      <c r="M824" s="3" t="n">
        <v>62.21</v>
      </c>
      <c r="N824" s="3" t="n">
        <v>16.7</v>
      </c>
      <c r="O824">
        <f>TEXT(A824,"yyyy-mm")</f>
        <v/>
      </c>
    </row>
    <row r="825">
      <c r="A825" s="2" t="n">
        <v>45670</v>
      </c>
      <c r="B825" t="n">
        <v>2025</v>
      </c>
      <c r="C825" t="inlineStr">
        <is>
          <t>January</t>
        </is>
      </c>
      <c r="D825" t="inlineStr">
        <is>
          <t>Classic Sunscreen</t>
        </is>
      </c>
      <c r="E825" t="inlineStr">
        <is>
          <t>Beauty &amp; Health</t>
        </is>
      </c>
      <c r="F825" t="inlineStr">
        <is>
          <t>Clara Garcia</t>
        </is>
      </c>
      <c r="G825" t="inlineStr">
        <is>
          <t>France</t>
        </is>
      </c>
      <c r="H825" t="inlineStr">
        <is>
          <t>Retail Store</t>
        </is>
      </c>
      <c r="I825" t="n">
        <v>5</v>
      </c>
      <c r="J825" s="3" t="n">
        <v>703.4</v>
      </c>
      <c r="K825" s="3" t="n">
        <v>70.34</v>
      </c>
      <c r="L825" s="3" t="n">
        <v>633.0599999999999</v>
      </c>
      <c r="M825" s="3" t="n">
        <v>468.45</v>
      </c>
      <c r="N825" s="3" t="n">
        <v>164.61</v>
      </c>
      <c r="O825">
        <f>TEXT(A825,"yyyy-mm")</f>
        <v/>
      </c>
    </row>
    <row r="826">
      <c r="A826" s="2" t="n">
        <v>45670</v>
      </c>
      <c r="B826" t="n">
        <v>2025</v>
      </c>
      <c r="C826" t="inlineStr">
        <is>
          <t>January</t>
        </is>
      </c>
      <c r="D826" t="inlineStr">
        <is>
          <t>Smart Puzzle</t>
        </is>
      </c>
      <c r="E826" t="inlineStr">
        <is>
          <t>Toys &amp; Games</t>
        </is>
      </c>
      <c r="F826" t="inlineStr">
        <is>
          <t>Maria Smith</t>
        </is>
      </c>
      <c r="G826" t="inlineStr">
        <is>
          <t>Poland</t>
        </is>
      </c>
      <c r="H826" t="inlineStr">
        <is>
          <t>Mobile App</t>
        </is>
      </c>
      <c r="I826" t="n">
        <v>2</v>
      </c>
      <c r="J826" s="3" t="n">
        <v>526.96</v>
      </c>
      <c r="K826" s="3" t="n">
        <v>0</v>
      </c>
      <c r="L826" s="3" t="n">
        <v>526.96</v>
      </c>
      <c r="M826" s="3" t="n">
        <v>385.52</v>
      </c>
      <c r="N826" s="3" t="n">
        <v>141.44</v>
      </c>
      <c r="O826">
        <f>TEXT(A826,"yyyy-mm")</f>
        <v/>
      </c>
    </row>
    <row r="827">
      <c r="A827" s="2" t="n">
        <v>45670</v>
      </c>
      <c r="B827" t="n">
        <v>2025</v>
      </c>
      <c r="C827" t="inlineStr">
        <is>
          <t>January</t>
        </is>
      </c>
      <c r="D827" t="inlineStr">
        <is>
          <t>Smart Charger</t>
        </is>
      </c>
      <c r="E827" t="inlineStr">
        <is>
          <t>Electronics</t>
        </is>
      </c>
      <c r="F827" t="inlineStr">
        <is>
          <t>Olivia Fischer</t>
        </is>
      </c>
      <c r="G827" t="inlineStr">
        <is>
          <t>France</t>
        </is>
      </c>
      <c r="H827" t="inlineStr">
        <is>
          <t>Retail Store</t>
        </is>
      </c>
      <c r="I827" t="n">
        <v>1</v>
      </c>
      <c r="J827" s="3" t="n">
        <v>250.65</v>
      </c>
      <c r="K827" s="3" t="n">
        <v>0</v>
      </c>
      <c r="L827" s="3" t="n">
        <v>250.65</v>
      </c>
      <c r="M827" s="3" t="n">
        <v>142.52</v>
      </c>
      <c r="N827" s="3" t="n">
        <v>108.13</v>
      </c>
      <c r="O827">
        <f>TEXT(A827,"yyyy-mm")</f>
        <v/>
      </c>
    </row>
    <row r="828">
      <c r="A828" s="2" t="n">
        <v>45670</v>
      </c>
      <c r="B828" t="n">
        <v>2025</v>
      </c>
      <c r="C828" t="inlineStr">
        <is>
          <t>January</t>
        </is>
      </c>
      <c r="D828" t="inlineStr">
        <is>
          <t>Classic Bike Helmet</t>
        </is>
      </c>
      <c r="E828" t="inlineStr">
        <is>
          <t>Sports &amp; Outdoors</t>
        </is>
      </c>
      <c r="F828" t="inlineStr">
        <is>
          <t>Maria Smith</t>
        </is>
      </c>
      <c r="G828" t="inlineStr">
        <is>
          <t>Poland</t>
        </is>
      </c>
      <c r="H828" t="inlineStr">
        <is>
          <t>Mobile App</t>
        </is>
      </c>
      <c r="I828" t="n">
        <v>2</v>
      </c>
      <c r="J828" s="3" t="n">
        <v>432.38</v>
      </c>
      <c r="K828" s="3" t="n">
        <v>21.62</v>
      </c>
      <c r="L828" s="3" t="n">
        <v>410.76</v>
      </c>
      <c r="M828" s="3" t="n">
        <v>307.62</v>
      </c>
      <c r="N828" s="3" t="n">
        <v>103.14</v>
      </c>
      <c r="O828">
        <f>TEXT(A828,"yyyy-mm")</f>
        <v/>
      </c>
    </row>
    <row r="829">
      <c r="A829" s="2" t="n">
        <v>45671</v>
      </c>
      <c r="B829" t="n">
        <v>2025</v>
      </c>
      <c r="C829" t="inlineStr">
        <is>
          <t>January</t>
        </is>
      </c>
      <c r="D829" t="inlineStr">
        <is>
          <t>Premium Water Bottle</t>
        </is>
      </c>
      <c r="E829" t="inlineStr">
        <is>
          <t>Sports &amp; Outdoors</t>
        </is>
      </c>
      <c r="F829" t="inlineStr">
        <is>
          <t>Clara Smith</t>
        </is>
      </c>
      <c r="G829" t="inlineStr">
        <is>
          <t>Poland</t>
        </is>
      </c>
      <c r="H829" t="inlineStr">
        <is>
          <t>Retail Store</t>
        </is>
      </c>
      <c r="I829" t="n">
        <v>2</v>
      </c>
      <c r="J829" s="3" t="n">
        <v>56.12</v>
      </c>
      <c r="K829" s="3" t="n">
        <v>0</v>
      </c>
      <c r="L829" s="3" t="n">
        <v>56.12</v>
      </c>
      <c r="M829" s="3" t="n">
        <v>33.26</v>
      </c>
      <c r="N829" s="3" t="n">
        <v>22.86</v>
      </c>
      <c r="O829">
        <f>TEXT(A829,"yyyy-mm")</f>
        <v/>
      </c>
    </row>
    <row r="830">
      <c r="A830" s="2" t="n">
        <v>45671</v>
      </c>
      <c r="B830" t="n">
        <v>2025</v>
      </c>
      <c r="C830" t="inlineStr">
        <is>
          <t>January</t>
        </is>
      </c>
      <c r="D830" t="inlineStr">
        <is>
          <t>Portable Bike Helmet</t>
        </is>
      </c>
      <c r="E830" t="inlineStr">
        <is>
          <t>Sports &amp; Outdoors</t>
        </is>
      </c>
      <c r="F830" t="inlineStr">
        <is>
          <t>Clara Smith</t>
        </is>
      </c>
      <c r="G830" t="inlineStr">
        <is>
          <t>Poland</t>
        </is>
      </c>
      <c r="H830" t="inlineStr">
        <is>
          <t>Retail Store</t>
        </is>
      </c>
      <c r="I830" t="n">
        <v>4</v>
      </c>
      <c r="J830" s="3" t="n">
        <v>1240.24</v>
      </c>
      <c r="K830" s="3" t="n">
        <v>0</v>
      </c>
      <c r="L830" s="3" t="n">
        <v>1240.24</v>
      </c>
      <c r="M830" s="3" t="n">
        <v>661.48</v>
      </c>
      <c r="N830" s="3" t="n">
        <v>578.76</v>
      </c>
      <c r="O830">
        <f>TEXT(A830,"yyyy-mm")</f>
        <v/>
      </c>
    </row>
    <row r="831">
      <c r="A831" s="2" t="n">
        <v>45671</v>
      </c>
      <c r="B831" t="n">
        <v>2025</v>
      </c>
      <c r="C831" t="inlineStr">
        <is>
          <t>January</t>
        </is>
      </c>
      <c r="D831" t="inlineStr">
        <is>
          <t>Smart Charger</t>
        </is>
      </c>
      <c r="E831" t="inlineStr">
        <is>
          <t>Electronics</t>
        </is>
      </c>
      <c r="F831" t="inlineStr">
        <is>
          <t>Peter Martin</t>
        </is>
      </c>
      <c r="G831" t="inlineStr">
        <is>
          <t>Germany</t>
        </is>
      </c>
      <c r="H831" t="inlineStr">
        <is>
          <t>Mobile App</t>
        </is>
      </c>
      <c r="I831" t="n">
        <v>4</v>
      </c>
      <c r="J831" s="3" t="n">
        <v>1047.56</v>
      </c>
      <c r="K831" s="3" t="n">
        <v>104.76</v>
      </c>
      <c r="L831" s="3" t="n">
        <v>942.8</v>
      </c>
      <c r="M831" s="3" t="n">
        <v>570.08</v>
      </c>
      <c r="N831" s="3" t="n">
        <v>372.72</v>
      </c>
      <c r="O831">
        <f>TEXT(A831,"yyyy-mm")</f>
        <v/>
      </c>
    </row>
    <row r="832">
      <c r="A832" s="2" t="n">
        <v>45671</v>
      </c>
      <c r="B832" t="n">
        <v>2025</v>
      </c>
      <c r="C832" t="inlineStr">
        <is>
          <t>January</t>
        </is>
      </c>
      <c r="D832" t="inlineStr">
        <is>
          <t>Smart Honey</t>
        </is>
      </c>
      <c r="E832" t="inlineStr">
        <is>
          <t>Grocery</t>
        </is>
      </c>
      <c r="F832" t="inlineStr">
        <is>
          <t>Robert Wojcik</t>
        </is>
      </c>
      <c r="G832" t="inlineStr">
        <is>
          <t>Italy</t>
        </is>
      </c>
      <c r="H832" t="inlineStr">
        <is>
          <t>Mobile App</t>
        </is>
      </c>
      <c r="I832" t="n">
        <v>4</v>
      </c>
      <c r="J832" s="3" t="n">
        <v>533.6</v>
      </c>
      <c r="K832" s="3" t="n">
        <v>0</v>
      </c>
      <c r="L832" s="3" t="n">
        <v>533.6</v>
      </c>
      <c r="M832" s="3" t="n">
        <v>285.76</v>
      </c>
      <c r="N832" s="3" t="n">
        <v>247.84</v>
      </c>
      <c r="O832">
        <f>TEXT(A832,"yyyy-mm")</f>
        <v/>
      </c>
    </row>
    <row r="833">
      <c r="A833" s="2" t="n">
        <v>45672</v>
      </c>
      <c r="B833" t="n">
        <v>2025</v>
      </c>
      <c r="C833" t="inlineStr">
        <is>
          <t>January</t>
        </is>
      </c>
      <c r="D833" t="inlineStr">
        <is>
          <t>Portable Toolset</t>
        </is>
      </c>
      <c r="E833" t="inlineStr">
        <is>
          <t>Home &amp; Garden</t>
        </is>
      </c>
      <c r="F833" t="inlineStr">
        <is>
          <t>Maria Smith</t>
        </is>
      </c>
      <c r="G833" t="inlineStr">
        <is>
          <t>Poland</t>
        </is>
      </c>
      <c r="H833" t="inlineStr">
        <is>
          <t>Mobile App</t>
        </is>
      </c>
      <c r="I833" t="n">
        <v>4</v>
      </c>
      <c r="J833" s="3" t="n">
        <v>553.4400000000001</v>
      </c>
      <c r="K833" s="3" t="n">
        <v>0</v>
      </c>
      <c r="L833" s="3" t="n">
        <v>553.4400000000001</v>
      </c>
      <c r="M833" s="3" t="n">
        <v>371.4</v>
      </c>
      <c r="N833" s="3" t="n">
        <v>182.04</v>
      </c>
      <c r="O833">
        <f>TEXT(A833,"yyyy-mm")</f>
        <v/>
      </c>
    </row>
    <row r="834">
      <c r="A834" s="2" t="n">
        <v>45672</v>
      </c>
      <c r="B834" t="n">
        <v>2025</v>
      </c>
      <c r="C834" t="inlineStr">
        <is>
          <t>January</t>
        </is>
      </c>
      <c r="D834" t="inlineStr">
        <is>
          <t>Portable Toolset</t>
        </is>
      </c>
      <c r="E834" t="inlineStr">
        <is>
          <t>Home &amp; Garden</t>
        </is>
      </c>
      <c r="F834" t="inlineStr">
        <is>
          <t>Maria Smith</t>
        </is>
      </c>
      <c r="G834" t="inlineStr">
        <is>
          <t>Poland</t>
        </is>
      </c>
      <c r="H834" t="inlineStr">
        <is>
          <t>Mobile App</t>
        </is>
      </c>
      <c r="I834" t="n">
        <v>1</v>
      </c>
      <c r="J834" s="3" t="n">
        <v>92.47</v>
      </c>
      <c r="K834" s="3" t="n">
        <v>4.62</v>
      </c>
      <c r="L834" s="3" t="n">
        <v>87.84999999999999</v>
      </c>
      <c r="M834" s="3" t="n">
        <v>50.54</v>
      </c>
      <c r="N834" s="3" t="n">
        <v>37.31</v>
      </c>
      <c r="O834">
        <f>TEXT(A834,"yyyy-mm")</f>
        <v/>
      </c>
    </row>
    <row r="835">
      <c r="A835" s="2" t="n">
        <v>45672</v>
      </c>
      <c r="B835" t="n">
        <v>2025</v>
      </c>
      <c r="C835" t="inlineStr">
        <is>
          <t>January</t>
        </is>
      </c>
      <c r="D835" t="inlineStr">
        <is>
          <t>Essential Cushion</t>
        </is>
      </c>
      <c r="E835" t="inlineStr">
        <is>
          <t>Home &amp; Garden</t>
        </is>
      </c>
      <c r="F835" t="inlineStr">
        <is>
          <t>Maria Smith</t>
        </is>
      </c>
      <c r="G835" t="inlineStr">
        <is>
          <t>Poland</t>
        </is>
      </c>
      <c r="H835" t="inlineStr">
        <is>
          <t>Mobile App</t>
        </is>
      </c>
      <c r="I835" t="n">
        <v>4</v>
      </c>
      <c r="J835" s="3" t="n">
        <v>180.4</v>
      </c>
      <c r="K835" s="3" t="n">
        <v>27.06</v>
      </c>
      <c r="L835" s="3" t="n">
        <v>153.34</v>
      </c>
      <c r="M835" s="3" t="n">
        <v>122.2</v>
      </c>
      <c r="N835" s="3" t="n">
        <v>31.14</v>
      </c>
      <c r="O835">
        <f>TEXT(A835,"yyyy-mm")</f>
        <v/>
      </c>
    </row>
    <row r="836">
      <c r="A836" s="2" t="n">
        <v>45672</v>
      </c>
      <c r="B836" t="n">
        <v>2025</v>
      </c>
      <c r="C836" t="inlineStr">
        <is>
          <t>January</t>
        </is>
      </c>
      <c r="D836" t="inlineStr">
        <is>
          <t>Smart Coffee Beans</t>
        </is>
      </c>
      <c r="E836" t="inlineStr">
        <is>
          <t>Grocery</t>
        </is>
      </c>
      <c r="F836" t="inlineStr">
        <is>
          <t>Maria Smith</t>
        </is>
      </c>
      <c r="G836" t="inlineStr">
        <is>
          <t>Poland</t>
        </is>
      </c>
      <c r="H836" t="inlineStr">
        <is>
          <t>Mobile App</t>
        </is>
      </c>
      <c r="I836" t="n">
        <v>2</v>
      </c>
      <c r="J836" s="3" t="n">
        <v>212.46</v>
      </c>
      <c r="K836" s="3" t="n">
        <v>10.62</v>
      </c>
      <c r="L836" s="3" t="n">
        <v>201.84</v>
      </c>
      <c r="M836" s="3" t="n">
        <v>145.7</v>
      </c>
      <c r="N836" s="3" t="n">
        <v>56.14</v>
      </c>
      <c r="O836">
        <f>TEXT(A836,"yyyy-mm")</f>
        <v/>
      </c>
    </row>
    <row r="837">
      <c r="A837" s="2" t="n">
        <v>45672</v>
      </c>
      <c r="B837" t="n">
        <v>2025</v>
      </c>
      <c r="C837" t="inlineStr">
        <is>
          <t>January</t>
        </is>
      </c>
      <c r="D837" t="inlineStr">
        <is>
          <t>Smart Face Cream</t>
        </is>
      </c>
      <c r="E837" t="inlineStr">
        <is>
          <t>Beauty &amp; Health</t>
        </is>
      </c>
      <c r="F837" t="inlineStr">
        <is>
          <t>Sophie Rossi</t>
        </is>
      </c>
      <c r="G837" t="inlineStr">
        <is>
          <t>France</t>
        </is>
      </c>
      <c r="H837" t="inlineStr">
        <is>
          <t>Retail Store</t>
        </is>
      </c>
      <c r="I837" t="n">
        <v>5</v>
      </c>
      <c r="J837" s="3" t="n">
        <v>1271.35</v>
      </c>
      <c r="K837" s="3" t="n">
        <v>0</v>
      </c>
      <c r="L837" s="3" t="n">
        <v>1271.35</v>
      </c>
      <c r="M837" s="3" t="n">
        <v>965.7</v>
      </c>
      <c r="N837" s="3" t="n">
        <v>305.65</v>
      </c>
      <c r="O837">
        <f>TEXT(A837,"yyyy-mm")</f>
        <v/>
      </c>
    </row>
    <row r="838">
      <c r="A838" s="2" t="n">
        <v>45672</v>
      </c>
      <c r="B838" t="n">
        <v>2025</v>
      </c>
      <c r="C838" t="inlineStr">
        <is>
          <t>January</t>
        </is>
      </c>
      <c r="D838" t="inlineStr">
        <is>
          <t>Wireless Cookbook</t>
        </is>
      </c>
      <c r="E838" t="inlineStr">
        <is>
          <t>Books</t>
        </is>
      </c>
      <c r="F838" t="inlineStr">
        <is>
          <t>Sophie Rossi</t>
        </is>
      </c>
      <c r="G838" t="inlineStr">
        <is>
          <t>France</t>
        </is>
      </c>
      <c r="H838" t="inlineStr">
        <is>
          <t>Retail Store</t>
        </is>
      </c>
      <c r="I838" t="n">
        <v>2</v>
      </c>
      <c r="J838" s="3" t="n">
        <v>149.06</v>
      </c>
      <c r="K838" s="3" t="n">
        <v>22.36</v>
      </c>
      <c r="L838" s="3" t="n">
        <v>126.7</v>
      </c>
      <c r="M838" s="3" t="n">
        <v>113.22</v>
      </c>
      <c r="N838" s="3" t="n">
        <v>13.48</v>
      </c>
      <c r="O838">
        <f>TEXT(A838,"yyyy-mm")</f>
        <v/>
      </c>
    </row>
    <row r="839">
      <c r="A839" s="2" t="n">
        <v>45672</v>
      </c>
      <c r="B839" t="n">
        <v>2025</v>
      </c>
      <c r="C839" t="inlineStr">
        <is>
          <t>January</t>
        </is>
      </c>
      <c r="D839" t="inlineStr">
        <is>
          <t>Eco Sweater</t>
        </is>
      </c>
      <c r="E839" t="inlineStr">
        <is>
          <t>Clothing</t>
        </is>
      </c>
      <c r="F839" t="inlineStr">
        <is>
          <t>Sophie Garcia</t>
        </is>
      </c>
      <c r="G839" t="inlineStr">
        <is>
          <t>France</t>
        </is>
      </c>
      <c r="H839" t="inlineStr">
        <is>
          <t>Mobile App</t>
        </is>
      </c>
      <c r="I839" t="n">
        <v>2</v>
      </c>
      <c r="J839" s="3" t="n">
        <v>297.22</v>
      </c>
      <c r="K839" s="3" t="n">
        <v>59.44</v>
      </c>
      <c r="L839" s="3" t="n">
        <v>237.78</v>
      </c>
      <c r="M839" s="3" t="n">
        <v>208.46</v>
      </c>
      <c r="N839" s="3" t="n">
        <v>29.32</v>
      </c>
      <c r="O839">
        <f>TEXT(A839,"yyyy-mm")</f>
        <v/>
      </c>
    </row>
    <row r="840">
      <c r="A840" s="2" t="n">
        <v>45672</v>
      </c>
      <c r="B840" t="n">
        <v>2025</v>
      </c>
      <c r="C840" t="inlineStr">
        <is>
          <t>January</t>
        </is>
      </c>
      <c r="D840" t="inlineStr">
        <is>
          <t>Classic Charger</t>
        </is>
      </c>
      <c r="E840" t="inlineStr">
        <is>
          <t>Electronics</t>
        </is>
      </c>
      <c r="F840" t="inlineStr">
        <is>
          <t>Michael Conti</t>
        </is>
      </c>
      <c r="G840" t="inlineStr">
        <is>
          <t>Netherlands</t>
        </is>
      </c>
      <c r="H840" t="inlineStr">
        <is>
          <t>Web Store</t>
        </is>
      </c>
      <c r="I840" t="n">
        <v>5</v>
      </c>
      <c r="J840" s="3" t="n">
        <v>490</v>
      </c>
      <c r="K840" s="3" t="n">
        <v>0</v>
      </c>
      <c r="L840" s="3" t="n">
        <v>490</v>
      </c>
      <c r="M840" s="3" t="n">
        <v>311.05</v>
      </c>
      <c r="N840" s="3" t="n">
        <v>178.95</v>
      </c>
      <c r="O840">
        <f>TEXT(A840,"yyyy-mm")</f>
        <v/>
      </c>
    </row>
    <row r="841">
      <c r="A841" s="2" t="n">
        <v>45672</v>
      </c>
      <c r="B841" t="n">
        <v>2025</v>
      </c>
      <c r="C841" t="inlineStr">
        <is>
          <t>January</t>
        </is>
      </c>
      <c r="D841" t="inlineStr">
        <is>
          <t>Portable Bike Helmet</t>
        </is>
      </c>
      <c r="E841" t="inlineStr">
        <is>
          <t>Sports &amp; Outdoors</t>
        </is>
      </c>
      <c r="F841" t="inlineStr">
        <is>
          <t>Michael Conti</t>
        </is>
      </c>
      <c r="G841" t="inlineStr">
        <is>
          <t>Netherlands</t>
        </is>
      </c>
      <c r="H841" t="inlineStr">
        <is>
          <t>Web Store</t>
        </is>
      </c>
      <c r="I841" t="n">
        <v>5</v>
      </c>
      <c r="J841" s="3" t="n">
        <v>1596.1</v>
      </c>
      <c r="K841" s="3" t="n">
        <v>319.22</v>
      </c>
      <c r="L841" s="3" t="n">
        <v>1276.88</v>
      </c>
      <c r="M841" s="3" t="n">
        <v>826.85</v>
      </c>
      <c r="N841" s="3" t="n">
        <v>450.03</v>
      </c>
      <c r="O841">
        <f>TEXT(A841,"yyyy-mm")</f>
        <v/>
      </c>
    </row>
    <row r="842">
      <c r="A842" s="2" t="n">
        <v>45672</v>
      </c>
      <c r="B842" t="n">
        <v>2025</v>
      </c>
      <c r="C842" t="inlineStr">
        <is>
          <t>January</t>
        </is>
      </c>
      <c r="D842" t="inlineStr">
        <is>
          <t>Portable Tea Set</t>
        </is>
      </c>
      <c r="E842" t="inlineStr">
        <is>
          <t>Grocery</t>
        </is>
      </c>
      <c r="F842" t="inlineStr">
        <is>
          <t>Michael Conti</t>
        </is>
      </c>
      <c r="G842" t="inlineStr">
        <is>
          <t>Netherlands</t>
        </is>
      </c>
      <c r="H842" t="inlineStr">
        <is>
          <t>Web Store</t>
        </is>
      </c>
      <c r="I842" t="n">
        <v>5</v>
      </c>
      <c r="J842" s="3" t="n">
        <v>1362.5</v>
      </c>
      <c r="K842" s="3" t="n">
        <v>0</v>
      </c>
      <c r="L842" s="3" t="n">
        <v>1362.5</v>
      </c>
      <c r="M842" s="3" t="n">
        <v>940.6</v>
      </c>
      <c r="N842" s="3" t="n">
        <v>421.9</v>
      </c>
      <c r="O842">
        <f>TEXT(A842,"yyyy-mm")</f>
        <v/>
      </c>
    </row>
    <row r="843">
      <c r="A843" s="2" t="n">
        <v>45672</v>
      </c>
      <c r="B843" t="n">
        <v>2025</v>
      </c>
      <c r="C843" t="inlineStr">
        <is>
          <t>January</t>
        </is>
      </c>
      <c r="D843" t="inlineStr">
        <is>
          <t>Wireless Coffee Beans</t>
        </is>
      </c>
      <c r="E843" t="inlineStr">
        <is>
          <t>Grocery</t>
        </is>
      </c>
      <c r="F843" t="inlineStr">
        <is>
          <t>Sophie Rossi</t>
        </is>
      </c>
      <c r="G843" t="inlineStr">
        <is>
          <t>France</t>
        </is>
      </c>
      <c r="H843" t="inlineStr">
        <is>
          <t>Retail Store</t>
        </is>
      </c>
      <c r="I843" t="n">
        <v>2</v>
      </c>
      <c r="J843" s="3" t="n">
        <v>244.56</v>
      </c>
      <c r="K843" s="3" t="n">
        <v>0</v>
      </c>
      <c r="L843" s="3" t="n">
        <v>244.56</v>
      </c>
      <c r="M843" s="3" t="n">
        <v>158.74</v>
      </c>
      <c r="N843" s="3" t="n">
        <v>85.81999999999999</v>
      </c>
      <c r="O843">
        <f>TEXT(A843,"yyyy-mm")</f>
        <v/>
      </c>
    </row>
    <row r="844">
      <c r="A844" s="2" t="n">
        <v>45672</v>
      </c>
      <c r="B844" t="n">
        <v>2025</v>
      </c>
      <c r="C844" t="inlineStr">
        <is>
          <t>January</t>
        </is>
      </c>
      <c r="D844" t="inlineStr">
        <is>
          <t>Premium Water Bottle</t>
        </is>
      </c>
      <c r="E844" t="inlineStr">
        <is>
          <t>Sports &amp; Outdoors</t>
        </is>
      </c>
      <c r="F844" t="inlineStr">
        <is>
          <t>Michael Conti</t>
        </is>
      </c>
      <c r="G844" t="inlineStr">
        <is>
          <t>Netherlands</t>
        </is>
      </c>
      <c r="H844" t="inlineStr">
        <is>
          <t>Web Store</t>
        </is>
      </c>
      <c r="I844" t="n">
        <v>4</v>
      </c>
      <c r="J844" s="3" t="n">
        <v>1163.68</v>
      </c>
      <c r="K844" s="3" t="n">
        <v>0</v>
      </c>
      <c r="L844" s="3" t="n">
        <v>1163.68</v>
      </c>
      <c r="M844" s="3" t="n">
        <v>724.64</v>
      </c>
      <c r="N844" s="3" t="n">
        <v>439.04</v>
      </c>
      <c r="O844">
        <f>TEXT(A844,"yyyy-mm")</f>
        <v/>
      </c>
    </row>
    <row r="845">
      <c r="A845" s="2" t="n">
        <v>45672</v>
      </c>
      <c r="B845" t="n">
        <v>2025</v>
      </c>
      <c r="C845" t="inlineStr">
        <is>
          <t>January</t>
        </is>
      </c>
      <c r="D845" t="inlineStr">
        <is>
          <t>Smart Sweater</t>
        </is>
      </c>
      <c r="E845" t="inlineStr">
        <is>
          <t>Clothing</t>
        </is>
      </c>
      <c r="F845" t="inlineStr">
        <is>
          <t>Sophie Rossi</t>
        </is>
      </c>
      <c r="G845" t="inlineStr">
        <is>
          <t>France</t>
        </is>
      </c>
      <c r="H845" t="inlineStr">
        <is>
          <t>Retail Store</t>
        </is>
      </c>
      <c r="I845" t="n">
        <v>4</v>
      </c>
      <c r="J845" s="3" t="n">
        <v>560.92</v>
      </c>
      <c r="K845" s="3" t="n">
        <v>28.05</v>
      </c>
      <c r="L845" s="3" t="n">
        <v>532.87</v>
      </c>
      <c r="M845" s="3" t="n">
        <v>309.4</v>
      </c>
      <c r="N845" s="3" t="n">
        <v>223.47</v>
      </c>
      <c r="O845">
        <f>TEXT(A845,"yyyy-mm")</f>
        <v/>
      </c>
    </row>
    <row r="846">
      <c r="A846" s="2" t="n">
        <v>45672</v>
      </c>
      <c r="B846" t="n">
        <v>2025</v>
      </c>
      <c r="C846" t="inlineStr">
        <is>
          <t>January</t>
        </is>
      </c>
      <c r="D846" t="inlineStr">
        <is>
          <t>Smart Sweater</t>
        </is>
      </c>
      <c r="E846" t="inlineStr">
        <is>
          <t>Clothing</t>
        </is>
      </c>
      <c r="F846" t="inlineStr">
        <is>
          <t>Sophie Garcia</t>
        </is>
      </c>
      <c r="G846" t="inlineStr">
        <is>
          <t>France</t>
        </is>
      </c>
      <c r="H846" t="inlineStr">
        <is>
          <t>Mobile App</t>
        </is>
      </c>
      <c r="I846" t="n">
        <v>5</v>
      </c>
      <c r="J846" s="3" t="n">
        <v>719.45</v>
      </c>
      <c r="K846" s="3" t="n">
        <v>71.94</v>
      </c>
      <c r="L846" s="3" t="n">
        <v>647.5</v>
      </c>
      <c r="M846" s="3" t="n">
        <v>386.75</v>
      </c>
      <c r="N846" s="3" t="n">
        <v>260.75</v>
      </c>
      <c r="O846">
        <f>TEXT(A846,"yyyy-mm")</f>
        <v/>
      </c>
    </row>
    <row r="847">
      <c r="A847" s="2" t="n">
        <v>45673</v>
      </c>
      <c r="B847" t="n">
        <v>2025</v>
      </c>
      <c r="C847" t="inlineStr">
        <is>
          <t>January</t>
        </is>
      </c>
      <c r="D847" t="inlineStr">
        <is>
          <t>Smart Coffee Beans</t>
        </is>
      </c>
      <c r="E847" t="inlineStr">
        <is>
          <t>Grocery</t>
        </is>
      </c>
      <c r="F847" t="inlineStr">
        <is>
          <t>Mark Bianchi</t>
        </is>
      </c>
      <c r="G847" t="inlineStr">
        <is>
          <t>Spain</t>
        </is>
      </c>
      <c r="H847" t="inlineStr">
        <is>
          <t>Retail Store</t>
        </is>
      </c>
      <c r="I847" t="n">
        <v>3</v>
      </c>
      <c r="J847" s="3" t="n">
        <v>313.17</v>
      </c>
      <c r="K847" s="3" t="n">
        <v>31.32</v>
      </c>
      <c r="L847" s="3" t="n">
        <v>281.85</v>
      </c>
      <c r="M847" s="3" t="n">
        <v>218.55</v>
      </c>
      <c r="N847" s="3" t="n">
        <v>63.3</v>
      </c>
      <c r="O847">
        <f>TEXT(A847,"yyyy-mm")</f>
        <v/>
      </c>
    </row>
    <row r="848">
      <c r="A848" s="2" t="n">
        <v>45673</v>
      </c>
      <c r="B848" t="n">
        <v>2025</v>
      </c>
      <c r="C848" t="inlineStr">
        <is>
          <t>January</t>
        </is>
      </c>
      <c r="D848" t="inlineStr">
        <is>
          <t>Wireless Drone</t>
        </is>
      </c>
      <c r="E848" t="inlineStr">
        <is>
          <t>Toys &amp; Games</t>
        </is>
      </c>
      <c r="F848" t="inlineStr">
        <is>
          <t>Mark Bianchi</t>
        </is>
      </c>
      <c r="G848" t="inlineStr">
        <is>
          <t>Spain</t>
        </is>
      </c>
      <c r="H848" t="inlineStr">
        <is>
          <t>Retail Store</t>
        </is>
      </c>
      <c r="I848" t="n">
        <v>2</v>
      </c>
      <c r="J848" s="3" t="n">
        <v>448.38</v>
      </c>
      <c r="K848" s="3" t="n">
        <v>67.26000000000001</v>
      </c>
      <c r="L848" s="3" t="n">
        <v>381.12</v>
      </c>
      <c r="M848" s="3" t="n">
        <v>262.58</v>
      </c>
      <c r="N848" s="3" t="n">
        <v>118.54</v>
      </c>
      <c r="O848">
        <f>TEXT(A848,"yyyy-mm")</f>
        <v/>
      </c>
    </row>
    <row r="849">
      <c r="A849" s="2" t="n">
        <v>45673</v>
      </c>
      <c r="B849" t="n">
        <v>2025</v>
      </c>
      <c r="C849" t="inlineStr">
        <is>
          <t>January</t>
        </is>
      </c>
      <c r="D849" t="inlineStr">
        <is>
          <t>Smart Drone</t>
        </is>
      </c>
      <c r="E849" t="inlineStr">
        <is>
          <t>Toys &amp; Games</t>
        </is>
      </c>
      <c r="F849" t="inlineStr">
        <is>
          <t>Mark Bianchi</t>
        </is>
      </c>
      <c r="G849" t="inlineStr">
        <is>
          <t>Spain</t>
        </is>
      </c>
      <c r="H849" t="inlineStr">
        <is>
          <t>Retail Store</t>
        </is>
      </c>
      <c r="I849" t="n">
        <v>5</v>
      </c>
      <c r="J849" s="3" t="n">
        <v>1059.95</v>
      </c>
      <c r="K849" s="3" t="n">
        <v>211.99</v>
      </c>
      <c r="L849" s="3" t="n">
        <v>847.96</v>
      </c>
      <c r="M849" s="3" t="n">
        <v>634.75</v>
      </c>
      <c r="N849" s="3" t="n">
        <v>213.21</v>
      </c>
      <c r="O849">
        <f>TEXT(A849,"yyyy-mm")</f>
        <v/>
      </c>
    </row>
    <row r="850">
      <c r="A850" s="2" t="n">
        <v>45673</v>
      </c>
      <c r="B850" t="n">
        <v>2025</v>
      </c>
      <c r="C850" t="inlineStr">
        <is>
          <t>January</t>
        </is>
      </c>
      <c r="D850" t="inlineStr">
        <is>
          <t>Portable Toolset</t>
        </is>
      </c>
      <c r="E850" t="inlineStr">
        <is>
          <t>Home &amp; Garden</t>
        </is>
      </c>
      <c r="F850" t="inlineStr">
        <is>
          <t>Mark Bianchi</t>
        </is>
      </c>
      <c r="G850" t="inlineStr">
        <is>
          <t>Spain</t>
        </is>
      </c>
      <c r="H850" t="inlineStr">
        <is>
          <t>Retail Store</t>
        </is>
      </c>
      <c r="I850" t="n">
        <v>5</v>
      </c>
      <c r="J850" s="3" t="n">
        <v>758.35</v>
      </c>
      <c r="K850" s="3" t="n">
        <v>0</v>
      </c>
      <c r="L850" s="3" t="n">
        <v>758.35</v>
      </c>
      <c r="M850" s="3" t="n">
        <v>464.25</v>
      </c>
      <c r="N850" s="3" t="n">
        <v>294.1</v>
      </c>
      <c r="O850">
        <f>TEXT(A850,"yyyy-mm")</f>
        <v/>
      </c>
    </row>
    <row r="851">
      <c r="A851" s="2" t="n">
        <v>45674</v>
      </c>
      <c r="B851" t="n">
        <v>2025</v>
      </c>
      <c r="C851" t="inlineStr">
        <is>
          <t>January</t>
        </is>
      </c>
      <c r="D851" t="inlineStr">
        <is>
          <t>Essential Notebook</t>
        </is>
      </c>
      <c r="E851" t="inlineStr">
        <is>
          <t>Books</t>
        </is>
      </c>
      <c r="F851" t="inlineStr">
        <is>
          <t>Olivia Conti</t>
        </is>
      </c>
      <c r="G851" t="inlineStr">
        <is>
          <t>United Kingdom</t>
        </is>
      </c>
      <c r="H851" t="inlineStr">
        <is>
          <t>Retail Store</t>
        </is>
      </c>
      <c r="I851" t="n">
        <v>1</v>
      </c>
      <c r="J851" s="3" t="n">
        <v>120.49</v>
      </c>
      <c r="K851" s="3" t="n">
        <v>0</v>
      </c>
      <c r="L851" s="3" t="n">
        <v>120.49</v>
      </c>
      <c r="M851" s="3" t="n">
        <v>79.09999999999999</v>
      </c>
      <c r="N851" s="3" t="n">
        <v>41.39</v>
      </c>
      <c r="O851">
        <f>TEXT(A851,"yyyy-mm")</f>
        <v/>
      </c>
    </row>
    <row r="852">
      <c r="A852" s="2" t="n">
        <v>45674</v>
      </c>
      <c r="B852" t="n">
        <v>2025</v>
      </c>
      <c r="C852" t="inlineStr">
        <is>
          <t>January</t>
        </is>
      </c>
      <c r="D852" t="inlineStr">
        <is>
          <t>Eco Sweater</t>
        </is>
      </c>
      <c r="E852" t="inlineStr">
        <is>
          <t>Clothing</t>
        </is>
      </c>
      <c r="F852" t="inlineStr">
        <is>
          <t>Olivia Conti</t>
        </is>
      </c>
      <c r="G852" t="inlineStr">
        <is>
          <t>United Kingdom</t>
        </is>
      </c>
      <c r="H852" t="inlineStr">
        <is>
          <t>Retail Store</t>
        </is>
      </c>
      <c r="I852" t="n">
        <v>5</v>
      </c>
      <c r="J852" s="3" t="n">
        <v>782.95</v>
      </c>
      <c r="K852" s="3" t="n">
        <v>39.15</v>
      </c>
      <c r="L852" s="3" t="n">
        <v>743.8</v>
      </c>
      <c r="M852" s="3" t="n">
        <v>521.15</v>
      </c>
      <c r="N852" s="3" t="n">
        <v>222.65</v>
      </c>
      <c r="O852">
        <f>TEXT(A852,"yyyy-mm")</f>
        <v/>
      </c>
    </row>
    <row r="853">
      <c r="A853" s="2" t="n">
        <v>45674</v>
      </c>
      <c r="B853" t="n">
        <v>2025</v>
      </c>
      <c r="C853" t="inlineStr">
        <is>
          <t>January</t>
        </is>
      </c>
      <c r="D853" t="inlineStr">
        <is>
          <t>Eco Tent</t>
        </is>
      </c>
      <c r="E853" t="inlineStr">
        <is>
          <t>Sports &amp; Outdoors</t>
        </is>
      </c>
      <c r="F853" t="inlineStr">
        <is>
          <t>Olivia Conti</t>
        </is>
      </c>
      <c r="G853" t="inlineStr">
        <is>
          <t>United Kingdom</t>
        </is>
      </c>
      <c r="H853" t="inlineStr">
        <is>
          <t>Retail Store</t>
        </is>
      </c>
      <c r="I853" t="n">
        <v>4</v>
      </c>
      <c r="J853" s="3" t="n">
        <v>280.88</v>
      </c>
      <c r="K853" s="3" t="n">
        <v>56.18</v>
      </c>
      <c r="L853" s="3" t="n">
        <v>224.7</v>
      </c>
      <c r="M853" s="3" t="n">
        <v>175.4</v>
      </c>
      <c r="N853" s="3" t="n">
        <v>49.3</v>
      </c>
      <c r="O853">
        <f>TEXT(A853,"yyyy-mm")</f>
        <v/>
      </c>
    </row>
    <row r="854">
      <c r="A854" s="2" t="n">
        <v>45674</v>
      </c>
      <c r="B854" t="n">
        <v>2025</v>
      </c>
      <c r="C854" t="inlineStr">
        <is>
          <t>January</t>
        </is>
      </c>
      <c r="D854" t="inlineStr">
        <is>
          <t>Ultra Vitamins</t>
        </is>
      </c>
      <c r="E854" t="inlineStr">
        <is>
          <t>Beauty &amp; Health</t>
        </is>
      </c>
      <c r="F854" t="inlineStr">
        <is>
          <t>Olivia Conti</t>
        </is>
      </c>
      <c r="G854" t="inlineStr">
        <is>
          <t>United Kingdom</t>
        </is>
      </c>
      <c r="H854" t="inlineStr">
        <is>
          <t>Retail Store</t>
        </is>
      </c>
      <c r="I854" t="n">
        <v>3</v>
      </c>
      <c r="J854" s="3" t="n">
        <v>661.11</v>
      </c>
      <c r="K854" s="3" t="n">
        <v>0</v>
      </c>
      <c r="L854" s="3" t="n">
        <v>661.11</v>
      </c>
      <c r="M854" s="3" t="n">
        <v>378.3</v>
      </c>
      <c r="N854" s="3" t="n">
        <v>282.81</v>
      </c>
      <c r="O854">
        <f>TEXT(A854,"yyyy-mm")</f>
        <v/>
      </c>
    </row>
    <row r="855">
      <c r="A855" s="2" t="n">
        <v>45675</v>
      </c>
      <c r="B855" t="n">
        <v>2025</v>
      </c>
      <c r="C855" t="inlineStr">
        <is>
          <t>January</t>
        </is>
      </c>
      <c r="D855" t="inlineStr">
        <is>
          <t>Essential Planter</t>
        </is>
      </c>
      <c r="E855" t="inlineStr">
        <is>
          <t>Home &amp; Garden</t>
        </is>
      </c>
      <c r="F855" t="inlineStr">
        <is>
          <t>Peter Smith</t>
        </is>
      </c>
      <c r="G855" t="inlineStr">
        <is>
          <t>Italy</t>
        </is>
      </c>
      <c r="H855" t="inlineStr">
        <is>
          <t>Mobile App</t>
        </is>
      </c>
      <c r="I855" t="n">
        <v>4</v>
      </c>
      <c r="J855" s="3" t="n">
        <v>101.6</v>
      </c>
      <c r="K855" s="3" t="n">
        <v>5.08</v>
      </c>
      <c r="L855" s="3" t="n">
        <v>96.52</v>
      </c>
      <c r="M855" s="3" t="n">
        <v>78.56</v>
      </c>
      <c r="N855" s="3" t="n">
        <v>17.96</v>
      </c>
      <c r="O855">
        <f>TEXT(A855,"yyyy-mm")</f>
        <v/>
      </c>
    </row>
    <row r="856">
      <c r="A856" s="2" t="n">
        <v>45675</v>
      </c>
      <c r="B856" t="n">
        <v>2025</v>
      </c>
      <c r="C856" t="inlineStr">
        <is>
          <t>January</t>
        </is>
      </c>
      <c r="D856" t="inlineStr">
        <is>
          <t>Ultra Backpack</t>
        </is>
      </c>
      <c r="E856" t="inlineStr">
        <is>
          <t>Sports &amp; Outdoors</t>
        </is>
      </c>
      <c r="F856" t="inlineStr">
        <is>
          <t>Peter Smith</t>
        </is>
      </c>
      <c r="G856" t="inlineStr">
        <is>
          <t>Italy</t>
        </is>
      </c>
      <c r="H856" t="inlineStr">
        <is>
          <t>Mobile App</t>
        </is>
      </c>
      <c r="I856" t="n">
        <v>3</v>
      </c>
      <c r="J856" s="3" t="n">
        <v>901.08</v>
      </c>
      <c r="K856" s="3" t="n">
        <v>0</v>
      </c>
      <c r="L856" s="3" t="n">
        <v>901.08</v>
      </c>
      <c r="M856" s="3" t="n">
        <v>521.0700000000001</v>
      </c>
      <c r="N856" s="3" t="n">
        <v>380.01</v>
      </c>
      <c r="O856">
        <f>TEXT(A856,"yyyy-mm")</f>
        <v/>
      </c>
    </row>
    <row r="857">
      <c r="A857" s="2" t="n">
        <v>45675</v>
      </c>
      <c r="B857" t="n">
        <v>2025</v>
      </c>
      <c r="C857" t="inlineStr">
        <is>
          <t>January</t>
        </is>
      </c>
      <c r="D857" t="inlineStr">
        <is>
          <t>Smart Jeans</t>
        </is>
      </c>
      <c r="E857" t="inlineStr">
        <is>
          <t>Clothing</t>
        </is>
      </c>
      <c r="F857" t="inlineStr">
        <is>
          <t>Robert Weber</t>
        </is>
      </c>
      <c r="G857" t="inlineStr">
        <is>
          <t>United States</t>
        </is>
      </c>
      <c r="H857" t="inlineStr">
        <is>
          <t>Marketplace</t>
        </is>
      </c>
      <c r="I857" t="n">
        <v>1</v>
      </c>
      <c r="J857" s="3" t="n">
        <v>274.88</v>
      </c>
      <c r="K857" s="3" t="n">
        <v>27.49</v>
      </c>
      <c r="L857" s="3" t="n">
        <v>247.39</v>
      </c>
      <c r="M857" s="3" t="n">
        <v>193.64</v>
      </c>
      <c r="N857" s="3" t="n">
        <v>53.75</v>
      </c>
      <c r="O857">
        <f>TEXT(A857,"yyyy-mm")</f>
        <v/>
      </c>
    </row>
    <row r="858">
      <c r="A858" s="2" t="n">
        <v>45675</v>
      </c>
      <c r="B858" t="n">
        <v>2025</v>
      </c>
      <c r="C858" t="inlineStr">
        <is>
          <t>January</t>
        </is>
      </c>
      <c r="D858" t="inlineStr">
        <is>
          <t>Deluxe Cookbook</t>
        </is>
      </c>
      <c r="E858" t="inlineStr">
        <is>
          <t>Books</t>
        </is>
      </c>
      <c r="F858" t="inlineStr">
        <is>
          <t>Peter Garcia</t>
        </is>
      </c>
      <c r="G858" t="inlineStr">
        <is>
          <t>Poland</t>
        </is>
      </c>
      <c r="H858" t="inlineStr">
        <is>
          <t>Web Store</t>
        </is>
      </c>
      <c r="I858" t="n">
        <v>3</v>
      </c>
      <c r="J858" s="3" t="n">
        <v>417.24</v>
      </c>
      <c r="K858" s="3" t="n">
        <v>83.45</v>
      </c>
      <c r="L858" s="3" t="n">
        <v>333.79</v>
      </c>
      <c r="M858" s="3" t="n">
        <v>255.81</v>
      </c>
      <c r="N858" s="3" t="n">
        <v>77.98</v>
      </c>
      <c r="O858">
        <f>TEXT(A858,"yyyy-mm")</f>
        <v/>
      </c>
    </row>
    <row r="859">
      <c r="A859" s="2" t="n">
        <v>45675</v>
      </c>
      <c r="B859" t="n">
        <v>2025</v>
      </c>
      <c r="C859" t="inlineStr">
        <is>
          <t>January</t>
        </is>
      </c>
      <c r="D859" t="inlineStr">
        <is>
          <t>Deluxe Smartwatch</t>
        </is>
      </c>
      <c r="E859" t="inlineStr">
        <is>
          <t>Electronics</t>
        </is>
      </c>
      <c r="F859" t="inlineStr">
        <is>
          <t>Peter Garcia</t>
        </is>
      </c>
      <c r="G859" t="inlineStr">
        <is>
          <t>Poland</t>
        </is>
      </c>
      <c r="H859" t="inlineStr">
        <is>
          <t>Web Store</t>
        </is>
      </c>
      <c r="I859" t="n">
        <v>1</v>
      </c>
      <c r="J859" s="3" t="n">
        <v>159.09</v>
      </c>
      <c r="K859" s="3" t="n">
        <v>31.82</v>
      </c>
      <c r="L859" s="3" t="n">
        <v>127.27</v>
      </c>
      <c r="M859" s="3" t="n">
        <v>122.72</v>
      </c>
      <c r="N859" s="3" t="n">
        <v>4.55</v>
      </c>
      <c r="O859">
        <f>TEXT(A859,"yyyy-mm")</f>
        <v/>
      </c>
    </row>
    <row r="860">
      <c r="A860" s="2" t="n">
        <v>45675</v>
      </c>
      <c r="B860" t="n">
        <v>2025</v>
      </c>
      <c r="C860" t="inlineStr">
        <is>
          <t>January</t>
        </is>
      </c>
      <c r="D860" t="inlineStr">
        <is>
          <t>Essential Pasta</t>
        </is>
      </c>
      <c r="E860" t="inlineStr">
        <is>
          <t>Grocery</t>
        </is>
      </c>
      <c r="F860" t="inlineStr">
        <is>
          <t>Peter Garcia</t>
        </is>
      </c>
      <c r="G860" t="inlineStr">
        <is>
          <t>Poland</t>
        </is>
      </c>
      <c r="H860" t="inlineStr">
        <is>
          <t>Web Store</t>
        </is>
      </c>
      <c r="I860" t="n">
        <v>2</v>
      </c>
      <c r="J860" s="3" t="n">
        <v>117.26</v>
      </c>
      <c r="K860" s="3" t="n">
        <v>0</v>
      </c>
      <c r="L860" s="3" t="n">
        <v>117.26</v>
      </c>
      <c r="M860" s="3" t="n">
        <v>71.62</v>
      </c>
      <c r="N860" s="3" t="n">
        <v>45.64</v>
      </c>
      <c r="O860">
        <f>TEXT(A860,"yyyy-mm")</f>
        <v/>
      </c>
    </row>
    <row r="861">
      <c r="A861" s="2" t="n">
        <v>45676</v>
      </c>
      <c r="B861" t="n">
        <v>2025</v>
      </c>
      <c r="C861" t="inlineStr">
        <is>
          <t>January</t>
        </is>
      </c>
      <c r="D861" t="inlineStr">
        <is>
          <t>Deluxe Smartwatch</t>
        </is>
      </c>
      <c r="E861" t="inlineStr">
        <is>
          <t>Electronics</t>
        </is>
      </c>
      <c r="F861" t="inlineStr">
        <is>
          <t>Maria Rossi</t>
        </is>
      </c>
      <c r="G861" t="inlineStr">
        <is>
          <t>Spain</t>
        </is>
      </c>
      <c r="H861" t="inlineStr">
        <is>
          <t>Web Store</t>
        </is>
      </c>
      <c r="I861" t="n">
        <v>4</v>
      </c>
      <c r="J861" s="3" t="n">
        <v>631.04</v>
      </c>
      <c r="K861" s="3" t="n">
        <v>63.1</v>
      </c>
      <c r="L861" s="3" t="n">
        <v>567.9400000000001</v>
      </c>
      <c r="M861" s="3" t="n">
        <v>490.88</v>
      </c>
      <c r="N861" s="3" t="n">
        <v>77.06</v>
      </c>
      <c r="O861">
        <f>TEXT(A861,"yyyy-mm")</f>
        <v/>
      </c>
    </row>
    <row r="862">
      <c r="A862" s="2" t="n">
        <v>45676</v>
      </c>
      <c r="B862" t="n">
        <v>2025</v>
      </c>
      <c r="C862" t="inlineStr">
        <is>
          <t>January</t>
        </is>
      </c>
      <c r="D862" t="inlineStr">
        <is>
          <t>Premium Water Bottle</t>
        </is>
      </c>
      <c r="E862" t="inlineStr">
        <is>
          <t>Sports &amp; Outdoors</t>
        </is>
      </c>
      <c r="F862" t="inlineStr">
        <is>
          <t>Maria Rossi</t>
        </is>
      </c>
      <c r="G862" t="inlineStr">
        <is>
          <t>Spain</t>
        </is>
      </c>
      <c r="H862" t="inlineStr">
        <is>
          <t>Web Store</t>
        </is>
      </c>
      <c r="I862" t="n">
        <v>4</v>
      </c>
      <c r="J862" s="3" t="n">
        <v>1184.84</v>
      </c>
      <c r="K862" s="3" t="n">
        <v>0</v>
      </c>
      <c r="L862" s="3" t="n">
        <v>1184.84</v>
      </c>
      <c r="M862" s="3" t="n">
        <v>724.64</v>
      </c>
      <c r="N862" s="3" t="n">
        <v>460.2</v>
      </c>
      <c r="O862">
        <f>TEXT(A862,"yyyy-mm")</f>
        <v/>
      </c>
    </row>
    <row r="863">
      <c r="A863" s="2" t="n">
        <v>45676</v>
      </c>
      <c r="B863" t="n">
        <v>2025</v>
      </c>
      <c r="C863" t="inlineStr">
        <is>
          <t>January</t>
        </is>
      </c>
      <c r="D863" t="inlineStr">
        <is>
          <t>Essential Lamp</t>
        </is>
      </c>
      <c r="E863" t="inlineStr">
        <is>
          <t>Home &amp; Garden</t>
        </is>
      </c>
      <c r="F863" t="inlineStr">
        <is>
          <t>Maria Rossi</t>
        </is>
      </c>
      <c r="G863" t="inlineStr">
        <is>
          <t>Spain</t>
        </is>
      </c>
      <c r="H863" t="inlineStr">
        <is>
          <t>Web Store</t>
        </is>
      </c>
      <c r="I863" t="n">
        <v>2</v>
      </c>
      <c r="J863" s="3" t="n">
        <v>123.96</v>
      </c>
      <c r="K863" s="3" t="n">
        <v>12.4</v>
      </c>
      <c r="L863" s="3" t="n">
        <v>111.56</v>
      </c>
      <c r="M863" s="3" t="n">
        <v>90.8</v>
      </c>
      <c r="N863" s="3" t="n">
        <v>20.76</v>
      </c>
      <c r="O863">
        <f>TEXT(A863,"yyyy-mm")</f>
        <v/>
      </c>
    </row>
    <row r="864">
      <c r="A864" s="2" t="n">
        <v>45676</v>
      </c>
      <c r="B864" t="n">
        <v>2025</v>
      </c>
      <c r="C864" t="inlineStr">
        <is>
          <t>January</t>
        </is>
      </c>
      <c r="D864" t="inlineStr">
        <is>
          <t>Portable Toolset</t>
        </is>
      </c>
      <c r="E864" t="inlineStr">
        <is>
          <t>Home &amp; Garden</t>
        </is>
      </c>
      <c r="F864" t="inlineStr">
        <is>
          <t>Paul Schmidt</t>
        </is>
      </c>
      <c r="G864" t="inlineStr">
        <is>
          <t>Poland</t>
        </is>
      </c>
      <c r="H864" t="inlineStr">
        <is>
          <t>Mobile App</t>
        </is>
      </c>
      <c r="I864" t="n">
        <v>5</v>
      </c>
      <c r="J864" s="3" t="n">
        <v>700</v>
      </c>
      <c r="K864" s="3" t="n">
        <v>105</v>
      </c>
      <c r="L864" s="3" t="n">
        <v>595</v>
      </c>
      <c r="M864" s="3" t="n">
        <v>464.25</v>
      </c>
      <c r="N864" s="3" t="n">
        <v>130.75</v>
      </c>
      <c r="O864">
        <f>TEXT(A864,"yyyy-mm")</f>
        <v/>
      </c>
    </row>
    <row r="865">
      <c r="A865" s="2" t="n">
        <v>45676</v>
      </c>
      <c r="B865" t="n">
        <v>2025</v>
      </c>
      <c r="C865" t="inlineStr">
        <is>
          <t>January</t>
        </is>
      </c>
      <c r="D865" t="inlineStr">
        <is>
          <t>Eco Biography</t>
        </is>
      </c>
      <c r="E865" t="inlineStr">
        <is>
          <t>Books</t>
        </is>
      </c>
      <c r="F865" t="inlineStr">
        <is>
          <t>Paul Schmidt</t>
        </is>
      </c>
      <c r="G865" t="inlineStr">
        <is>
          <t>Poland</t>
        </is>
      </c>
      <c r="H865" t="inlineStr">
        <is>
          <t>Mobile App</t>
        </is>
      </c>
      <c r="I865" t="n">
        <v>2</v>
      </c>
      <c r="J865" s="3" t="n">
        <v>232.64</v>
      </c>
      <c r="K865" s="3" t="n">
        <v>11.63</v>
      </c>
      <c r="L865" s="3" t="n">
        <v>221.01</v>
      </c>
      <c r="M865" s="3" t="n">
        <v>142.04</v>
      </c>
      <c r="N865" s="3" t="n">
        <v>78.97</v>
      </c>
      <c r="O865">
        <f>TEXT(A865,"yyyy-mm")</f>
        <v/>
      </c>
    </row>
    <row r="866">
      <c r="A866" s="2" t="n">
        <v>45676</v>
      </c>
      <c r="B866" t="n">
        <v>2025</v>
      </c>
      <c r="C866" t="inlineStr">
        <is>
          <t>January</t>
        </is>
      </c>
      <c r="D866" t="inlineStr">
        <is>
          <t>Wireless Honey</t>
        </is>
      </c>
      <c r="E866" t="inlineStr">
        <is>
          <t>Grocery</t>
        </is>
      </c>
      <c r="F866" t="inlineStr">
        <is>
          <t>Paul Schmidt</t>
        </is>
      </c>
      <c r="G866" t="inlineStr">
        <is>
          <t>Poland</t>
        </is>
      </c>
      <c r="H866" t="inlineStr">
        <is>
          <t>Mobile App</t>
        </is>
      </c>
      <c r="I866" t="n">
        <v>2</v>
      </c>
      <c r="J866" s="3" t="n">
        <v>264.94</v>
      </c>
      <c r="K866" s="3" t="n">
        <v>0</v>
      </c>
      <c r="L866" s="3" t="n">
        <v>264.94</v>
      </c>
      <c r="M866" s="3" t="n">
        <v>188.14</v>
      </c>
      <c r="N866" s="3" t="n">
        <v>76.8</v>
      </c>
      <c r="O866">
        <f>TEXT(A866,"yyyy-mm")</f>
        <v/>
      </c>
    </row>
    <row r="867">
      <c r="A867" s="2" t="n">
        <v>45676</v>
      </c>
      <c r="B867" t="n">
        <v>2025</v>
      </c>
      <c r="C867" t="inlineStr">
        <is>
          <t>January</t>
        </is>
      </c>
      <c r="D867" t="inlineStr">
        <is>
          <t>Smart Camera</t>
        </is>
      </c>
      <c r="E867" t="inlineStr">
        <is>
          <t>Electronics</t>
        </is>
      </c>
      <c r="F867" t="inlineStr">
        <is>
          <t>Anna Bianchi</t>
        </is>
      </c>
      <c r="G867" t="inlineStr">
        <is>
          <t>Italy</t>
        </is>
      </c>
      <c r="H867" t="inlineStr">
        <is>
          <t>Mobile App</t>
        </is>
      </c>
      <c r="I867" t="n">
        <v>2</v>
      </c>
      <c r="J867" s="3" t="n">
        <v>235.96</v>
      </c>
      <c r="K867" s="3" t="n">
        <v>47.19</v>
      </c>
      <c r="L867" s="3" t="n">
        <v>188.77</v>
      </c>
      <c r="M867" s="3" t="n">
        <v>171.16</v>
      </c>
      <c r="N867" s="3" t="n">
        <v>17.61</v>
      </c>
      <c r="O867">
        <f>TEXT(A867,"yyyy-mm")</f>
        <v/>
      </c>
    </row>
    <row r="868">
      <c r="A868" s="2" t="n">
        <v>45676</v>
      </c>
      <c r="B868" t="n">
        <v>2025</v>
      </c>
      <c r="C868" t="inlineStr">
        <is>
          <t>January</t>
        </is>
      </c>
      <c r="D868" t="inlineStr">
        <is>
          <t>Eco Tent</t>
        </is>
      </c>
      <c r="E868" t="inlineStr">
        <is>
          <t>Sports &amp; Outdoors</t>
        </is>
      </c>
      <c r="F868" t="inlineStr">
        <is>
          <t>Anna Bianchi</t>
        </is>
      </c>
      <c r="G868" t="inlineStr">
        <is>
          <t>Italy</t>
        </is>
      </c>
      <c r="H868" t="inlineStr">
        <is>
          <t>Mobile App</t>
        </is>
      </c>
      <c r="I868" t="n">
        <v>5</v>
      </c>
      <c r="J868" s="3" t="n">
        <v>1235.8</v>
      </c>
      <c r="K868" s="3" t="n">
        <v>0</v>
      </c>
      <c r="L868" s="3" t="n">
        <v>1235.8</v>
      </c>
      <c r="M868" s="3" t="n">
        <v>675.15</v>
      </c>
      <c r="N868" s="3" t="n">
        <v>560.65</v>
      </c>
      <c r="O868">
        <f>TEXT(A868,"yyyy-mm")</f>
        <v/>
      </c>
    </row>
    <row r="869">
      <c r="A869" s="2" t="n">
        <v>45676</v>
      </c>
      <c r="B869" t="n">
        <v>2025</v>
      </c>
      <c r="C869" t="inlineStr">
        <is>
          <t>January</t>
        </is>
      </c>
      <c r="D869" t="inlineStr">
        <is>
          <t>Classic Yoga Mat</t>
        </is>
      </c>
      <c r="E869" t="inlineStr">
        <is>
          <t>Sports &amp; Outdoors</t>
        </is>
      </c>
      <c r="F869" t="inlineStr">
        <is>
          <t>Anna Bianchi</t>
        </is>
      </c>
      <c r="G869" t="inlineStr">
        <is>
          <t>Italy</t>
        </is>
      </c>
      <c r="H869" t="inlineStr">
        <is>
          <t>Mobile App</t>
        </is>
      </c>
      <c r="I869" t="n">
        <v>4</v>
      </c>
      <c r="J869" s="3" t="n">
        <v>1385.88</v>
      </c>
      <c r="K869" s="3" t="n">
        <v>207.88</v>
      </c>
      <c r="L869" s="3" t="n">
        <v>1178</v>
      </c>
      <c r="M869" s="3" t="n">
        <v>782.8</v>
      </c>
      <c r="N869" s="3" t="n">
        <v>395.2</v>
      </c>
      <c r="O869">
        <f>TEXT(A869,"yyyy-mm")</f>
        <v/>
      </c>
    </row>
    <row r="870">
      <c r="A870" s="2" t="n">
        <v>45677</v>
      </c>
      <c r="B870" t="n">
        <v>2025</v>
      </c>
      <c r="C870" t="inlineStr">
        <is>
          <t>January</t>
        </is>
      </c>
      <c r="D870" t="inlineStr">
        <is>
          <t>Premium Water Bottle</t>
        </is>
      </c>
      <c r="E870" t="inlineStr">
        <is>
          <t>Sports &amp; Outdoors</t>
        </is>
      </c>
      <c r="F870" t="inlineStr">
        <is>
          <t>Maria Moreau</t>
        </is>
      </c>
      <c r="G870" t="inlineStr">
        <is>
          <t>Germany</t>
        </is>
      </c>
      <c r="H870" t="inlineStr">
        <is>
          <t>Mobile App</t>
        </is>
      </c>
      <c r="I870" t="n">
        <v>2</v>
      </c>
      <c r="J870" s="3" t="n">
        <v>608.74</v>
      </c>
      <c r="K870" s="3" t="n">
        <v>30.44</v>
      </c>
      <c r="L870" s="3" t="n">
        <v>578.3</v>
      </c>
      <c r="M870" s="3" t="n">
        <v>362.32</v>
      </c>
      <c r="N870" s="3" t="n">
        <v>215.98</v>
      </c>
      <c r="O870">
        <f>TEXT(A870,"yyyy-mm")</f>
        <v/>
      </c>
    </row>
    <row r="871">
      <c r="A871" s="2" t="n">
        <v>45677</v>
      </c>
      <c r="B871" t="n">
        <v>2025</v>
      </c>
      <c r="C871" t="inlineStr">
        <is>
          <t>January</t>
        </is>
      </c>
      <c r="D871" t="inlineStr">
        <is>
          <t>Wireless Coffee Beans</t>
        </is>
      </c>
      <c r="E871" t="inlineStr">
        <is>
          <t>Grocery</t>
        </is>
      </c>
      <c r="F871" t="inlineStr">
        <is>
          <t>Maria Moreau</t>
        </is>
      </c>
      <c r="G871" t="inlineStr">
        <is>
          <t>Germany</t>
        </is>
      </c>
      <c r="H871" t="inlineStr">
        <is>
          <t>Mobile App</t>
        </is>
      </c>
      <c r="I871" t="n">
        <v>5</v>
      </c>
      <c r="J871" s="3" t="n">
        <v>1113.5</v>
      </c>
      <c r="K871" s="3" t="n">
        <v>55.68</v>
      </c>
      <c r="L871" s="3" t="n">
        <v>1057.82</v>
      </c>
      <c r="M871" s="3" t="n">
        <v>650.65</v>
      </c>
      <c r="N871" s="3" t="n">
        <v>407.18</v>
      </c>
      <c r="O871">
        <f>TEXT(A871,"yyyy-mm")</f>
        <v/>
      </c>
    </row>
    <row r="872">
      <c r="A872" s="2" t="n">
        <v>45677</v>
      </c>
      <c r="B872" t="n">
        <v>2025</v>
      </c>
      <c r="C872" t="inlineStr">
        <is>
          <t>January</t>
        </is>
      </c>
      <c r="D872" t="inlineStr">
        <is>
          <t>Classic Yoga Mat</t>
        </is>
      </c>
      <c r="E872" t="inlineStr">
        <is>
          <t>Sports &amp; Outdoors</t>
        </is>
      </c>
      <c r="F872" t="inlineStr">
        <is>
          <t>Maria Moreau</t>
        </is>
      </c>
      <c r="G872" t="inlineStr">
        <is>
          <t>Germany</t>
        </is>
      </c>
      <c r="H872" t="inlineStr">
        <is>
          <t>Mobile App</t>
        </is>
      </c>
      <c r="I872" t="n">
        <v>3</v>
      </c>
      <c r="J872" s="3" t="n">
        <v>967.8</v>
      </c>
      <c r="K872" s="3" t="n">
        <v>48.39</v>
      </c>
      <c r="L872" s="3" t="n">
        <v>919.41</v>
      </c>
      <c r="M872" s="3" t="n">
        <v>587.1</v>
      </c>
      <c r="N872" s="3" t="n">
        <v>332.31</v>
      </c>
      <c r="O872">
        <f>TEXT(A872,"yyyy-mm")</f>
        <v/>
      </c>
    </row>
    <row r="873">
      <c r="A873" s="2" t="n">
        <v>45677</v>
      </c>
      <c r="B873" t="n">
        <v>2025</v>
      </c>
      <c r="C873" t="inlineStr">
        <is>
          <t>January</t>
        </is>
      </c>
      <c r="D873" t="inlineStr">
        <is>
          <t>Essential Lamp</t>
        </is>
      </c>
      <c r="E873" t="inlineStr">
        <is>
          <t>Home &amp; Garden</t>
        </is>
      </c>
      <c r="F873" t="inlineStr">
        <is>
          <t>Maria Moreau</t>
        </is>
      </c>
      <c r="G873" t="inlineStr">
        <is>
          <t>Germany</t>
        </is>
      </c>
      <c r="H873" t="inlineStr">
        <is>
          <t>Mobile App</t>
        </is>
      </c>
      <c r="I873" t="n">
        <v>5</v>
      </c>
      <c r="J873" s="3" t="n">
        <v>308.5</v>
      </c>
      <c r="K873" s="3" t="n">
        <v>15.42</v>
      </c>
      <c r="L873" s="3" t="n">
        <v>293.08</v>
      </c>
      <c r="M873" s="3" t="n">
        <v>227</v>
      </c>
      <c r="N873" s="3" t="n">
        <v>66.06999999999999</v>
      </c>
      <c r="O873">
        <f>TEXT(A873,"yyyy-mm")</f>
        <v/>
      </c>
    </row>
    <row r="874">
      <c r="A874" s="2" t="n">
        <v>45677</v>
      </c>
      <c r="B874" t="n">
        <v>2025</v>
      </c>
      <c r="C874" t="inlineStr">
        <is>
          <t>January</t>
        </is>
      </c>
      <c r="D874" t="inlineStr">
        <is>
          <t>Smart Puzzle</t>
        </is>
      </c>
      <c r="E874" t="inlineStr">
        <is>
          <t>Toys &amp; Games</t>
        </is>
      </c>
      <c r="F874" t="inlineStr">
        <is>
          <t>Maria Bianchi</t>
        </is>
      </c>
      <c r="G874" t="inlineStr">
        <is>
          <t>France</t>
        </is>
      </c>
      <c r="H874" t="inlineStr">
        <is>
          <t>Web Store</t>
        </is>
      </c>
      <c r="I874" t="n">
        <v>2</v>
      </c>
      <c r="J874" s="3" t="n">
        <v>527.1</v>
      </c>
      <c r="K874" s="3" t="n">
        <v>79.06</v>
      </c>
      <c r="L874" s="3" t="n">
        <v>448.04</v>
      </c>
      <c r="M874" s="3" t="n">
        <v>385.52</v>
      </c>
      <c r="N874" s="3" t="n">
        <v>62.52</v>
      </c>
      <c r="O874">
        <f>TEXT(A874,"yyyy-mm")</f>
        <v/>
      </c>
    </row>
    <row r="875">
      <c r="A875" s="2" t="n">
        <v>45677</v>
      </c>
      <c r="B875" t="n">
        <v>2025</v>
      </c>
      <c r="C875" t="inlineStr">
        <is>
          <t>January</t>
        </is>
      </c>
      <c r="D875" t="inlineStr">
        <is>
          <t>Smart Face Cream</t>
        </is>
      </c>
      <c r="E875" t="inlineStr">
        <is>
          <t>Beauty &amp; Health</t>
        </is>
      </c>
      <c r="F875" t="inlineStr">
        <is>
          <t>Maria Bianchi</t>
        </is>
      </c>
      <c r="G875" t="inlineStr">
        <is>
          <t>France</t>
        </is>
      </c>
      <c r="H875" t="inlineStr">
        <is>
          <t>Web Store</t>
        </is>
      </c>
      <c r="I875" t="n">
        <v>1</v>
      </c>
      <c r="J875" s="3" t="n">
        <v>258.75</v>
      </c>
      <c r="K875" s="3" t="n">
        <v>38.81</v>
      </c>
      <c r="L875" s="3" t="n">
        <v>219.94</v>
      </c>
      <c r="M875" s="3" t="n">
        <v>193.14</v>
      </c>
      <c r="N875" s="3" t="n">
        <v>26.8</v>
      </c>
      <c r="O875">
        <f>TEXT(A875,"yyyy-mm")</f>
        <v/>
      </c>
    </row>
    <row r="876">
      <c r="A876" s="2" t="n">
        <v>45677</v>
      </c>
      <c r="B876" t="n">
        <v>2025</v>
      </c>
      <c r="C876" t="inlineStr">
        <is>
          <t>January</t>
        </is>
      </c>
      <c r="D876" t="inlineStr">
        <is>
          <t>Classic Coffee Beans</t>
        </is>
      </c>
      <c r="E876" t="inlineStr">
        <is>
          <t>Grocery</t>
        </is>
      </c>
      <c r="F876" t="inlineStr">
        <is>
          <t>Maria Bianchi</t>
        </is>
      </c>
      <c r="G876" t="inlineStr">
        <is>
          <t>France</t>
        </is>
      </c>
      <c r="H876" t="inlineStr">
        <is>
          <t>Web Store</t>
        </is>
      </c>
      <c r="I876" t="n">
        <v>5</v>
      </c>
      <c r="J876" s="3" t="n">
        <v>1700.95</v>
      </c>
      <c r="K876" s="3" t="n">
        <v>85.05</v>
      </c>
      <c r="L876" s="3" t="n">
        <v>1615.9</v>
      </c>
      <c r="M876" s="3" t="n">
        <v>973.8</v>
      </c>
      <c r="N876" s="3" t="n">
        <v>642.1</v>
      </c>
      <c r="O876">
        <f>TEXT(A876,"yyyy-mm")</f>
        <v/>
      </c>
    </row>
    <row r="877">
      <c r="A877" s="2" t="n">
        <v>45677</v>
      </c>
      <c r="B877" t="n">
        <v>2025</v>
      </c>
      <c r="C877" t="inlineStr">
        <is>
          <t>January</t>
        </is>
      </c>
      <c r="D877" t="inlineStr">
        <is>
          <t>Eco Tent</t>
        </is>
      </c>
      <c r="E877" t="inlineStr">
        <is>
          <t>Sports &amp; Outdoors</t>
        </is>
      </c>
      <c r="F877" t="inlineStr">
        <is>
          <t>Mark Zielinski</t>
        </is>
      </c>
      <c r="G877" t="inlineStr">
        <is>
          <t>Poland</t>
        </is>
      </c>
      <c r="H877" t="inlineStr">
        <is>
          <t>Mobile App</t>
        </is>
      </c>
      <c r="I877" t="n">
        <v>4</v>
      </c>
      <c r="J877" s="3" t="n">
        <v>946.16</v>
      </c>
      <c r="K877" s="3" t="n">
        <v>141.92</v>
      </c>
      <c r="L877" s="3" t="n">
        <v>804.24</v>
      </c>
      <c r="M877" s="3" t="n">
        <v>540.12</v>
      </c>
      <c r="N877" s="3" t="n">
        <v>264.12</v>
      </c>
      <c r="O877">
        <f>TEXT(A877,"yyyy-mm")</f>
        <v/>
      </c>
    </row>
    <row r="878">
      <c r="A878" s="2" t="n">
        <v>45677</v>
      </c>
      <c r="B878" t="n">
        <v>2025</v>
      </c>
      <c r="C878" t="inlineStr">
        <is>
          <t>January</t>
        </is>
      </c>
      <c r="D878" t="inlineStr">
        <is>
          <t>Essential Pasta</t>
        </is>
      </c>
      <c r="E878" t="inlineStr">
        <is>
          <t>Grocery</t>
        </is>
      </c>
      <c r="F878" t="inlineStr">
        <is>
          <t>Mark Zielinski</t>
        </is>
      </c>
      <c r="G878" t="inlineStr">
        <is>
          <t>Poland</t>
        </is>
      </c>
      <c r="H878" t="inlineStr">
        <is>
          <t>Mobile App</t>
        </is>
      </c>
      <c r="I878" t="n">
        <v>4</v>
      </c>
      <c r="J878" s="3" t="n">
        <v>225.28</v>
      </c>
      <c r="K878" s="3" t="n">
        <v>0</v>
      </c>
      <c r="L878" s="3" t="n">
        <v>225.28</v>
      </c>
      <c r="M878" s="3" t="n">
        <v>143.24</v>
      </c>
      <c r="N878" s="3" t="n">
        <v>82.04000000000001</v>
      </c>
      <c r="O878">
        <f>TEXT(A878,"yyyy-mm")</f>
        <v/>
      </c>
    </row>
    <row r="879">
      <c r="A879" s="2" t="n">
        <v>45677</v>
      </c>
      <c r="B879" t="n">
        <v>2025</v>
      </c>
      <c r="C879" t="inlineStr">
        <is>
          <t>January</t>
        </is>
      </c>
      <c r="D879" t="inlineStr">
        <is>
          <t>Smart Tea Set</t>
        </is>
      </c>
      <c r="E879" t="inlineStr">
        <is>
          <t>Grocery</t>
        </is>
      </c>
      <c r="F879" t="inlineStr">
        <is>
          <t>David Johnson</t>
        </is>
      </c>
      <c r="G879" t="inlineStr">
        <is>
          <t>Netherlands</t>
        </is>
      </c>
      <c r="H879" t="inlineStr">
        <is>
          <t>Web Store</t>
        </is>
      </c>
      <c r="I879" t="n">
        <v>3</v>
      </c>
      <c r="J879" s="3" t="n">
        <v>273.93</v>
      </c>
      <c r="K879" s="3" t="n">
        <v>54.79</v>
      </c>
      <c r="L879" s="3" t="n">
        <v>219.14</v>
      </c>
      <c r="M879" s="3" t="n">
        <v>185.4</v>
      </c>
      <c r="N879" s="3" t="n">
        <v>33.74</v>
      </c>
      <c r="O879">
        <f>TEXT(A879,"yyyy-mm")</f>
        <v/>
      </c>
    </row>
    <row r="880">
      <c r="A880" s="2" t="n">
        <v>45677</v>
      </c>
      <c r="B880" t="n">
        <v>2025</v>
      </c>
      <c r="C880" t="inlineStr">
        <is>
          <t>January</t>
        </is>
      </c>
      <c r="D880" t="inlineStr">
        <is>
          <t>Compact Biography</t>
        </is>
      </c>
      <c r="E880" t="inlineStr">
        <is>
          <t>Books</t>
        </is>
      </c>
      <c r="F880" t="inlineStr">
        <is>
          <t>David Johnson</t>
        </is>
      </c>
      <c r="G880" t="inlineStr">
        <is>
          <t>Netherlands</t>
        </is>
      </c>
      <c r="H880" t="inlineStr">
        <is>
          <t>Web Store</t>
        </is>
      </c>
      <c r="I880" t="n">
        <v>1</v>
      </c>
      <c r="J880" s="3" t="n">
        <v>268.11</v>
      </c>
      <c r="K880" s="3" t="n">
        <v>40.22</v>
      </c>
      <c r="L880" s="3" t="n">
        <v>227.89</v>
      </c>
      <c r="M880" s="3" t="n">
        <v>140.33</v>
      </c>
      <c r="N880" s="3" t="n">
        <v>87.56</v>
      </c>
      <c r="O880">
        <f>TEXT(A880,"yyyy-mm")</f>
        <v/>
      </c>
    </row>
    <row r="881">
      <c r="A881" s="2" t="n">
        <v>45677</v>
      </c>
      <c r="B881" t="n">
        <v>2025</v>
      </c>
      <c r="C881" t="inlineStr">
        <is>
          <t>January</t>
        </is>
      </c>
      <c r="D881" t="inlineStr">
        <is>
          <t>Portable Tea Set</t>
        </is>
      </c>
      <c r="E881" t="inlineStr">
        <is>
          <t>Grocery</t>
        </is>
      </c>
      <c r="F881" t="inlineStr">
        <is>
          <t>David Johnson</t>
        </is>
      </c>
      <c r="G881" t="inlineStr">
        <is>
          <t>Netherlands</t>
        </is>
      </c>
      <c r="H881" t="inlineStr">
        <is>
          <t>Web Store</t>
        </is>
      </c>
      <c r="I881" t="n">
        <v>2</v>
      </c>
      <c r="J881" s="3" t="n">
        <v>528.72</v>
      </c>
      <c r="K881" s="3" t="n">
        <v>105.74</v>
      </c>
      <c r="L881" s="3" t="n">
        <v>422.98</v>
      </c>
      <c r="M881" s="3" t="n">
        <v>376.24</v>
      </c>
      <c r="N881" s="3" t="n">
        <v>46.74</v>
      </c>
      <c r="O881">
        <f>TEXT(A881,"yyyy-mm")</f>
        <v/>
      </c>
    </row>
    <row r="882">
      <c r="A882" s="2" t="n">
        <v>45677</v>
      </c>
      <c r="B882" t="n">
        <v>2025</v>
      </c>
      <c r="C882" t="inlineStr">
        <is>
          <t>January</t>
        </is>
      </c>
      <c r="D882" t="inlineStr">
        <is>
          <t>Eco Tent</t>
        </is>
      </c>
      <c r="E882" t="inlineStr">
        <is>
          <t>Sports &amp; Outdoors</t>
        </is>
      </c>
      <c r="F882" t="inlineStr">
        <is>
          <t>John Brown</t>
        </is>
      </c>
      <c r="G882" t="inlineStr">
        <is>
          <t>France</t>
        </is>
      </c>
      <c r="H882" t="inlineStr">
        <is>
          <t>Retail Store</t>
        </is>
      </c>
      <c r="I882" t="n">
        <v>3</v>
      </c>
      <c r="J882" s="3" t="n">
        <v>756.78</v>
      </c>
      <c r="K882" s="3" t="n">
        <v>113.52</v>
      </c>
      <c r="L882" s="3" t="n">
        <v>643.26</v>
      </c>
      <c r="M882" s="3" t="n">
        <v>405.09</v>
      </c>
      <c r="N882" s="3" t="n">
        <v>238.17</v>
      </c>
      <c r="O882">
        <f>TEXT(A882,"yyyy-mm")</f>
        <v/>
      </c>
    </row>
    <row r="883">
      <c r="A883" s="2" t="n">
        <v>45677</v>
      </c>
      <c r="B883" t="n">
        <v>2025</v>
      </c>
      <c r="C883" t="inlineStr">
        <is>
          <t>January</t>
        </is>
      </c>
      <c r="D883" t="inlineStr">
        <is>
          <t>Portable Bike Helmet</t>
        </is>
      </c>
      <c r="E883" t="inlineStr">
        <is>
          <t>Sports &amp; Outdoors</t>
        </is>
      </c>
      <c r="F883" t="inlineStr">
        <is>
          <t>David Johnson</t>
        </is>
      </c>
      <c r="G883" t="inlineStr">
        <is>
          <t>Netherlands</t>
        </is>
      </c>
      <c r="H883" t="inlineStr">
        <is>
          <t>Web Store</t>
        </is>
      </c>
      <c r="I883" t="n">
        <v>3</v>
      </c>
      <c r="J883" s="3" t="n">
        <v>950.73</v>
      </c>
      <c r="K883" s="3" t="n">
        <v>142.61</v>
      </c>
      <c r="L883" s="3" t="n">
        <v>808.12</v>
      </c>
      <c r="M883" s="3" t="n">
        <v>496.11</v>
      </c>
      <c r="N883" s="3" t="n">
        <v>312.01</v>
      </c>
      <c r="O883">
        <f>TEXT(A883,"yyyy-mm")</f>
        <v/>
      </c>
    </row>
    <row r="884">
      <c r="A884" s="2" t="n">
        <v>45677</v>
      </c>
      <c r="B884" t="n">
        <v>2025</v>
      </c>
      <c r="C884" t="inlineStr">
        <is>
          <t>January</t>
        </is>
      </c>
      <c r="D884" t="inlineStr">
        <is>
          <t>Essential Notebook</t>
        </is>
      </c>
      <c r="E884" t="inlineStr">
        <is>
          <t>Books</t>
        </is>
      </c>
      <c r="F884" t="inlineStr">
        <is>
          <t>Mark Zielinski</t>
        </is>
      </c>
      <c r="G884" t="inlineStr">
        <is>
          <t>Poland</t>
        </is>
      </c>
      <c r="H884" t="inlineStr">
        <is>
          <t>Mobile App</t>
        </is>
      </c>
      <c r="I884" t="n">
        <v>1</v>
      </c>
      <c r="J884" s="3" t="n">
        <v>117.98</v>
      </c>
      <c r="K884" s="3" t="n">
        <v>0</v>
      </c>
      <c r="L884" s="3" t="n">
        <v>117.98</v>
      </c>
      <c r="M884" s="3" t="n">
        <v>79.09999999999999</v>
      </c>
      <c r="N884" s="3" t="n">
        <v>38.88</v>
      </c>
      <c r="O884">
        <f>TEXT(A884,"yyyy-mm")</f>
        <v/>
      </c>
    </row>
    <row r="885">
      <c r="A885" s="2" t="n">
        <v>45677</v>
      </c>
      <c r="B885" t="n">
        <v>2025</v>
      </c>
      <c r="C885" t="inlineStr">
        <is>
          <t>January</t>
        </is>
      </c>
      <c r="D885" t="inlineStr">
        <is>
          <t>Compact Pasta</t>
        </is>
      </c>
      <c r="E885" t="inlineStr">
        <is>
          <t>Grocery</t>
        </is>
      </c>
      <c r="F885" t="inlineStr">
        <is>
          <t>John Brown</t>
        </is>
      </c>
      <c r="G885" t="inlineStr">
        <is>
          <t>France</t>
        </is>
      </c>
      <c r="H885" t="inlineStr">
        <is>
          <t>Retail Store</t>
        </is>
      </c>
      <c r="I885" t="n">
        <v>1</v>
      </c>
      <c r="J885" s="3" t="n">
        <v>321.95</v>
      </c>
      <c r="K885" s="3" t="n">
        <v>48.29</v>
      </c>
      <c r="L885" s="3" t="n">
        <v>273.66</v>
      </c>
      <c r="M885" s="3" t="n">
        <v>199.4</v>
      </c>
      <c r="N885" s="3" t="n">
        <v>74.26000000000001</v>
      </c>
      <c r="O885">
        <f>TEXT(A885,"yyyy-mm")</f>
        <v/>
      </c>
    </row>
    <row r="886">
      <c r="A886" s="2" t="n">
        <v>45678</v>
      </c>
      <c r="B886" t="n">
        <v>2025</v>
      </c>
      <c r="C886" t="inlineStr">
        <is>
          <t>January</t>
        </is>
      </c>
      <c r="D886" t="inlineStr">
        <is>
          <t>Wireless Coffee Beans</t>
        </is>
      </c>
      <c r="E886" t="inlineStr">
        <is>
          <t>Grocery</t>
        </is>
      </c>
      <c r="F886" t="inlineStr">
        <is>
          <t>Laura Rossi</t>
        </is>
      </c>
      <c r="G886" t="inlineStr">
        <is>
          <t>United States</t>
        </is>
      </c>
      <c r="H886" t="inlineStr">
        <is>
          <t>Retail Store</t>
        </is>
      </c>
      <c r="I886" t="n">
        <v>3</v>
      </c>
      <c r="J886" s="3" t="n">
        <v>661.08</v>
      </c>
      <c r="K886" s="3" t="n">
        <v>66.11</v>
      </c>
      <c r="L886" s="3" t="n">
        <v>594.97</v>
      </c>
      <c r="M886" s="3" t="n">
        <v>390.39</v>
      </c>
      <c r="N886" s="3" t="n">
        <v>204.58</v>
      </c>
      <c r="O886">
        <f>TEXT(A886,"yyyy-mm")</f>
        <v/>
      </c>
    </row>
    <row r="887">
      <c r="A887" s="2" t="n">
        <v>45678</v>
      </c>
      <c r="B887" t="n">
        <v>2025</v>
      </c>
      <c r="C887" t="inlineStr">
        <is>
          <t>January</t>
        </is>
      </c>
      <c r="D887" t="inlineStr">
        <is>
          <t>Essential Charger</t>
        </is>
      </c>
      <c r="E887" t="inlineStr">
        <is>
          <t>Electronics</t>
        </is>
      </c>
      <c r="F887" t="inlineStr">
        <is>
          <t>Laura Rossi</t>
        </is>
      </c>
      <c r="G887" t="inlineStr">
        <is>
          <t>United States</t>
        </is>
      </c>
      <c r="H887" t="inlineStr">
        <is>
          <t>Retail Store</t>
        </is>
      </c>
      <c r="I887" t="n">
        <v>2</v>
      </c>
      <c r="J887" s="3" t="n">
        <v>85.90000000000001</v>
      </c>
      <c r="K887" s="3" t="n">
        <v>8.59</v>
      </c>
      <c r="L887" s="3" t="n">
        <v>77.31</v>
      </c>
      <c r="M887" s="3" t="n">
        <v>58.2</v>
      </c>
      <c r="N887" s="3" t="n">
        <v>19.11</v>
      </c>
      <c r="O887">
        <f>TEXT(A887,"yyyy-mm")</f>
        <v/>
      </c>
    </row>
    <row r="888">
      <c r="A888" s="2" t="n">
        <v>45678</v>
      </c>
      <c r="B888" t="n">
        <v>2025</v>
      </c>
      <c r="C888" t="inlineStr">
        <is>
          <t>January</t>
        </is>
      </c>
      <c r="D888" t="inlineStr">
        <is>
          <t>Smart Puzzle</t>
        </is>
      </c>
      <c r="E888" t="inlineStr">
        <is>
          <t>Toys &amp; Games</t>
        </is>
      </c>
      <c r="F888" t="inlineStr">
        <is>
          <t>Laura Rossi</t>
        </is>
      </c>
      <c r="G888" t="inlineStr">
        <is>
          <t>United States</t>
        </is>
      </c>
      <c r="H888" t="inlineStr">
        <is>
          <t>Retail Store</t>
        </is>
      </c>
      <c r="I888" t="n">
        <v>3</v>
      </c>
      <c r="J888" s="3" t="n">
        <v>137.88</v>
      </c>
      <c r="K888" s="3" t="n">
        <v>20.68</v>
      </c>
      <c r="L888" s="3" t="n">
        <v>117.2</v>
      </c>
      <c r="M888" s="3" t="n">
        <v>73.31999999999999</v>
      </c>
      <c r="N888" s="3" t="n">
        <v>43.88</v>
      </c>
      <c r="O888">
        <f>TEXT(A888,"yyyy-mm")</f>
        <v/>
      </c>
    </row>
    <row r="889">
      <c r="A889" s="2" t="n">
        <v>45678</v>
      </c>
      <c r="B889" t="n">
        <v>2025</v>
      </c>
      <c r="C889" t="inlineStr">
        <is>
          <t>January</t>
        </is>
      </c>
      <c r="D889" t="inlineStr">
        <is>
          <t>Smart Charger</t>
        </is>
      </c>
      <c r="E889" t="inlineStr">
        <is>
          <t>Electronics</t>
        </is>
      </c>
      <c r="F889" t="inlineStr">
        <is>
          <t>Laura Rossi</t>
        </is>
      </c>
      <c r="G889" t="inlineStr">
        <is>
          <t>United States</t>
        </is>
      </c>
      <c r="H889" t="inlineStr">
        <is>
          <t>Retail Store</t>
        </is>
      </c>
      <c r="I889" t="n">
        <v>2</v>
      </c>
      <c r="J889" s="3" t="n">
        <v>83.5</v>
      </c>
      <c r="K889" s="3" t="n">
        <v>12.52</v>
      </c>
      <c r="L889" s="3" t="n">
        <v>70.97</v>
      </c>
      <c r="M889" s="3" t="n">
        <v>55.28</v>
      </c>
      <c r="N889" s="3" t="n">
        <v>15.69</v>
      </c>
      <c r="O889">
        <f>TEXT(A889,"yyyy-mm")</f>
        <v/>
      </c>
    </row>
    <row r="890">
      <c r="A890" s="2" t="n">
        <v>45678</v>
      </c>
      <c r="B890" t="n">
        <v>2025</v>
      </c>
      <c r="C890" t="inlineStr">
        <is>
          <t>January</t>
        </is>
      </c>
      <c r="D890" t="inlineStr">
        <is>
          <t>Eco Tent</t>
        </is>
      </c>
      <c r="E890" t="inlineStr">
        <is>
          <t>Sports &amp; Outdoors</t>
        </is>
      </c>
      <c r="F890" t="inlineStr">
        <is>
          <t>Emily Johnson</t>
        </is>
      </c>
      <c r="G890" t="inlineStr">
        <is>
          <t>France</t>
        </is>
      </c>
      <c r="H890" t="inlineStr">
        <is>
          <t>Retail Store</t>
        </is>
      </c>
      <c r="I890" t="n">
        <v>1</v>
      </c>
      <c r="J890" s="3" t="n">
        <v>66.73999999999999</v>
      </c>
      <c r="K890" s="3" t="n">
        <v>13.35</v>
      </c>
      <c r="L890" s="3" t="n">
        <v>53.39</v>
      </c>
      <c r="M890" s="3" t="n">
        <v>43.85</v>
      </c>
      <c r="N890" s="3" t="n">
        <v>9.539999999999999</v>
      </c>
      <c r="O890">
        <f>TEXT(A890,"yyyy-mm")</f>
        <v/>
      </c>
    </row>
    <row r="891">
      <c r="A891" s="2" t="n">
        <v>45678</v>
      </c>
      <c r="B891" t="n">
        <v>2025</v>
      </c>
      <c r="C891" t="inlineStr">
        <is>
          <t>January</t>
        </is>
      </c>
      <c r="D891" t="inlineStr">
        <is>
          <t>Premium Water Bottle</t>
        </is>
      </c>
      <c r="E891" t="inlineStr">
        <is>
          <t>Sports &amp; Outdoors</t>
        </is>
      </c>
      <c r="F891" t="inlineStr">
        <is>
          <t>Emily Johnson</t>
        </is>
      </c>
      <c r="G891" t="inlineStr">
        <is>
          <t>France</t>
        </is>
      </c>
      <c r="H891" t="inlineStr">
        <is>
          <t>Retail Store</t>
        </is>
      </c>
      <c r="I891" t="n">
        <v>1</v>
      </c>
      <c r="J891" s="3" t="n">
        <v>312.41</v>
      </c>
      <c r="K891" s="3" t="n">
        <v>31.24</v>
      </c>
      <c r="L891" s="3" t="n">
        <v>281.17</v>
      </c>
      <c r="M891" s="3" t="n">
        <v>181.16</v>
      </c>
      <c r="N891" s="3" t="n">
        <v>100.01</v>
      </c>
      <c r="O891">
        <f>TEXT(A891,"yyyy-mm")</f>
        <v/>
      </c>
    </row>
    <row r="892">
      <c r="A892" s="2" t="n">
        <v>45678</v>
      </c>
      <c r="B892" t="n">
        <v>2025</v>
      </c>
      <c r="C892" t="inlineStr">
        <is>
          <t>January</t>
        </is>
      </c>
      <c r="D892" t="inlineStr">
        <is>
          <t>Portable Bike Helmet</t>
        </is>
      </c>
      <c r="E892" t="inlineStr">
        <is>
          <t>Sports &amp; Outdoors</t>
        </is>
      </c>
      <c r="F892" t="inlineStr">
        <is>
          <t>Emily Johnson</t>
        </is>
      </c>
      <c r="G892" t="inlineStr">
        <is>
          <t>France</t>
        </is>
      </c>
      <c r="H892" t="inlineStr">
        <is>
          <t>Retail Store</t>
        </is>
      </c>
      <c r="I892" t="n">
        <v>1</v>
      </c>
      <c r="J892" s="3" t="n">
        <v>295.48</v>
      </c>
      <c r="K892" s="3" t="n">
        <v>0</v>
      </c>
      <c r="L892" s="3" t="n">
        <v>295.48</v>
      </c>
      <c r="M892" s="3" t="n">
        <v>165.37</v>
      </c>
      <c r="N892" s="3" t="n">
        <v>130.11</v>
      </c>
      <c r="O892">
        <f>TEXT(A892,"yyyy-mm")</f>
        <v/>
      </c>
    </row>
    <row r="893">
      <c r="A893" s="2" t="n">
        <v>45678</v>
      </c>
      <c r="B893" t="n">
        <v>2025</v>
      </c>
      <c r="C893" t="inlineStr">
        <is>
          <t>January</t>
        </is>
      </c>
      <c r="D893" t="inlineStr">
        <is>
          <t>Essential Jacket</t>
        </is>
      </c>
      <c r="E893" t="inlineStr">
        <is>
          <t>Clothing</t>
        </is>
      </c>
      <c r="F893" t="inlineStr">
        <is>
          <t>Emily Johnson</t>
        </is>
      </c>
      <c r="G893" t="inlineStr">
        <is>
          <t>France</t>
        </is>
      </c>
      <c r="H893" t="inlineStr">
        <is>
          <t>Retail Store</t>
        </is>
      </c>
      <c r="I893" t="n">
        <v>4</v>
      </c>
      <c r="J893" s="3" t="n">
        <v>611.6</v>
      </c>
      <c r="K893" s="3" t="n">
        <v>0</v>
      </c>
      <c r="L893" s="3" t="n">
        <v>611.6</v>
      </c>
      <c r="M893" s="3" t="n">
        <v>341.4</v>
      </c>
      <c r="N893" s="3" t="n">
        <v>270.2</v>
      </c>
      <c r="O893">
        <f>TEXT(A893,"yyyy-mm")</f>
        <v/>
      </c>
    </row>
    <row r="894">
      <c r="A894" s="2" t="n">
        <v>45678</v>
      </c>
      <c r="B894" t="n">
        <v>2025</v>
      </c>
      <c r="C894" t="inlineStr">
        <is>
          <t>January</t>
        </is>
      </c>
      <c r="D894" t="inlineStr">
        <is>
          <t>Ultra Toolset</t>
        </is>
      </c>
      <c r="E894" t="inlineStr">
        <is>
          <t>Home &amp; Garden</t>
        </is>
      </c>
      <c r="F894" t="inlineStr">
        <is>
          <t>Maria Garcia</t>
        </is>
      </c>
      <c r="G894" t="inlineStr">
        <is>
          <t>United Kingdom</t>
        </is>
      </c>
      <c r="H894" t="inlineStr">
        <is>
          <t>Marketplace</t>
        </is>
      </c>
      <c r="I894" t="n">
        <v>5</v>
      </c>
      <c r="J894" s="3" t="n">
        <v>1878.7</v>
      </c>
      <c r="K894" s="3" t="n">
        <v>93.94</v>
      </c>
      <c r="L894" s="3" t="n">
        <v>1784.76</v>
      </c>
      <c r="M894" s="3" t="n">
        <v>952</v>
      </c>
      <c r="N894" s="3" t="n">
        <v>832.77</v>
      </c>
      <c r="O894">
        <f>TEXT(A894,"yyyy-mm")</f>
        <v/>
      </c>
    </row>
    <row r="895">
      <c r="A895" s="2" t="n">
        <v>45678</v>
      </c>
      <c r="B895" t="n">
        <v>2025</v>
      </c>
      <c r="C895" t="inlineStr">
        <is>
          <t>January</t>
        </is>
      </c>
      <c r="D895" t="inlineStr">
        <is>
          <t>Classic Bike Helmet</t>
        </is>
      </c>
      <c r="E895" t="inlineStr">
        <is>
          <t>Sports &amp; Outdoors</t>
        </is>
      </c>
      <c r="F895" t="inlineStr">
        <is>
          <t>Maria Garcia</t>
        </is>
      </c>
      <c r="G895" t="inlineStr">
        <is>
          <t>United Kingdom</t>
        </is>
      </c>
      <c r="H895" t="inlineStr">
        <is>
          <t>Marketplace</t>
        </is>
      </c>
      <c r="I895" t="n">
        <v>4</v>
      </c>
      <c r="J895" s="3" t="n">
        <v>879.04</v>
      </c>
      <c r="K895" s="3" t="n">
        <v>87.90000000000001</v>
      </c>
      <c r="L895" s="3" t="n">
        <v>791.14</v>
      </c>
      <c r="M895" s="3" t="n">
        <v>615.24</v>
      </c>
      <c r="N895" s="3" t="n">
        <v>175.9</v>
      </c>
      <c r="O895">
        <f>TEXT(A895,"yyyy-mm")</f>
        <v/>
      </c>
    </row>
    <row r="896">
      <c r="A896" s="2" t="n">
        <v>45678</v>
      </c>
      <c r="B896" t="n">
        <v>2025</v>
      </c>
      <c r="C896" t="inlineStr">
        <is>
          <t>January</t>
        </is>
      </c>
      <c r="D896" t="inlineStr">
        <is>
          <t>Smart Face Cream</t>
        </is>
      </c>
      <c r="E896" t="inlineStr">
        <is>
          <t>Beauty &amp; Health</t>
        </is>
      </c>
      <c r="F896" t="inlineStr">
        <is>
          <t>Maria Nowak</t>
        </is>
      </c>
      <c r="G896" t="inlineStr">
        <is>
          <t>Poland</t>
        </is>
      </c>
      <c r="H896" t="inlineStr">
        <is>
          <t>Marketplace</t>
        </is>
      </c>
      <c r="I896" t="n">
        <v>1</v>
      </c>
      <c r="J896" s="3" t="n">
        <v>269.91</v>
      </c>
      <c r="K896" s="3" t="n">
        <v>0</v>
      </c>
      <c r="L896" s="3" t="n">
        <v>269.91</v>
      </c>
      <c r="M896" s="3" t="n">
        <v>193.14</v>
      </c>
      <c r="N896" s="3" t="n">
        <v>76.77</v>
      </c>
      <c r="O896">
        <f>TEXT(A896,"yyyy-mm")</f>
        <v/>
      </c>
    </row>
    <row r="897">
      <c r="A897" s="2" t="n">
        <v>45678</v>
      </c>
      <c r="B897" t="n">
        <v>2025</v>
      </c>
      <c r="C897" t="inlineStr">
        <is>
          <t>January</t>
        </is>
      </c>
      <c r="D897" t="inlineStr">
        <is>
          <t>Premium Water Bottle</t>
        </is>
      </c>
      <c r="E897" t="inlineStr">
        <is>
          <t>Sports &amp; Outdoors</t>
        </is>
      </c>
      <c r="F897" t="inlineStr">
        <is>
          <t>Michael Moreau</t>
        </is>
      </c>
      <c r="G897" t="inlineStr">
        <is>
          <t>United States</t>
        </is>
      </c>
      <c r="H897" t="inlineStr">
        <is>
          <t>Mobile App</t>
        </is>
      </c>
      <c r="I897" t="n">
        <v>4</v>
      </c>
      <c r="J897" s="3" t="n">
        <v>1279.28</v>
      </c>
      <c r="K897" s="3" t="n">
        <v>191.89</v>
      </c>
      <c r="L897" s="3" t="n">
        <v>1087.39</v>
      </c>
      <c r="M897" s="3" t="n">
        <v>724.64</v>
      </c>
      <c r="N897" s="3" t="n">
        <v>362.75</v>
      </c>
      <c r="O897">
        <f>TEXT(A897,"yyyy-mm")</f>
        <v/>
      </c>
    </row>
    <row r="898">
      <c r="A898" s="2" t="n">
        <v>45678</v>
      </c>
      <c r="B898" t="n">
        <v>2025</v>
      </c>
      <c r="C898" t="inlineStr">
        <is>
          <t>January</t>
        </is>
      </c>
      <c r="D898" t="inlineStr">
        <is>
          <t>Eco Biography</t>
        </is>
      </c>
      <c r="E898" t="inlineStr">
        <is>
          <t>Books</t>
        </is>
      </c>
      <c r="F898" t="inlineStr">
        <is>
          <t>Maria Garcia</t>
        </is>
      </c>
      <c r="G898" t="inlineStr">
        <is>
          <t>United Kingdom</t>
        </is>
      </c>
      <c r="H898" t="inlineStr">
        <is>
          <t>Marketplace</t>
        </is>
      </c>
      <c r="I898" t="n">
        <v>5</v>
      </c>
      <c r="J898" s="3" t="n">
        <v>593.4</v>
      </c>
      <c r="K898" s="3" t="n">
        <v>29.67</v>
      </c>
      <c r="L898" s="3" t="n">
        <v>563.73</v>
      </c>
      <c r="M898" s="3" t="n">
        <v>355.1</v>
      </c>
      <c r="N898" s="3" t="n">
        <v>208.63</v>
      </c>
      <c r="O898">
        <f>TEXT(A898,"yyyy-mm")</f>
        <v/>
      </c>
    </row>
    <row r="899">
      <c r="A899" s="2" t="n">
        <v>45678</v>
      </c>
      <c r="B899" t="n">
        <v>2025</v>
      </c>
      <c r="C899" t="inlineStr">
        <is>
          <t>January</t>
        </is>
      </c>
      <c r="D899" t="inlineStr">
        <is>
          <t>Smart Coffee Beans</t>
        </is>
      </c>
      <c r="E899" t="inlineStr">
        <is>
          <t>Grocery</t>
        </is>
      </c>
      <c r="F899" t="inlineStr">
        <is>
          <t>Maria Garcia</t>
        </is>
      </c>
      <c r="G899" t="inlineStr">
        <is>
          <t>United Kingdom</t>
        </is>
      </c>
      <c r="H899" t="inlineStr">
        <is>
          <t>Marketplace</t>
        </is>
      </c>
      <c r="I899" t="n">
        <v>4</v>
      </c>
      <c r="J899" s="3" t="n">
        <v>457.92</v>
      </c>
      <c r="K899" s="3" t="n">
        <v>0</v>
      </c>
      <c r="L899" s="3" t="n">
        <v>457.92</v>
      </c>
      <c r="M899" s="3" t="n">
        <v>291.4</v>
      </c>
      <c r="N899" s="3" t="n">
        <v>166.52</v>
      </c>
      <c r="O899">
        <f>TEXT(A899,"yyyy-mm")</f>
        <v/>
      </c>
    </row>
    <row r="900">
      <c r="A900" s="2" t="n">
        <v>45678</v>
      </c>
      <c r="B900" t="n">
        <v>2025</v>
      </c>
      <c r="C900" t="inlineStr">
        <is>
          <t>January</t>
        </is>
      </c>
      <c r="D900" t="inlineStr">
        <is>
          <t>Portable Toolset</t>
        </is>
      </c>
      <c r="E900" t="inlineStr">
        <is>
          <t>Home &amp; Garden</t>
        </is>
      </c>
      <c r="F900" t="inlineStr">
        <is>
          <t>Michael Moreau</t>
        </is>
      </c>
      <c r="G900" t="inlineStr">
        <is>
          <t>United States</t>
        </is>
      </c>
      <c r="H900" t="inlineStr">
        <is>
          <t>Mobile App</t>
        </is>
      </c>
      <c r="I900" t="n">
        <v>1</v>
      </c>
      <c r="J900" s="3" t="n">
        <v>92.22</v>
      </c>
      <c r="K900" s="3" t="n">
        <v>18.44</v>
      </c>
      <c r="L900" s="3" t="n">
        <v>73.78</v>
      </c>
      <c r="M900" s="3" t="n">
        <v>50.54</v>
      </c>
      <c r="N900" s="3" t="n">
        <v>23.24</v>
      </c>
      <c r="O900">
        <f>TEXT(A900,"yyyy-mm")</f>
        <v/>
      </c>
    </row>
    <row r="901">
      <c r="A901" s="2" t="n">
        <v>45678</v>
      </c>
      <c r="B901" t="n">
        <v>2025</v>
      </c>
      <c r="C901" t="inlineStr">
        <is>
          <t>January</t>
        </is>
      </c>
      <c r="D901" t="inlineStr">
        <is>
          <t>Essential Notebook</t>
        </is>
      </c>
      <c r="E901" t="inlineStr">
        <is>
          <t>Books</t>
        </is>
      </c>
      <c r="F901" t="inlineStr">
        <is>
          <t>Michael Moreau</t>
        </is>
      </c>
      <c r="G901" t="inlineStr">
        <is>
          <t>United States</t>
        </is>
      </c>
      <c r="H901" t="inlineStr">
        <is>
          <t>Mobile App</t>
        </is>
      </c>
      <c r="I901" t="n">
        <v>4</v>
      </c>
      <c r="J901" s="3" t="n">
        <v>452.4</v>
      </c>
      <c r="K901" s="3" t="n">
        <v>0</v>
      </c>
      <c r="L901" s="3" t="n">
        <v>452.4</v>
      </c>
      <c r="M901" s="3" t="n">
        <v>316.4</v>
      </c>
      <c r="N901" s="3" t="n">
        <v>136</v>
      </c>
      <c r="O901">
        <f>TEXT(A901,"yyyy-mm")</f>
        <v/>
      </c>
    </row>
    <row r="902">
      <c r="A902" s="2" t="n">
        <v>45678</v>
      </c>
      <c r="B902" t="n">
        <v>2025</v>
      </c>
      <c r="C902" t="inlineStr">
        <is>
          <t>January</t>
        </is>
      </c>
      <c r="D902" t="inlineStr">
        <is>
          <t>Ultra Rug</t>
        </is>
      </c>
      <c r="E902" t="inlineStr">
        <is>
          <t>Home &amp; Garden</t>
        </is>
      </c>
      <c r="F902" t="inlineStr">
        <is>
          <t>Michael Moreau</t>
        </is>
      </c>
      <c r="G902" t="inlineStr">
        <is>
          <t>United States</t>
        </is>
      </c>
      <c r="H902" t="inlineStr">
        <is>
          <t>Mobile App</t>
        </is>
      </c>
      <c r="I902" t="n">
        <v>3</v>
      </c>
      <c r="J902" s="3" t="n">
        <v>155.94</v>
      </c>
      <c r="K902" s="3" t="n">
        <v>0</v>
      </c>
      <c r="L902" s="3" t="n">
        <v>155.94</v>
      </c>
      <c r="M902" s="3" t="n">
        <v>98.73</v>
      </c>
      <c r="N902" s="3" t="n">
        <v>57.21</v>
      </c>
      <c r="O902">
        <f>TEXT(A902,"yyyy-mm")</f>
        <v/>
      </c>
    </row>
    <row r="903">
      <c r="A903" s="2" t="n">
        <v>45678</v>
      </c>
      <c r="B903" t="n">
        <v>2025</v>
      </c>
      <c r="C903" t="inlineStr">
        <is>
          <t>January</t>
        </is>
      </c>
      <c r="D903" t="inlineStr">
        <is>
          <t>Essential Notebook</t>
        </is>
      </c>
      <c r="E903" t="inlineStr">
        <is>
          <t>Books</t>
        </is>
      </c>
      <c r="F903" t="inlineStr">
        <is>
          <t>Maria Nowak</t>
        </is>
      </c>
      <c r="G903" t="inlineStr">
        <is>
          <t>Poland</t>
        </is>
      </c>
      <c r="H903" t="inlineStr">
        <is>
          <t>Marketplace</t>
        </is>
      </c>
      <c r="I903" t="n">
        <v>5</v>
      </c>
      <c r="J903" s="3" t="n">
        <v>618.4</v>
      </c>
      <c r="K903" s="3" t="n">
        <v>92.76000000000001</v>
      </c>
      <c r="L903" s="3" t="n">
        <v>525.64</v>
      </c>
      <c r="M903" s="3" t="n">
        <v>395.5</v>
      </c>
      <c r="N903" s="3" t="n">
        <v>130.14</v>
      </c>
      <c r="O903">
        <f>TEXT(A903,"yyyy-mm")</f>
        <v/>
      </c>
    </row>
    <row r="904">
      <c r="A904" s="2" t="n">
        <v>45678</v>
      </c>
      <c r="B904" t="n">
        <v>2025</v>
      </c>
      <c r="C904" t="inlineStr">
        <is>
          <t>January</t>
        </is>
      </c>
      <c r="D904" t="inlineStr">
        <is>
          <t>Premium Water Bottle</t>
        </is>
      </c>
      <c r="E904" t="inlineStr">
        <is>
          <t>Sports &amp; Outdoors</t>
        </is>
      </c>
      <c r="F904" t="inlineStr">
        <is>
          <t>Maria Nowak</t>
        </is>
      </c>
      <c r="G904" t="inlineStr">
        <is>
          <t>Poland</t>
        </is>
      </c>
      <c r="H904" t="inlineStr">
        <is>
          <t>Marketplace</t>
        </is>
      </c>
      <c r="I904" t="n">
        <v>3</v>
      </c>
      <c r="J904" s="3" t="n">
        <v>368.67</v>
      </c>
      <c r="K904" s="3" t="n">
        <v>0</v>
      </c>
      <c r="L904" s="3" t="n">
        <v>368.67</v>
      </c>
      <c r="M904" s="3" t="n">
        <v>268.86</v>
      </c>
      <c r="N904" s="3" t="n">
        <v>99.81</v>
      </c>
      <c r="O904">
        <f>TEXT(A904,"yyyy-mm")</f>
        <v/>
      </c>
    </row>
    <row r="905">
      <c r="A905" s="2" t="n">
        <v>45679</v>
      </c>
      <c r="B905" t="n">
        <v>2025</v>
      </c>
      <c r="C905" t="inlineStr">
        <is>
          <t>January</t>
        </is>
      </c>
      <c r="D905" t="inlineStr">
        <is>
          <t>Smart Puzzle</t>
        </is>
      </c>
      <c r="E905" t="inlineStr">
        <is>
          <t>Toys &amp; Games</t>
        </is>
      </c>
      <c r="F905" t="inlineStr">
        <is>
          <t>Mark Wilson</t>
        </is>
      </c>
      <c r="G905" t="inlineStr">
        <is>
          <t>Italy</t>
        </is>
      </c>
      <c r="H905" t="inlineStr">
        <is>
          <t>Web Store</t>
        </is>
      </c>
      <c r="I905" t="n">
        <v>3</v>
      </c>
      <c r="J905" s="3" t="n">
        <v>804.9299999999999</v>
      </c>
      <c r="K905" s="3" t="n">
        <v>0</v>
      </c>
      <c r="L905" s="3" t="n">
        <v>804.9299999999999</v>
      </c>
      <c r="M905" s="3" t="n">
        <v>578.28</v>
      </c>
      <c r="N905" s="3" t="n">
        <v>226.65</v>
      </c>
      <c r="O905">
        <f>TEXT(A905,"yyyy-mm")</f>
        <v/>
      </c>
    </row>
    <row r="906">
      <c r="A906" s="2" t="n">
        <v>45679</v>
      </c>
      <c r="B906" t="n">
        <v>2025</v>
      </c>
      <c r="C906" t="inlineStr">
        <is>
          <t>January</t>
        </is>
      </c>
      <c r="D906" t="inlineStr">
        <is>
          <t>Wireless Backpack</t>
        </is>
      </c>
      <c r="E906" t="inlineStr">
        <is>
          <t>Sports &amp; Outdoors</t>
        </is>
      </c>
      <c r="F906" t="inlineStr">
        <is>
          <t>Mark Wilson</t>
        </is>
      </c>
      <c r="G906" t="inlineStr">
        <is>
          <t>Italy</t>
        </is>
      </c>
      <c r="H906" t="inlineStr">
        <is>
          <t>Web Store</t>
        </is>
      </c>
      <c r="I906" t="n">
        <v>4</v>
      </c>
      <c r="J906" s="3" t="n">
        <v>203.68</v>
      </c>
      <c r="K906" s="3" t="n">
        <v>20.37</v>
      </c>
      <c r="L906" s="3" t="n">
        <v>183.31</v>
      </c>
      <c r="M906" s="3" t="n">
        <v>112.4</v>
      </c>
      <c r="N906" s="3" t="n">
        <v>70.91</v>
      </c>
      <c r="O906">
        <f>TEXT(A906,"yyyy-mm")</f>
        <v/>
      </c>
    </row>
    <row r="907">
      <c r="A907" s="2" t="n">
        <v>45679</v>
      </c>
      <c r="B907" t="n">
        <v>2025</v>
      </c>
      <c r="C907" t="inlineStr">
        <is>
          <t>January</t>
        </is>
      </c>
      <c r="D907" t="inlineStr">
        <is>
          <t>Portable Puzzle</t>
        </is>
      </c>
      <c r="E907" t="inlineStr">
        <is>
          <t>Toys &amp; Games</t>
        </is>
      </c>
      <c r="F907" t="inlineStr">
        <is>
          <t>Robert Rossi</t>
        </is>
      </c>
      <c r="G907" t="inlineStr">
        <is>
          <t>Italy</t>
        </is>
      </c>
      <c r="H907" t="inlineStr">
        <is>
          <t>Marketplace</t>
        </is>
      </c>
      <c r="I907" t="n">
        <v>3</v>
      </c>
      <c r="J907" s="3" t="n">
        <v>316.17</v>
      </c>
      <c r="K907" s="3" t="n">
        <v>63.23</v>
      </c>
      <c r="L907" s="3" t="n">
        <v>252.94</v>
      </c>
      <c r="M907" s="3" t="n">
        <v>176.4</v>
      </c>
      <c r="N907" s="3" t="n">
        <v>76.54000000000001</v>
      </c>
      <c r="O907">
        <f>TEXT(A907,"yyyy-mm")</f>
        <v/>
      </c>
    </row>
    <row r="908">
      <c r="A908" s="2" t="n">
        <v>45679</v>
      </c>
      <c r="B908" t="n">
        <v>2025</v>
      </c>
      <c r="C908" t="inlineStr">
        <is>
          <t>January</t>
        </is>
      </c>
      <c r="D908" t="inlineStr">
        <is>
          <t>Portable Bike Helmet</t>
        </is>
      </c>
      <c r="E908" t="inlineStr">
        <is>
          <t>Sports &amp; Outdoors</t>
        </is>
      </c>
      <c r="F908" t="inlineStr">
        <is>
          <t>Robert Rossi</t>
        </is>
      </c>
      <c r="G908" t="inlineStr">
        <is>
          <t>Italy</t>
        </is>
      </c>
      <c r="H908" t="inlineStr">
        <is>
          <t>Marketplace</t>
        </is>
      </c>
      <c r="I908" t="n">
        <v>1</v>
      </c>
      <c r="J908" s="3" t="n">
        <v>299.72</v>
      </c>
      <c r="K908" s="3" t="n">
        <v>59.94</v>
      </c>
      <c r="L908" s="3" t="n">
        <v>239.78</v>
      </c>
      <c r="M908" s="3" t="n">
        <v>165.37</v>
      </c>
      <c r="N908" s="3" t="n">
        <v>74.41</v>
      </c>
      <c r="O908">
        <f>TEXT(A908,"yyyy-mm")</f>
        <v/>
      </c>
    </row>
    <row r="909">
      <c r="A909" s="2" t="n">
        <v>45679</v>
      </c>
      <c r="B909" t="n">
        <v>2025</v>
      </c>
      <c r="C909" t="inlineStr">
        <is>
          <t>January</t>
        </is>
      </c>
      <c r="D909" t="inlineStr">
        <is>
          <t>Premium Water Bottle</t>
        </is>
      </c>
      <c r="E909" t="inlineStr">
        <is>
          <t>Sports &amp; Outdoors</t>
        </is>
      </c>
      <c r="F909" t="inlineStr">
        <is>
          <t>Robert Rossi</t>
        </is>
      </c>
      <c r="G909" t="inlineStr">
        <is>
          <t>Italy</t>
        </is>
      </c>
      <c r="H909" t="inlineStr">
        <is>
          <t>Marketplace</t>
        </is>
      </c>
      <c r="I909" t="n">
        <v>2</v>
      </c>
      <c r="J909" s="3" t="n">
        <v>248.18</v>
      </c>
      <c r="K909" s="3" t="n">
        <v>0</v>
      </c>
      <c r="L909" s="3" t="n">
        <v>248.18</v>
      </c>
      <c r="M909" s="3" t="n">
        <v>179.24</v>
      </c>
      <c r="N909" s="3" t="n">
        <v>68.94</v>
      </c>
      <c r="O909">
        <f>TEXT(A909,"yyyy-mm")</f>
        <v/>
      </c>
    </row>
    <row r="910">
      <c r="A910" s="2" t="n">
        <v>45679</v>
      </c>
      <c r="B910" t="n">
        <v>2025</v>
      </c>
      <c r="C910" t="inlineStr">
        <is>
          <t>January</t>
        </is>
      </c>
      <c r="D910" t="inlineStr">
        <is>
          <t>Smart Camera</t>
        </is>
      </c>
      <c r="E910" t="inlineStr">
        <is>
          <t>Electronics</t>
        </is>
      </c>
      <c r="F910" t="inlineStr">
        <is>
          <t>Robert Rossi</t>
        </is>
      </c>
      <c r="G910" t="inlineStr">
        <is>
          <t>Italy</t>
        </is>
      </c>
      <c r="H910" t="inlineStr">
        <is>
          <t>Marketplace</t>
        </is>
      </c>
      <c r="I910" t="n">
        <v>2</v>
      </c>
      <c r="J910" s="3" t="n">
        <v>234.76</v>
      </c>
      <c r="K910" s="3" t="n">
        <v>0</v>
      </c>
      <c r="L910" s="3" t="n">
        <v>234.76</v>
      </c>
      <c r="M910" s="3" t="n">
        <v>171.16</v>
      </c>
      <c r="N910" s="3" t="n">
        <v>63.6</v>
      </c>
      <c r="O910">
        <f>TEXT(A910,"yyyy-mm")</f>
        <v/>
      </c>
    </row>
    <row r="911">
      <c r="A911" s="2" t="n">
        <v>45679</v>
      </c>
      <c r="B911" t="n">
        <v>2025</v>
      </c>
      <c r="C911" t="inlineStr">
        <is>
          <t>January</t>
        </is>
      </c>
      <c r="D911" t="inlineStr">
        <is>
          <t>Portable Speaker</t>
        </is>
      </c>
      <c r="E911" t="inlineStr">
        <is>
          <t>Electronics</t>
        </is>
      </c>
      <c r="F911" t="inlineStr">
        <is>
          <t>Emma Schmidt</t>
        </is>
      </c>
      <c r="G911" t="inlineStr">
        <is>
          <t>France</t>
        </is>
      </c>
      <c r="H911" t="inlineStr">
        <is>
          <t>Web Store</t>
        </is>
      </c>
      <c r="I911" t="n">
        <v>4</v>
      </c>
      <c r="J911" s="3" t="n">
        <v>1356.96</v>
      </c>
      <c r="K911" s="3" t="n">
        <v>271.39</v>
      </c>
      <c r="L911" s="3" t="n">
        <v>1085.57</v>
      </c>
      <c r="M911" s="3" t="n">
        <v>699.3200000000001</v>
      </c>
      <c r="N911" s="3" t="n">
        <v>386.25</v>
      </c>
      <c r="O911">
        <f>TEXT(A911,"yyyy-mm")</f>
        <v/>
      </c>
    </row>
    <row r="912">
      <c r="A912" s="2" t="n">
        <v>45679</v>
      </c>
      <c r="B912" t="n">
        <v>2025</v>
      </c>
      <c r="C912" t="inlineStr">
        <is>
          <t>January</t>
        </is>
      </c>
      <c r="D912" t="inlineStr">
        <is>
          <t>Premium Tent</t>
        </is>
      </c>
      <c r="E912" t="inlineStr">
        <is>
          <t>Sports &amp; Outdoors</t>
        </is>
      </c>
      <c r="F912" t="inlineStr">
        <is>
          <t>Emma Schmidt</t>
        </is>
      </c>
      <c r="G912" t="inlineStr">
        <is>
          <t>France</t>
        </is>
      </c>
      <c r="H912" t="inlineStr">
        <is>
          <t>Web Store</t>
        </is>
      </c>
      <c r="I912" t="n">
        <v>3</v>
      </c>
      <c r="J912" s="3" t="n">
        <v>751.71</v>
      </c>
      <c r="K912" s="3" t="n">
        <v>37.59</v>
      </c>
      <c r="L912" s="3" t="n">
        <v>714.12</v>
      </c>
      <c r="M912" s="3" t="n">
        <v>495.93</v>
      </c>
      <c r="N912" s="3" t="n">
        <v>218.19</v>
      </c>
      <c r="O912">
        <f>TEXT(A912,"yyyy-mm")</f>
        <v/>
      </c>
    </row>
    <row r="913">
      <c r="A913" s="2" t="n">
        <v>45679</v>
      </c>
      <c r="B913" t="n">
        <v>2025</v>
      </c>
      <c r="C913" t="inlineStr">
        <is>
          <t>January</t>
        </is>
      </c>
      <c r="D913" t="inlineStr">
        <is>
          <t>Essential Toolset</t>
        </is>
      </c>
      <c r="E913" t="inlineStr">
        <is>
          <t>Home &amp; Garden</t>
        </is>
      </c>
      <c r="F913" t="inlineStr">
        <is>
          <t>Clara Zielinski</t>
        </is>
      </c>
      <c r="G913" t="inlineStr">
        <is>
          <t>United States</t>
        </is>
      </c>
      <c r="H913" t="inlineStr">
        <is>
          <t>Web Store</t>
        </is>
      </c>
      <c r="I913" t="n">
        <v>2</v>
      </c>
      <c r="J913" s="3" t="n">
        <v>428.24</v>
      </c>
      <c r="K913" s="3" t="n">
        <v>85.65000000000001</v>
      </c>
      <c r="L913" s="3" t="n">
        <v>342.59</v>
      </c>
      <c r="M913" s="3" t="n">
        <v>301.06</v>
      </c>
      <c r="N913" s="3" t="n">
        <v>41.53</v>
      </c>
      <c r="O913">
        <f>TEXT(A913,"yyyy-mm")</f>
        <v/>
      </c>
    </row>
    <row r="914">
      <c r="A914" s="2" t="n">
        <v>45679</v>
      </c>
      <c r="B914" t="n">
        <v>2025</v>
      </c>
      <c r="C914" t="inlineStr">
        <is>
          <t>January</t>
        </is>
      </c>
      <c r="D914" t="inlineStr">
        <is>
          <t>Portable Toolset</t>
        </is>
      </c>
      <c r="E914" t="inlineStr">
        <is>
          <t>Home &amp; Garden</t>
        </is>
      </c>
      <c r="F914" t="inlineStr">
        <is>
          <t>Clara Zielinski</t>
        </is>
      </c>
      <c r="G914" t="inlineStr">
        <is>
          <t>United States</t>
        </is>
      </c>
      <c r="H914" t="inlineStr">
        <is>
          <t>Web Store</t>
        </is>
      </c>
      <c r="I914" t="n">
        <v>2</v>
      </c>
      <c r="J914" s="3" t="n">
        <v>171.9</v>
      </c>
      <c r="K914" s="3" t="n">
        <v>25.78</v>
      </c>
      <c r="L914" s="3" t="n">
        <v>146.12</v>
      </c>
      <c r="M914" s="3" t="n">
        <v>101.08</v>
      </c>
      <c r="N914" s="3" t="n">
        <v>45.04</v>
      </c>
      <c r="O914">
        <f>TEXT(A914,"yyyy-mm")</f>
        <v/>
      </c>
    </row>
    <row r="915">
      <c r="A915" s="2" t="n">
        <v>45679</v>
      </c>
      <c r="B915" t="n">
        <v>2025</v>
      </c>
      <c r="C915" t="inlineStr">
        <is>
          <t>January</t>
        </is>
      </c>
      <c r="D915" t="inlineStr">
        <is>
          <t>Wireless Honey</t>
        </is>
      </c>
      <c r="E915" t="inlineStr">
        <is>
          <t>Grocery</t>
        </is>
      </c>
      <c r="F915" t="inlineStr">
        <is>
          <t>Julia Wojcik</t>
        </is>
      </c>
      <c r="G915" t="inlineStr">
        <is>
          <t>France</t>
        </is>
      </c>
      <c r="H915" t="inlineStr">
        <is>
          <t>Mobile App</t>
        </is>
      </c>
      <c r="I915" t="n">
        <v>1</v>
      </c>
      <c r="J915" s="3" t="n">
        <v>125.38</v>
      </c>
      <c r="K915" s="3" t="n">
        <v>0</v>
      </c>
      <c r="L915" s="3" t="n">
        <v>125.38</v>
      </c>
      <c r="M915" s="3" t="n">
        <v>94.06999999999999</v>
      </c>
      <c r="N915" s="3" t="n">
        <v>31.31</v>
      </c>
      <c r="O915">
        <f>TEXT(A915,"yyyy-mm")</f>
        <v/>
      </c>
    </row>
    <row r="916">
      <c r="A916" s="2" t="n">
        <v>45679</v>
      </c>
      <c r="B916" t="n">
        <v>2025</v>
      </c>
      <c r="C916" t="inlineStr">
        <is>
          <t>January</t>
        </is>
      </c>
      <c r="D916" t="inlineStr">
        <is>
          <t>Eco Sweater</t>
        </is>
      </c>
      <c r="E916" t="inlineStr">
        <is>
          <t>Clothing</t>
        </is>
      </c>
      <c r="F916" t="inlineStr">
        <is>
          <t>Julia Wojcik</t>
        </is>
      </c>
      <c r="G916" t="inlineStr">
        <is>
          <t>France</t>
        </is>
      </c>
      <c r="H916" t="inlineStr">
        <is>
          <t>Mobile App</t>
        </is>
      </c>
      <c r="I916" t="n">
        <v>3</v>
      </c>
      <c r="J916" s="3" t="n">
        <v>461.28</v>
      </c>
      <c r="K916" s="3" t="n">
        <v>0</v>
      </c>
      <c r="L916" s="3" t="n">
        <v>461.28</v>
      </c>
      <c r="M916" s="3" t="n">
        <v>312.69</v>
      </c>
      <c r="N916" s="3" t="n">
        <v>148.59</v>
      </c>
      <c r="O916">
        <f>TEXT(A916,"yyyy-mm")</f>
        <v/>
      </c>
    </row>
    <row r="917">
      <c r="A917" s="2" t="n">
        <v>45679</v>
      </c>
      <c r="B917" t="n">
        <v>2025</v>
      </c>
      <c r="C917" t="inlineStr">
        <is>
          <t>January</t>
        </is>
      </c>
      <c r="D917" t="inlineStr">
        <is>
          <t>Portable Puzzle</t>
        </is>
      </c>
      <c r="E917" t="inlineStr">
        <is>
          <t>Toys &amp; Games</t>
        </is>
      </c>
      <c r="F917" t="inlineStr">
        <is>
          <t>Julia Wojcik</t>
        </is>
      </c>
      <c r="G917" t="inlineStr">
        <is>
          <t>France</t>
        </is>
      </c>
      <c r="H917" t="inlineStr">
        <is>
          <t>Mobile App</t>
        </is>
      </c>
      <c r="I917" t="n">
        <v>4</v>
      </c>
      <c r="J917" s="3" t="n">
        <v>447.72</v>
      </c>
      <c r="K917" s="3" t="n">
        <v>89.54000000000001</v>
      </c>
      <c r="L917" s="3" t="n">
        <v>358.18</v>
      </c>
      <c r="M917" s="3" t="n">
        <v>235.2</v>
      </c>
      <c r="N917" s="3" t="n">
        <v>122.98</v>
      </c>
      <c r="O917">
        <f>TEXT(A917,"yyyy-mm")</f>
        <v/>
      </c>
    </row>
    <row r="918">
      <c r="A918" s="2" t="n">
        <v>45679</v>
      </c>
      <c r="B918" t="n">
        <v>2025</v>
      </c>
      <c r="C918" t="inlineStr">
        <is>
          <t>January</t>
        </is>
      </c>
      <c r="D918" t="inlineStr">
        <is>
          <t>Smart Olive Oil</t>
        </is>
      </c>
      <c r="E918" t="inlineStr">
        <is>
          <t>Grocery</t>
        </is>
      </c>
      <c r="F918" t="inlineStr">
        <is>
          <t>Julia Wojcik</t>
        </is>
      </c>
      <c r="G918" t="inlineStr">
        <is>
          <t>France</t>
        </is>
      </c>
      <c r="H918" t="inlineStr">
        <is>
          <t>Mobile App</t>
        </is>
      </c>
      <c r="I918" t="n">
        <v>3</v>
      </c>
      <c r="J918" s="3" t="n">
        <v>481.92</v>
      </c>
      <c r="K918" s="3" t="n">
        <v>96.38</v>
      </c>
      <c r="L918" s="3" t="n">
        <v>385.54</v>
      </c>
      <c r="M918" s="3" t="n">
        <v>330.06</v>
      </c>
      <c r="N918" s="3" t="n">
        <v>55.48</v>
      </c>
      <c r="O918">
        <f>TEXT(A918,"yyyy-mm")</f>
        <v/>
      </c>
    </row>
    <row r="919">
      <c r="A919" s="2" t="n">
        <v>45679</v>
      </c>
      <c r="B919" t="n">
        <v>2025</v>
      </c>
      <c r="C919" t="inlineStr">
        <is>
          <t>January</t>
        </is>
      </c>
      <c r="D919" t="inlineStr">
        <is>
          <t>Essential Pasta</t>
        </is>
      </c>
      <c r="E919" t="inlineStr">
        <is>
          <t>Grocery</t>
        </is>
      </c>
      <c r="F919" t="inlineStr">
        <is>
          <t>Clara Zielinski</t>
        </is>
      </c>
      <c r="G919" t="inlineStr">
        <is>
          <t>United States</t>
        </is>
      </c>
      <c r="H919" t="inlineStr">
        <is>
          <t>Web Store</t>
        </is>
      </c>
      <c r="I919" t="n">
        <v>2</v>
      </c>
      <c r="J919" s="3" t="n">
        <v>115.56</v>
      </c>
      <c r="K919" s="3" t="n">
        <v>0</v>
      </c>
      <c r="L919" s="3" t="n">
        <v>115.56</v>
      </c>
      <c r="M919" s="3" t="n">
        <v>71.62</v>
      </c>
      <c r="N919" s="3" t="n">
        <v>43.94</v>
      </c>
      <c r="O919">
        <f>TEXT(A919,"yyyy-mm")</f>
        <v/>
      </c>
    </row>
    <row r="920">
      <c r="A920" s="2" t="n">
        <v>45680</v>
      </c>
      <c r="B920" t="n">
        <v>2025</v>
      </c>
      <c r="C920" t="inlineStr">
        <is>
          <t>January</t>
        </is>
      </c>
      <c r="D920" t="inlineStr">
        <is>
          <t>Eco Tent</t>
        </is>
      </c>
      <c r="E920" t="inlineStr">
        <is>
          <t>Sports &amp; Outdoors</t>
        </is>
      </c>
      <c r="F920" t="inlineStr">
        <is>
          <t>Anna Bianchi</t>
        </is>
      </c>
      <c r="G920" t="inlineStr">
        <is>
          <t>Germany</t>
        </is>
      </c>
      <c r="H920" t="inlineStr">
        <is>
          <t>Mobile App</t>
        </is>
      </c>
      <c r="I920" t="n">
        <v>3</v>
      </c>
      <c r="J920" s="3" t="n">
        <v>209.1</v>
      </c>
      <c r="K920" s="3" t="n">
        <v>0</v>
      </c>
      <c r="L920" s="3" t="n">
        <v>209.1</v>
      </c>
      <c r="M920" s="3" t="n">
        <v>131.55</v>
      </c>
      <c r="N920" s="3" t="n">
        <v>77.55</v>
      </c>
      <c r="O920">
        <f>TEXT(A920,"yyyy-mm")</f>
        <v/>
      </c>
    </row>
    <row r="921">
      <c r="A921" s="2" t="n">
        <v>45680</v>
      </c>
      <c r="B921" t="n">
        <v>2025</v>
      </c>
      <c r="C921" t="inlineStr">
        <is>
          <t>January</t>
        </is>
      </c>
      <c r="D921" t="inlineStr">
        <is>
          <t>Eco Sweater</t>
        </is>
      </c>
      <c r="E921" t="inlineStr">
        <is>
          <t>Clothing</t>
        </is>
      </c>
      <c r="F921" t="inlineStr">
        <is>
          <t>Anna Bianchi</t>
        </is>
      </c>
      <c r="G921" t="inlineStr">
        <is>
          <t>Germany</t>
        </is>
      </c>
      <c r="H921" t="inlineStr">
        <is>
          <t>Mobile App</t>
        </is>
      </c>
      <c r="I921" t="n">
        <v>3</v>
      </c>
      <c r="J921" s="3" t="n">
        <v>446.79</v>
      </c>
      <c r="K921" s="3" t="n">
        <v>22.34</v>
      </c>
      <c r="L921" s="3" t="n">
        <v>424.45</v>
      </c>
      <c r="M921" s="3" t="n">
        <v>312.69</v>
      </c>
      <c r="N921" s="3" t="n">
        <v>111.76</v>
      </c>
      <c r="O921">
        <f>TEXT(A921,"yyyy-mm")</f>
        <v/>
      </c>
    </row>
    <row r="922">
      <c r="A922" s="2" t="n">
        <v>45680</v>
      </c>
      <c r="B922" t="n">
        <v>2025</v>
      </c>
      <c r="C922" t="inlineStr">
        <is>
          <t>January</t>
        </is>
      </c>
      <c r="D922" t="inlineStr">
        <is>
          <t>Essential Cushion</t>
        </is>
      </c>
      <c r="E922" t="inlineStr">
        <is>
          <t>Home &amp; Garden</t>
        </is>
      </c>
      <c r="F922" t="inlineStr">
        <is>
          <t>Anna Bianchi</t>
        </is>
      </c>
      <c r="G922" t="inlineStr">
        <is>
          <t>Germany</t>
        </is>
      </c>
      <c r="H922" t="inlineStr">
        <is>
          <t>Mobile App</t>
        </is>
      </c>
      <c r="I922" t="n">
        <v>3</v>
      </c>
      <c r="J922" s="3" t="n">
        <v>129.48</v>
      </c>
      <c r="K922" s="3" t="n">
        <v>0</v>
      </c>
      <c r="L922" s="3" t="n">
        <v>129.48</v>
      </c>
      <c r="M922" s="3" t="n">
        <v>91.65000000000001</v>
      </c>
      <c r="N922" s="3" t="n">
        <v>37.83</v>
      </c>
      <c r="O922">
        <f>TEXT(A922,"yyyy-mm")</f>
        <v/>
      </c>
    </row>
    <row r="923">
      <c r="A923" s="2" t="n">
        <v>45680</v>
      </c>
      <c r="B923" t="n">
        <v>2025</v>
      </c>
      <c r="C923" t="inlineStr">
        <is>
          <t>January</t>
        </is>
      </c>
      <c r="D923" t="inlineStr">
        <is>
          <t>Eco Biography</t>
        </is>
      </c>
      <c r="E923" t="inlineStr">
        <is>
          <t>Books</t>
        </is>
      </c>
      <c r="F923" t="inlineStr">
        <is>
          <t>James Johnson</t>
        </is>
      </c>
      <c r="G923" t="inlineStr">
        <is>
          <t>United Kingdom</t>
        </is>
      </c>
      <c r="H923" t="inlineStr">
        <is>
          <t>Marketplace</t>
        </is>
      </c>
      <c r="I923" t="n">
        <v>3</v>
      </c>
      <c r="J923" s="3" t="n">
        <v>380.34</v>
      </c>
      <c r="K923" s="3" t="n">
        <v>19.02</v>
      </c>
      <c r="L923" s="3" t="n">
        <v>361.32</v>
      </c>
      <c r="M923" s="3" t="n">
        <v>213.06</v>
      </c>
      <c r="N923" s="3" t="n">
        <v>148.26</v>
      </c>
      <c r="O923">
        <f>TEXT(A923,"yyyy-mm")</f>
        <v/>
      </c>
    </row>
    <row r="924">
      <c r="A924" s="2" t="n">
        <v>45680</v>
      </c>
      <c r="B924" t="n">
        <v>2025</v>
      </c>
      <c r="C924" t="inlineStr">
        <is>
          <t>January</t>
        </is>
      </c>
      <c r="D924" t="inlineStr">
        <is>
          <t>Smart Coffee Beans</t>
        </is>
      </c>
      <c r="E924" t="inlineStr">
        <is>
          <t>Grocery</t>
        </is>
      </c>
      <c r="F924" t="inlineStr">
        <is>
          <t>Maria Wilson</t>
        </is>
      </c>
      <c r="G924" t="inlineStr">
        <is>
          <t>Poland</t>
        </is>
      </c>
      <c r="H924" t="inlineStr">
        <is>
          <t>Marketplace</t>
        </is>
      </c>
      <c r="I924" t="n">
        <v>2</v>
      </c>
      <c r="J924" s="3" t="n">
        <v>211.56</v>
      </c>
      <c r="K924" s="3" t="n">
        <v>21.16</v>
      </c>
      <c r="L924" s="3" t="n">
        <v>190.4</v>
      </c>
      <c r="M924" s="3" t="n">
        <v>145.7</v>
      </c>
      <c r="N924" s="3" t="n">
        <v>44.7</v>
      </c>
      <c r="O924">
        <f>TEXT(A924,"yyyy-mm")</f>
        <v/>
      </c>
    </row>
    <row r="925">
      <c r="A925" s="2" t="n">
        <v>45680</v>
      </c>
      <c r="B925" t="n">
        <v>2025</v>
      </c>
      <c r="C925" t="inlineStr">
        <is>
          <t>January</t>
        </is>
      </c>
      <c r="D925" t="inlineStr">
        <is>
          <t>Smart Charger</t>
        </is>
      </c>
      <c r="E925" t="inlineStr">
        <is>
          <t>Electronics</t>
        </is>
      </c>
      <c r="F925" t="inlineStr">
        <is>
          <t>Maria Wilson</t>
        </is>
      </c>
      <c r="G925" t="inlineStr">
        <is>
          <t>Poland</t>
        </is>
      </c>
      <c r="H925" t="inlineStr">
        <is>
          <t>Marketplace</t>
        </is>
      </c>
      <c r="I925" t="n">
        <v>2</v>
      </c>
      <c r="J925" s="3" t="n">
        <v>77.94</v>
      </c>
      <c r="K925" s="3" t="n">
        <v>7.79</v>
      </c>
      <c r="L925" s="3" t="n">
        <v>70.15000000000001</v>
      </c>
      <c r="M925" s="3" t="n">
        <v>55.28</v>
      </c>
      <c r="N925" s="3" t="n">
        <v>14.87</v>
      </c>
      <c r="O925">
        <f>TEXT(A925,"yyyy-mm")</f>
        <v/>
      </c>
    </row>
    <row r="926">
      <c r="A926" s="2" t="n">
        <v>45680</v>
      </c>
      <c r="B926" t="n">
        <v>2025</v>
      </c>
      <c r="C926" t="inlineStr">
        <is>
          <t>January</t>
        </is>
      </c>
      <c r="D926" t="inlineStr">
        <is>
          <t>Essential Cushion</t>
        </is>
      </c>
      <c r="E926" t="inlineStr">
        <is>
          <t>Home &amp; Garden</t>
        </is>
      </c>
      <c r="F926" t="inlineStr">
        <is>
          <t>Anna Fischer</t>
        </is>
      </c>
      <c r="G926" t="inlineStr">
        <is>
          <t>Poland</t>
        </is>
      </c>
      <c r="H926" t="inlineStr">
        <is>
          <t>Mobile App</t>
        </is>
      </c>
      <c r="I926" t="n">
        <v>3</v>
      </c>
      <c r="J926" s="3" t="n">
        <v>135.99</v>
      </c>
      <c r="K926" s="3" t="n">
        <v>0</v>
      </c>
      <c r="L926" s="3" t="n">
        <v>135.99</v>
      </c>
      <c r="M926" s="3" t="n">
        <v>91.65000000000001</v>
      </c>
      <c r="N926" s="3" t="n">
        <v>44.34</v>
      </c>
      <c r="O926">
        <f>TEXT(A926,"yyyy-mm")</f>
        <v/>
      </c>
    </row>
    <row r="927">
      <c r="A927" s="2" t="n">
        <v>45681</v>
      </c>
      <c r="B927" t="n">
        <v>2025</v>
      </c>
      <c r="C927" t="inlineStr">
        <is>
          <t>January</t>
        </is>
      </c>
      <c r="D927" t="inlineStr">
        <is>
          <t>Classic Atlas</t>
        </is>
      </c>
      <c r="E927" t="inlineStr">
        <is>
          <t>Books</t>
        </is>
      </c>
      <c r="F927" t="inlineStr">
        <is>
          <t>Michael Smith</t>
        </is>
      </c>
      <c r="G927" t="inlineStr">
        <is>
          <t>Spain</t>
        </is>
      </c>
      <c r="H927" t="inlineStr">
        <is>
          <t>Web Store</t>
        </is>
      </c>
      <c r="I927" t="n">
        <v>2</v>
      </c>
      <c r="J927" s="3" t="n">
        <v>126.08</v>
      </c>
      <c r="K927" s="3" t="n">
        <v>0</v>
      </c>
      <c r="L927" s="3" t="n">
        <v>126.08</v>
      </c>
      <c r="M927" s="3" t="n">
        <v>69.18000000000001</v>
      </c>
      <c r="N927" s="3" t="n">
        <v>56.9</v>
      </c>
      <c r="O927">
        <f>TEXT(A927,"yyyy-mm")</f>
        <v/>
      </c>
    </row>
    <row r="928">
      <c r="A928" s="2" t="n">
        <v>45681</v>
      </c>
      <c r="B928" t="n">
        <v>2025</v>
      </c>
      <c r="C928" t="inlineStr">
        <is>
          <t>January</t>
        </is>
      </c>
      <c r="D928" t="inlineStr">
        <is>
          <t>Deluxe Notebook</t>
        </is>
      </c>
      <c r="E928" t="inlineStr">
        <is>
          <t>Books</t>
        </is>
      </c>
      <c r="F928" t="inlineStr">
        <is>
          <t>Michael Smith</t>
        </is>
      </c>
      <c r="G928" t="inlineStr">
        <is>
          <t>Spain</t>
        </is>
      </c>
      <c r="H928" t="inlineStr">
        <is>
          <t>Web Store</t>
        </is>
      </c>
      <c r="I928" t="n">
        <v>1</v>
      </c>
      <c r="J928" s="3" t="n">
        <v>204.94</v>
      </c>
      <c r="K928" s="3" t="n">
        <v>0</v>
      </c>
      <c r="L928" s="3" t="n">
        <v>204.94</v>
      </c>
      <c r="M928" s="3" t="n">
        <v>150.76</v>
      </c>
      <c r="N928" s="3" t="n">
        <v>54.18</v>
      </c>
      <c r="O928">
        <f>TEXT(A928,"yyyy-mm")</f>
        <v/>
      </c>
    </row>
    <row r="929">
      <c r="A929" s="2" t="n">
        <v>45681</v>
      </c>
      <c r="B929" t="n">
        <v>2025</v>
      </c>
      <c r="C929" t="inlineStr">
        <is>
          <t>January</t>
        </is>
      </c>
      <c r="D929" t="inlineStr">
        <is>
          <t>Essential Lamp</t>
        </is>
      </c>
      <c r="E929" t="inlineStr">
        <is>
          <t>Home &amp; Garden</t>
        </is>
      </c>
      <c r="F929" t="inlineStr">
        <is>
          <t>Michael Smith</t>
        </is>
      </c>
      <c r="G929" t="inlineStr">
        <is>
          <t>Spain</t>
        </is>
      </c>
      <c r="H929" t="inlineStr">
        <is>
          <t>Web Store</t>
        </is>
      </c>
      <c r="I929" t="n">
        <v>3</v>
      </c>
      <c r="J929" s="3" t="n">
        <v>200.94</v>
      </c>
      <c r="K929" s="3" t="n">
        <v>0</v>
      </c>
      <c r="L929" s="3" t="n">
        <v>200.94</v>
      </c>
      <c r="M929" s="3" t="n">
        <v>136.2</v>
      </c>
      <c r="N929" s="3" t="n">
        <v>64.73999999999999</v>
      </c>
      <c r="O929">
        <f>TEXT(A929,"yyyy-mm")</f>
        <v/>
      </c>
    </row>
    <row r="930">
      <c r="A930" s="2" t="n">
        <v>45681</v>
      </c>
      <c r="B930" t="n">
        <v>2025</v>
      </c>
      <c r="C930" t="inlineStr">
        <is>
          <t>January</t>
        </is>
      </c>
      <c r="D930" t="inlineStr">
        <is>
          <t>Ultra Vitamins</t>
        </is>
      </c>
      <c r="E930" t="inlineStr">
        <is>
          <t>Beauty &amp; Health</t>
        </is>
      </c>
      <c r="F930" t="inlineStr">
        <is>
          <t>Michael Smith</t>
        </is>
      </c>
      <c r="G930" t="inlineStr">
        <is>
          <t>Spain</t>
        </is>
      </c>
      <c r="H930" t="inlineStr">
        <is>
          <t>Web Store</t>
        </is>
      </c>
      <c r="I930" t="n">
        <v>4</v>
      </c>
      <c r="J930" s="3" t="n">
        <v>849.5599999999999</v>
      </c>
      <c r="K930" s="3" t="n">
        <v>169.91</v>
      </c>
      <c r="L930" s="3" t="n">
        <v>679.65</v>
      </c>
      <c r="M930" s="3" t="n">
        <v>504.4</v>
      </c>
      <c r="N930" s="3" t="n">
        <v>175.25</v>
      </c>
      <c r="O930">
        <f>TEXT(A930,"yyyy-mm")</f>
        <v/>
      </c>
    </row>
    <row r="931">
      <c r="A931" s="2" t="n">
        <v>45681</v>
      </c>
      <c r="B931" t="n">
        <v>2025</v>
      </c>
      <c r="C931" t="inlineStr">
        <is>
          <t>January</t>
        </is>
      </c>
      <c r="D931" t="inlineStr">
        <is>
          <t>Essential Charger</t>
        </is>
      </c>
      <c r="E931" t="inlineStr">
        <is>
          <t>Electronics</t>
        </is>
      </c>
      <c r="F931" t="inlineStr">
        <is>
          <t>Thomas Kowalski</t>
        </is>
      </c>
      <c r="G931" t="inlineStr">
        <is>
          <t>Poland</t>
        </is>
      </c>
      <c r="H931" t="inlineStr">
        <is>
          <t>Marketplace</t>
        </is>
      </c>
      <c r="I931" t="n">
        <v>2</v>
      </c>
      <c r="J931" s="3" t="n">
        <v>88.12</v>
      </c>
      <c r="K931" s="3" t="n">
        <v>13.22</v>
      </c>
      <c r="L931" s="3" t="n">
        <v>74.90000000000001</v>
      </c>
      <c r="M931" s="3" t="n">
        <v>58.2</v>
      </c>
      <c r="N931" s="3" t="n">
        <v>16.7</v>
      </c>
      <c r="O931">
        <f>TEXT(A931,"yyyy-mm")</f>
        <v/>
      </c>
    </row>
    <row r="932">
      <c r="A932" s="2" t="n">
        <v>45681</v>
      </c>
      <c r="B932" t="n">
        <v>2025</v>
      </c>
      <c r="C932" t="inlineStr">
        <is>
          <t>January</t>
        </is>
      </c>
      <c r="D932" t="inlineStr">
        <is>
          <t>Smart Face Cream</t>
        </is>
      </c>
      <c r="E932" t="inlineStr">
        <is>
          <t>Beauty &amp; Health</t>
        </is>
      </c>
      <c r="F932" t="inlineStr">
        <is>
          <t>Thomas Kowalski</t>
        </is>
      </c>
      <c r="G932" t="inlineStr">
        <is>
          <t>Poland</t>
        </is>
      </c>
      <c r="H932" t="inlineStr">
        <is>
          <t>Marketplace</t>
        </is>
      </c>
      <c r="I932" t="n">
        <v>4</v>
      </c>
      <c r="J932" s="3" t="n">
        <v>1038.96</v>
      </c>
      <c r="K932" s="3" t="n">
        <v>0</v>
      </c>
      <c r="L932" s="3" t="n">
        <v>1038.96</v>
      </c>
      <c r="M932" s="3" t="n">
        <v>772.5599999999999</v>
      </c>
      <c r="N932" s="3" t="n">
        <v>266.4</v>
      </c>
      <c r="O932">
        <f>TEXT(A932,"yyyy-mm")</f>
        <v/>
      </c>
    </row>
    <row r="933">
      <c r="A933" s="2" t="n">
        <v>45681</v>
      </c>
      <c r="B933" t="n">
        <v>2025</v>
      </c>
      <c r="C933" t="inlineStr">
        <is>
          <t>January</t>
        </is>
      </c>
      <c r="D933" t="inlineStr">
        <is>
          <t>Ultra Rug</t>
        </is>
      </c>
      <c r="E933" t="inlineStr">
        <is>
          <t>Home &amp; Garden</t>
        </is>
      </c>
      <c r="F933" t="inlineStr">
        <is>
          <t>Anna Dubois</t>
        </is>
      </c>
      <c r="G933" t="inlineStr">
        <is>
          <t>Germany</t>
        </is>
      </c>
      <c r="H933" t="inlineStr">
        <is>
          <t>Web Store</t>
        </is>
      </c>
      <c r="I933" t="n">
        <v>3</v>
      </c>
      <c r="J933" s="3" t="n">
        <v>157.89</v>
      </c>
      <c r="K933" s="3" t="n">
        <v>15.79</v>
      </c>
      <c r="L933" s="3" t="n">
        <v>142.1</v>
      </c>
      <c r="M933" s="3" t="n">
        <v>98.73</v>
      </c>
      <c r="N933" s="3" t="n">
        <v>43.37</v>
      </c>
      <c r="O933">
        <f>TEXT(A933,"yyyy-mm")</f>
        <v/>
      </c>
    </row>
    <row r="934">
      <c r="A934" s="2" t="n">
        <v>45681</v>
      </c>
      <c r="B934" t="n">
        <v>2025</v>
      </c>
      <c r="C934" t="inlineStr">
        <is>
          <t>January</t>
        </is>
      </c>
      <c r="D934" t="inlineStr">
        <is>
          <t>Premium Tent</t>
        </is>
      </c>
      <c r="E934" t="inlineStr">
        <is>
          <t>Sports &amp; Outdoors</t>
        </is>
      </c>
      <c r="F934" t="inlineStr">
        <is>
          <t>Thomas Kowalski</t>
        </is>
      </c>
      <c r="G934" t="inlineStr">
        <is>
          <t>Poland</t>
        </is>
      </c>
      <c r="H934" t="inlineStr">
        <is>
          <t>Marketplace</t>
        </is>
      </c>
      <c r="I934" t="n">
        <v>4</v>
      </c>
      <c r="J934" s="3" t="n">
        <v>573.6</v>
      </c>
      <c r="K934" s="3" t="n">
        <v>0</v>
      </c>
      <c r="L934" s="3" t="n">
        <v>573.6</v>
      </c>
      <c r="M934" s="3" t="n">
        <v>385.6</v>
      </c>
      <c r="N934" s="3" t="n">
        <v>188</v>
      </c>
      <c r="O934">
        <f>TEXT(A934,"yyyy-mm")</f>
        <v/>
      </c>
    </row>
    <row r="935">
      <c r="A935" s="2" t="n">
        <v>45681</v>
      </c>
      <c r="B935" t="n">
        <v>2025</v>
      </c>
      <c r="C935" t="inlineStr">
        <is>
          <t>January</t>
        </is>
      </c>
      <c r="D935" t="inlineStr">
        <is>
          <t>Ultra Vitamins</t>
        </is>
      </c>
      <c r="E935" t="inlineStr">
        <is>
          <t>Beauty &amp; Health</t>
        </is>
      </c>
      <c r="F935" t="inlineStr">
        <is>
          <t>Thomas Kowalski</t>
        </is>
      </c>
      <c r="G935" t="inlineStr">
        <is>
          <t>Poland</t>
        </is>
      </c>
      <c r="H935" t="inlineStr">
        <is>
          <t>Marketplace</t>
        </is>
      </c>
      <c r="I935" t="n">
        <v>3</v>
      </c>
      <c r="J935" s="3" t="n">
        <v>651.0599999999999</v>
      </c>
      <c r="K935" s="3" t="n">
        <v>32.55</v>
      </c>
      <c r="L935" s="3" t="n">
        <v>618.51</v>
      </c>
      <c r="M935" s="3" t="n">
        <v>378.3</v>
      </c>
      <c r="N935" s="3" t="n">
        <v>240.21</v>
      </c>
      <c r="O935">
        <f>TEXT(A935,"yyyy-mm")</f>
        <v/>
      </c>
    </row>
    <row r="936">
      <c r="A936" s="2" t="n">
        <v>45681</v>
      </c>
      <c r="B936" t="n">
        <v>2025</v>
      </c>
      <c r="C936" t="inlineStr">
        <is>
          <t>January</t>
        </is>
      </c>
      <c r="D936" t="inlineStr">
        <is>
          <t>Smart Charger</t>
        </is>
      </c>
      <c r="E936" t="inlineStr">
        <is>
          <t>Electronics</t>
        </is>
      </c>
      <c r="F936" t="inlineStr">
        <is>
          <t>Anna Dubois</t>
        </is>
      </c>
      <c r="G936" t="inlineStr">
        <is>
          <t>Germany</t>
        </is>
      </c>
      <c r="H936" t="inlineStr">
        <is>
          <t>Web Store</t>
        </is>
      </c>
      <c r="I936" t="n">
        <v>3</v>
      </c>
      <c r="J936" s="3" t="n">
        <v>114.51</v>
      </c>
      <c r="K936" s="3" t="n">
        <v>22.9</v>
      </c>
      <c r="L936" s="3" t="n">
        <v>91.61</v>
      </c>
      <c r="M936" s="3" t="n">
        <v>82.92</v>
      </c>
      <c r="N936" s="3" t="n">
        <v>8.69</v>
      </c>
      <c r="O936">
        <f>TEXT(A936,"yyyy-mm")</f>
        <v/>
      </c>
    </row>
    <row r="937">
      <c r="A937" s="2" t="n">
        <v>45681</v>
      </c>
      <c r="B937" t="n">
        <v>2025</v>
      </c>
      <c r="C937" t="inlineStr">
        <is>
          <t>January</t>
        </is>
      </c>
      <c r="D937" t="inlineStr">
        <is>
          <t>Portable Tea Set</t>
        </is>
      </c>
      <c r="E937" t="inlineStr">
        <is>
          <t>Grocery</t>
        </is>
      </c>
      <c r="F937" t="inlineStr">
        <is>
          <t>Anna Dubois</t>
        </is>
      </c>
      <c r="G937" t="inlineStr">
        <is>
          <t>Germany</t>
        </is>
      </c>
      <c r="H937" t="inlineStr">
        <is>
          <t>Web Store</t>
        </is>
      </c>
      <c r="I937" t="n">
        <v>5</v>
      </c>
      <c r="J937" s="3" t="n">
        <v>1401.15</v>
      </c>
      <c r="K937" s="3" t="n">
        <v>0</v>
      </c>
      <c r="L937" s="3" t="n">
        <v>1401.15</v>
      </c>
      <c r="M937" s="3" t="n">
        <v>940.6</v>
      </c>
      <c r="N937" s="3" t="n">
        <v>460.55</v>
      </c>
      <c r="O937">
        <f>TEXT(A937,"yyyy-mm")</f>
        <v/>
      </c>
    </row>
    <row r="938">
      <c r="A938" s="2" t="n">
        <v>45681</v>
      </c>
      <c r="B938" t="n">
        <v>2025</v>
      </c>
      <c r="C938" t="inlineStr">
        <is>
          <t>January</t>
        </is>
      </c>
      <c r="D938" t="inlineStr">
        <is>
          <t>Premium Water Bottle</t>
        </is>
      </c>
      <c r="E938" t="inlineStr">
        <is>
          <t>Sports &amp; Outdoors</t>
        </is>
      </c>
      <c r="F938" t="inlineStr">
        <is>
          <t>Maria Wilson</t>
        </is>
      </c>
      <c r="G938" t="inlineStr">
        <is>
          <t>Poland</t>
        </is>
      </c>
      <c r="H938" t="inlineStr">
        <is>
          <t>Retail Store</t>
        </is>
      </c>
      <c r="I938" t="n">
        <v>1</v>
      </c>
      <c r="J938" s="3" t="n">
        <v>30.15</v>
      </c>
      <c r="K938" s="3" t="n">
        <v>1.51</v>
      </c>
      <c r="L938" s="3" t="n">
        <v>28.64</v>
      </c>
      <c r="M938" s="3" t="n">
        <v>16.63</v>
      </c>
      <c r="N938" s="3" t="n">
        <v>12.01</v>
      </c>
      <c r="O938">
        <f>TEXT(A938,"yyyy-mm")</f>
        <v/>
      </c>
    </row>
    <row r="939">
      <c r="A939" s="2" t="n">
        <v>45681</v>
      </c>
      <c r="B939" t="n">
        <v>2025</v>
      </c>
      <c r="C939" t="inlineStr">
        <is>
          <t>January</t>
        </is>
      </c>
      <c r="D939" t="inlineStr">
        <is>
          <t>Portable Puzzle</t>
        </is>
      </c>
      <c r="E939" t="inlineStr">
        <is>
          <t>Toys &amp; Games</t>
        </is>
      </c>
      <c r="F939" t="inlineStr">
        <is>
          <t>Anna Dubois</t>
        </is>
      </c>
      <c r="G939" t="inlineStr">
        <is>
          <t>Germany</t>
        </is>
      </c>
      <c r="H939" t="inlineStr">
        <is>
          <t>Web Store</t>
        </is>
      </c>
      <c r="I939" t="n">
        <v>3</v>
      </c>
      <c r="J939" s="3" t="n">
        <v>320.1</v>
      </c>
      <c r="K939" s="3" t="n">
        <v>64.02</v>
      </c>
      <c r="L939" s="3" t="n">
        <v>256.08</v>
      </c>
      <c r="M939" s="3" t="n">
        <v>176.4</v>
      </c>
      <c r="N939" s="3" t="n">
        <v>79.68000000000001</v>
      </c>
      <c r="O939">
        <f>TEXT(A939,"yyyy-mm")</f>
        <v/>
      </c>
    </row>
    <row r="940">
      <c r="A940" s="2" t="n">
        <v>45682</v>
      </c>
      <c r="B940" t="n">
        <v>2025</v>
      </c>
      <c r="C940" t="inlineStr">
        <is>
          <t>January</t>
        </is>
      </c>
      <c r="D940" t="inlineStr">
        <is>
          <t>Premium Water Bottle</t>
        </is>
      </c>
      <c r="E940" t="inlineStr">
        <is>
          <t>Sports &amp; Outdoors</t>
        </is>
      </c>
      <c r="F940" t="inlineStr">
        <is>
          <t>Laura Johnson</t>
        </is>
      </c>
      <c r="G940" t="inlineStr">
        <is>
          <t>Germany</t>
        </is>
      </c>
      <c r="H940" t="inlineStr">
        <is>
          <t>Retail Store</t>
        </is>
      </c>
      <c r="I940" t="n">
        <v>5</v>
      </c>
      <c r="J940" s="3" t="n">
        <v>143.45</v>
      </c>
      <c r="K940" s="3" t="n">
        <v>7.17</v>
      </c>
      <c r="L940" s="3" t="n">
        <v>136.28</v>
      </c>
      <c r="M940" s="3" t="n">
        <v>83.15000000000001</v>
      </c>
      <c r="N940" s="3" t="n">
        <v>53.13</v>
      </c>
      <c r="O940">
        <f>TEXT(A940,"yyyy-mm")</f>
        <v/>
      </c>
    </row>
    <row r="941">
      <c r="A941" s="2" t="n">
        <v>45682</v>
      </c>
      <c r="B941" t="n">
        <v>2025</v>
      </c>
      <c r="C941" t="inlineStr">
        <is>
          <t>January</t>
        </is>
      </c>
      <c r="D941" t="inlineStr">
        <is>
          <t>Essential Lamp</t>
        </is>
      </c>
      <c r="E941" t="inlineStr">
        <is>
          <t>Home &amp; Garden</t>
        </is>
      </c>
      <c r="F941" t="inlineStr">
        <is>
          <t>Clara Martin</t>
        </is>
      </c>
      <c r="G941" t="inlineStr">
        <is>
          <t>United States</t>
        </is>
      </c>
      <c r="H941" t="inlineStr">
        <is>
          <t>Retail Store</t>
        </is>
      </c>
      <c r="I941" t="n">
        <v>4</v>
      </c>
      <c r="J941" s="3" t="n">
        <v>249.76</v>
      </c>
      <c r="K941" s="3" t="n">
        <v>49.95</v>
      </c>
      <c r="L941" s="3" t="n">
        <v>199.81</v>
      </c>
      <c r="M941" s="3" t="n">
        <v>181.6</v>
      </c>
      <c r="N941" s="3" t="n">
        <v>18.21</v>
      </c>
      <c r="O941">
        <f>TEXT(A941,"yyyy-mm")</f>
        <v/>
      </c>
    </row>
    <row r="942">
      <c r="A942" s="2" t="n">
        <v>45682</v>
      </c>
      <c r="B942" t="n">
        <v>2025</v>
      </c>
      <c r="C942" t="inlineStr">
        <is>
          <t>January</t>
        </is>
      </c>
      <c r="D942" t="inlineStr">
        <is>
          <t>Portable Pasta</t>
        </is>
      </c>
      <c r="E942" t="inlineStr">
        <is>
          <t>Grocery</t>
        </is>
      </c>
      <c r="F942" t="inlineStr">
        <is>
          <t>John Conti</t>
        </is>
      </c>
      <c r="G942" t="inlineStr">
        <is>
          <t>Germany</t>
        </is>
      </c>
      <c r="H942" t="inlineStr">
        <is>
          <t>Retail Store</t>
        </is>
      </c>
      <c r="I942" t="n">
        <v>5</v>
      </c>
      <c r="J942" s="3" t="n">
        <v>192.35</v>
      </c>
      <c r="K942" s="3" t="n">
        <v>28.85</v>
      </c>
      <c r="L942" s="3" t="n">
        <v>163.5</v>
      </c>
      <c r="M942" s="3" t="n">
        <v>138.75</v>
      </c>
      <c r="N942" s="3" t="n">
        <v>24.75</v>
      </c>
      <c r="O942">
        <f>TEXT(A942,"yyyy-mm")</f>
        <v/>
      </c>
    </row>
    <row r="943">
      <c r="A943" s="2" t="n">
        <v>45682</v>
      </c>
      <c r="B943" t="n">
        <v>2025</v>
      </c>
      <c r="C943" t="inlineStr">
        <is>
          <t>January</t>
        </is>
      </c>
      <c r="D943" t="inlineStr">
        <is>
          <t>Smart Coffee Beans</t>
        </is>
      </c>
      <c r="E943" t="inlineStr">
        <is>
          <t>Grocery</t>
        </is>
      </c>
      <c r="F943" t="inlineStr">
        <is>
          <t>John Conti</t>
        </is>
      </c>
      <c r="G943" t="inlineStr">
        <is>
          <t>Germany</t>
        </is>
      </c>
      <c r="H943" t="inlineStr">
        <is>
          <t>Retail Store</t>
        </is>
      </c>
      <c r="I943" t="n">
        <v>3</v>
      </c>
      <c r="J943" s="3" t="n">
        <v>323.1</v>
      </c>
      <c r="K943" s="3" t="n">
        <v>64.62</v>
      </c>
      <c r="L943" s="3" t="n">
        <v>258.48</v>
      </c>
      <c r="M943" s="3" t="n">
        <v>218.55</v>
      </c>
      <c r="N943" s="3" t="n">
        <v>39.93</v>
      </c>
      <c r="O943">
        <f>TEXT(A943,"yyyy-mm")</f>
        <v/>
      </c>
    </row>
    <row r="944">
      <c r="A944" s="2" t="n">
        <v>45682</v>
      </c>
      <c r="B944" t="n">
        <v>2025</v>
      </c>
      <c r="C944" t="inlineStr">
        <is>
          <t>January</t>
        </is>
      </c>
      <c r="D944" t="inlineStr">
        <is>
          <t>Compact Jacket</t>
        </is>
      </c>
      <c r="E944" t="inlineStr">
        <is>
          <t>Clothing</t>
        </is>
      </c>
      <c r="F944" t="inlineStr">
        <is>
          <t>John Conti</t>
        </is>
      </c>
      <c r="G944" t="inlineStr">
        <is>
          <t>Germany</t>
        </is>
      </c>
      <c r="H944" t="inlineStr">
        <is>
          <t>Retail Store</t>
        </is>
      </c>
      <c r="I944" t="n">
        <v>1</v>
      </c>
      <c r="J944" s="3" t="n">
        <v>36.11</v>
      </c>
      <c r="K944" s="3" t="n">
        <v>7.22</v>
      </c>
      <c r="L944" s="3" t="n">
        <v>28.89</v>
      </c>
      <c r="M944" s="3" t="n">
        <v>20.4</v>
      </c>
      <c r="N944" s="3" t="n">
        <v>8.49</v>
      </c>
      <c r="O944">
        <f>TEXT(A944,"yyyy-mm")</f>
        <v/>
      </c>
    </row>
    <row r="945">
      <c r="A945" s="2" t="n">
        <v>45683</v>
      </c>
      <c r="B945" t="n">
        <v>2025</v>
      </c>
      <c r="C945" t="inlineStr">
        <is>
          <t>January</t>
        </is>
      </c>
      <c r="D945" t="inlineStr">
        <is>
          <t>Smart Camera</t>
        </is>
      </c>
      <c r="E945" t="inlineStr">
        <is>
          <t>Electronics</t>
        </is>
      </c>
      <c r="F945" t="inlineStr">
        <is>
          <t>David Bianchi</t>
        </is>
      </c>
      <c r="G945" t="inlineStr">
        <is>
          <t>Netherlands</t>
        </is>
      </c>
      <c r="H945" t="inlineStr">
        <is>
          <t>Web Store</t>
        </is>
      </c>
      <c r="I945" t="n">
        <v>5</v>
      </c>
      <c r="J945" s="3" t="n">
        <v>1535.8</v>
      </c>
      <c r="K945" s="3" t="n">
        <v>153.58</v>
      </c>
      <c r="L945" s="3" t="n">
        <v>1382.22</v>
      </c>
      <c r="M945" s="3" t="n">
        <v>837</v>
      </c>
      <c r="N945" s="3" t="n">
        <v>545.22</v>
      </c>
      <c r="O945">
        <f>TEXT(A945,"yyyy-mm")</f>
        <v/>
      </c>
    </row>
    <row r="946">
      <c r="A946" s="2" t="n">
        <v>45683</v>
      </c>
      <c r="B946" t="n">
        <v>2025</v>
      </c>
      <c r="C946" t="inlineStr">
        <is>
          <t>January</t>
        </is>
      </c>
      <c r="D946" t="inlineStr">
        <is>
          <t>Classic Yoga Mat</t>
        </is>
      </c>
      <c r="E946" t="inlineStr">
        <is>
          <t>Sports &amp; Outdoors</t>
        </is>
      </c>
      <c r="F946" t="inlineStr">
        <is>
          <t>Laura Muller</t>
        </is>
      </c>
      <c r="G946" t="inlineStr">
        <is>
          <t>Italy</t>
        </is>
      </c>
      <c r="H946" t="inlineStr">
        <is>
          <t>Web Store</t>
        </is>
      </c>
      <c r="I946" t="n">
        <v>1</v>
      </c>
      <c r="J946" s="3" t="n">
        <v>332.66</v>
      </c>
      <c r="K946" s="3" t="n">
        <v>33.27</v>
      </c>
      <c r="L946" s="3" t="n">
        <v>299.39</v>
      </c>
      <c r="M946" s="3" t="n">
        <v>195.7</v>
      </c>
      <c r="N946" s="3" t="n">
        <v>103.69</v>
      </c>
      <c r="O946">
        <f>TEXT(A946,"yyyy-mm")</f>
        <v/>
      </c>
    </row>
    <row r="947">
      <c r="A947" s="2" t="n">
        <v>45683</v>
      </c>
      <c r="B947" t="n">
        <v>2025</v>
      </c>
      <c r="C947" t="inlineStr">
        <is>
          <t>January</t>
        </is>
      </c>
      <c r="D947" t="inlineStr">
        <is>
          <t>Compact Pasta</t>
        </is>
      </c>
      <c r="E947" t="inlineStr">
        <is>
          <t>Grocery</t>
        </is>
      </c>
      <c r="F947" t="inlineStr">
        <is>
          <t>Laura Muller</t>
        </is>
      </c>
      <c r="G947" t="inlineStr">
        <is>
          <t>Italy</t>
        </is>
      </c>
      <c r="H947" t="inlineStr">
        <is>
          <t>Web Store</t>
        </is>
      </c>
      <c r="I947" t="n">
        <v>2</v>
      </c>
      <c r="J947" s="3" t="n">
        <v>628.46</v>
      </c>
      <c r="K947" s="3" t="n">
        <v>125.69</v>
      </c>
      <c r="L947" s="3" t="n">
        <v>502.77</v>
      </c>
      <c r="M947" s="3" t="n">
        <v>398.8</v>
      </c>
      <c r="N947" s="3" t="n">
        <v>103.97</v>
      </c>
      <c r="O947">
        <f>TEXT(A947,"yyyy-mm")</f>
        <v/>
      </c>
    </row>
    <row r="948">
      <c r="A948" s="2" t="n">
        <v>45683</v>
      </c>
      <c r="B948" t="n">
        <v>2025</v>
      </c>
      <c r="C948" t="inlineStr">
        <is>
          <t>January</t>
        </is>
      </c>
      <c r="D948" t="inlineStr">
        <is>
          <t>Eco Backpack</t>
        </is>
      </c>
      <c r="E948" t="inlineStr">
        <is>
          <t>Sports &amp; Outdoors</t>
        </is>
      </c>
      <c r="F948" t="inlineStr">
        <is>
          <t>Robert Dubois</t>
        </is>
      </c>
      <c r="G948" t="inlineStr">
        <is>
          <t>France</t>
        </is>
      </c>
      <c r="H948" t="inlineStr">
        <is>
          <t>Retail Store</t>
        </is>
      </c>
      <c r="I948" t="n">
        <v>4</v>
      </c>
      <c r="J948" s="3" t="n">
        <v>1005.48</v>
      </c>
      <c r="K948" s="3" t="n">
        <v>50.27</v>
      </c>
      <c r="L948" s="3" t="n">
        <v>955.21</v>
      </c>
      <c r="M948" s="3" t="n">
        <v>586.3200000000001</v>
      </c>
      <c r="N948" s="3" t="n">
        <v>368.89</v>
      </c>
      <c r="O948">
        <f>TEXT(A948,"yyyy-mm")</f>
        <v/>
      </c>
    </row>
    <row r="949">
      <c r="A949" s="2" t="n">
        <v>45683</v>
      </c>
      <c r="B949" t="n">
        <v>2025</v>
      </c>
      <c r="C949" t="inlineStr">
        <is>
          <t>January</t>
        </is>
      </c>
      <c r="D949" t="inlineStr">
        <is>
          <t>Classic Atlas</t>
        </is>
      </c>
      <c r="E949" t="inlineStr">
        <is>
          <t>Books</t>
        </is>
      </c>
      <c r="F949" t="inlineStr">
        <is>
          <t>Robert Dubois</t>
        </is>
      </c>
      <c r="G949" t="inlineStr">
        <is>
          <t>France</t>
        </is>
      </c>
      <c r="H949" t="inlineStr">
        <is>
          <t>Retail Store</t>
        </is>
      </c>
      <c r="I949" t="n">
        <v>3</v>
      </c>
      <c r="J949" s="3" t="n">
        <v>189.42</v>
      </c>
      <c r="K949" s="3" t="n">
        <v>0</v>
      </c>
      <c r="L949" s="3" t="n">
        <v>189.42</v>
      </c>
      <c r="M949" s="3" t="n">
        <v>103.77</v>
      </c>
      <c r="N949" s="3" t="n">
        <v>85.65000000000001</v>
      </c>
      <c r="O949">
        <f>TEXT(A949,"yyyy-mm")</f>
        <v/>
      </c>
    </row>
    <row r="950">
      <c r="A950" s="2" t="n">
        <v>45683</v>
      </c>
      <c r="B950" t="n">
        <v>2025</v>
      </c>
      <c r="C950" t="inlineStr">
        <is>
          <t>January</t>
        </is>
      </c>
      <c r="D950" t="inlineStr">
        <is>
          <t>Ultra Backpack</t>
        </is>
      </c>
      <c r="E950" t="inlineStr">
        <is>
          <t>Sports &amp; Outdoors</t>
        </is>
      </c>
      <c r="F950" t="inlineStr">
        <is>
          <t>Robert Dubois</t>
        </is>
      </c>
      <c r="G950" t="inlineStr">
        <is>
          <t>France</t>
        </is>
      </c>
      <c r="H950" t="inlineStr">
        <is>
          <t>Retail Store</t>
        </is>
      </c>
      <c r="I950" t="n">
        <v>1</v>
      </c>
      <c r="J950" s="3" t="n">
        <v>314.47</v>
      </c>
      <c r="K950" s="3" t="n">
        <v>0</v>
      </c>
      <c r="L950" s="3" t="n">
        <v>314.47</v>
      </c>
      <c r="M950" s="3" t="n">
        <v>173.69</v>
      </c>
      <c r="N950" s="3" t="n">
        <v>140.78</v>
      </c>
      <c r="O950">
        <f>TEXT(A950,"yyyy-mm")</f>
        <v/>
      </c>
    </row>
    <row r="951">
      <c r="A951" s="2" t="n">
        <v>45683</v>
      </c>
      <c r="B951" t="n">
        <v>2025</v>
      </c>
      <c r="C951" t="inlineStr">
        <is>
          <t>January</t>
        </is>
      </c>
      <c r="D951" t="inlineStr">
        <is>
          <t>Compact Pasta</t>
        </is>
      </c>
      <c r="E951" t="inlineStr">
        <is>
          <t>Grocery</t>
        </is>
      </c>
      <c r="F951" t="inlineStr">
        <is>
          <t>Robert Dubois</t>
        </is>
      </c>
      <c r="G951" t="inlineStr">
        <is>
          <t>France</t>
        </is>
      </c>
      <c r="H951" t="inlineStr">
        <is>
          <t>Retail Store</t>
        </is>
      </c>
      <c r="I951" t="n">
        <v>3</v>
      </c>
      <c r="J951" s="3" t="n">
        <v>963.54</v>
      </c>
      <c r="K951" s="3" t="n">
        <v>48.18</v>
      </c>
      <c r="L951" s="3" t="n">
        <v>915.36</v>
      </c>
      <c r="M951" s="3" t="n">
        <v>598.2</v>
      </c>
      <c r="N951" s="3" t="n">
        <v>317.16</v>
      </c>
      <c r="O951">
        <f>TEXT(A951,"yyyy-mm")</f>
        <v/>
      </c>
    </row>
    <row r="952">
      <c r="A952" s="2" t="n">
        <v>45683</v>
      </c>
      <c r="B952" t="n">
        <v>2025</v>
      </c>
      <c r="C952" t="inlineStr">
        <is>
          <t>January</t>
        </is>
      </c>
      <c r="D952" t="inlineStr">
        <is>
          <t>Smart Face Cream</t>
        </is>
      </c>
      <c r="E952" t="inlineStr">
        <is>
          <t>Beauty &amp; Health</t>
        </is>
      </c>
      <c r="F952" t="inlineStr">
        <is>
          <t>Olivia Conti</t>
        </is>
      </c>
      <c r="G952" t="inlineStr">
        <is>
          <t>Poland</t>
        </is>
      </c>
      <c r="H952" t="inlineStr">
        <is>
          <t>Web Store</t>
        </is>
      </c>
      <c r="I952" t="n">
        <v>5</v>
      </c>
      <c r="J952" s="3" t="n">
        <v>1309.85</v>
      </c>
      <c r="K952" s="3" t="n">
        <v>261.97</v>
      </c>
      <c r="L952" s="3" t="n">
        <v>1047.88</v>
      </c>
      <c r="M952" s="3" t="n">
        <v>965.7</v>
      </c>
      <c r="N952" s="3" t="n">
        <v>82.18000000000001</v>
      </c>
      <c r="O952">
        <f>TEXT(A952,"yyyy-mm")</f>
        <v/>
      </c>
    </row>
    <row r="953">
      <c r="A953" s="2" t="n">
        <v>45683</v>
      </c>
      <c r="B953" t="n">
        <v>2025</v>
      </c>
      <c r="C953" t="inlineStr">
        <is>
          <t>January</t>
        </is>
      </c>
      <c r="D953" t="inlineStr">
        <is>
          <t>Eco Planter</t>
        </is>
      </c>
      <c r="E953" t="inlineStr">
        <is>
          <t>Home &amp; Garden</t>
        </is>
      </c>
      <c r="F953" t="inlineStr">
        <is>
          <t>Laura Muller</t>
        </is>
      </c>
      <c r="G953" t="inlineStr">
        <is>
          <t>Italy</t>
        </is>
      </c>
      <c r="H953" t="inlineStr">
        <is>
          <t>Web Store</t>
        </is>
      </c>
      <c r="I953" t="n">
        <v>3</v>
      </c>
      <c r="J953" s="3" t="n">
        <v>559.86</v>
      </c>
      <c r="K953" s="3" t="n">
        <v>27.99</v>
      </c>
      <c r="L953" s="3" t="n">
        <v>531.87</v>
      </c>
      <c r="M953" s="3" t="n">
        <v>337.23</v>
      </c>
      <c r="N953" s="3" t="n">
        <v>194.64</v>
      </c>
      <c r="O953">
        <f>TEXT(A953,"yyyy-mm")</f>
        <v/>
      </c>
    </row>
    <row r="954">
      <c r="A954" s="2" t="n">
        <v>45683</v>
      </c>
      <c r="B954" t="n">
        <v>2025</v>
      </c>
      <c r="C954" t="inlineStr">
        <is>
          <t>January</t>
        </is>
      </c>
      <c r="D954" t="inlineStr">
        <is>
          <t>Wireless Coffee Beans</t>
        </is>
      </c>
      <c r="E954" t="inlineStr">
        <is>
          <t>Grocery</t>
        </is>
      </c>
      <c r="F954" t="inlineStr">
        <is>
          <t>Laura Muller</t>
        </is>
      </c>
      <c r="G954" t="inlineStr">
        <is>
          <t>Italy</t>
        </is>
      </c>
      <c r="H954" t="inlineStr">
        <is>
          <t>Web Store</t>
        </is>
      </c>
      <c r="I954" t="n">
        <v>5</v>
      </c>
      <c r="J954" s="3" t="n">
        <v>623.8</v>
      </c>
      <c r="K954" s="3" t="n">
        <v>0</v>
      </c>
      <c r="L954" s="3" t="n">
        <v>623.8</v>
      </c>
      <c r="M954" s="3" t="n">
        <v>396.85</v>
      </c>
      <c r="N954" s="3" t="n">
        <v>226.95</v>
      </c>
      <c r="O954">
        <f>TEXT(A954,"yyyy-mm")</f>
        <v/>
      </c>
    </row>
    <row r="955">
      <c r="A955" s="2" t="n">
        <v>45684</v>
      </c>
      <c r="B955" t="n">
        <v>2025</v>
      </c>
      <c r="C955" t="inlineStr">
        <is>
          <t>January</t>
        </is>
      </c>
      <c r="D955" t="inlineStr">
        <is>
          <t>Smart Board Game</t>
        </is>
      </c>
      <c r="E955" t="inlineStr">
        <is>
          <t>Toys &amp; Games</t>
        </is>
      </c>
      <c r="F955" t="inlineStr">
        <is>
          <t>Thomas Muller</t>
        </is>
      </c>
      <c r="G955" t="inlineStr">
        <is>
          <t>Italy</t>
        </is>
      </c>
      <c r="H955" t="inlineStr">
        <is>
          <t>Marketplace</t>
        </is>
      </c>
      <c r="I955" t="n">
        <v>1</v>
      </c>
      <c r="J955" s="3" t="n">
        <v>127.09</v>
      </c>
      <c r="K955" s="3" t="n">
        <v>12.71</v>
      </c>
      <c r="L955" s="3" t="n">
        <v>114.38</v>
      </c>
      <c r="M955" s="3" t="n">
        <v>91.72</v>
      </c>
      <c r="N955" s="3" t="n">
        <v>22.66</v>
      </c>
      <c r="O955">
        <f>TEXT(A955,"yyyy-mm")</f>
        <v/>
      </c>
    </row>
    <row r="956">
      <c r="A956" s="2" t="n">
        <v>45684</v>
      </c>
      <c r="B956" t="n">
        <v>2025</v>
      </c>
      <c r="C956" t="inlineStr">
        <is>
          <t>January</t>
        </is>
      </c>
      <c r="D956" t="inlineStr">
        <is>
          <t>Portable Speaker</t>
        </is>
      </c>
      <c r="E956" t="inlineStr">
        <is>
          <t>Electronics</t>
        </is>
      </c>
      <c r="F956" t="inlineStr">
        <is>
          <t>Olivia Bianchi</t>
        </is>
      </c>
      <c r="G956" t="inlineStr">
        <is>
          <t>Spain</t>
        </is>
      </c>
      <c r="H956" t="inlineStr">
        <is>
          <t>Retail Store</t>
        </is>
      </c>
      <c r="I956" t="n">
        <v>4</v>
      </c>
      <c r="J956" s="3" t="n">
        <v>1334.6</v>
      </c>
      <c r="K956" s="3" t="n">
        <v>0</v>
      </c>
      <c r="L956" s="3" t="n">
        <v>1334.6</v>
      </c>
      <c r="M956" s="3" t="n">
        <v>699.3200000000001</v>
      </c>
      <c r="N956" s="3" t="n">
        <v>635.28</v>
      </c>
      <c r="O956">
        <f>TEXT(A956,"yyyy-mm")</f>
        <v/>
      </c>
    </row>
    <row r="957">
      <c r="A957" s="2" t="n">
        <v>45684</v>
      </c>
      <c r="B957" t="n">
        <v>2025</v>
      </c>
      <c r="C957" t="inlineStr">
        <is>
          <t>January</t>
        </is>
      </c>
      <c r="D957" t="inlineStr">
        <is>
          <t>Portable Notebook</t>
        </is>
      </c>
      <c r="E957" t="inlineStr">
        <is>
          <t>Books</t>
        </is>
      </c>
      <c r="F957" t="inlineStr">
        <is>
          <t>Olivia Bianchi</t>
        </is>
      </c>
      <c r="G957" t="inlineStr">
        <is>
          <t>Spain</t>
        </is>
      </c>
      <c r="H957" t="inlineStr">
        <is>
          <t>Retail Store</t>
        </is>
      </c>
      <c r="I957" t="n">
        <v>5</v>
      </c>
      <c r="J957" s="3" t="n">
        <v>604.4</v>
      </c>
      <c r="K957" s="3" t="n">
        <v>60.44</v>
      </c>
      <c r="L957" s="3" t="n">
        <v>543.96</v>
      </c>
      <c r="M957" s="3" t="n">
        <v>356.4</v>
      </c>
      <c r="N957" s="3" t="n">
        <v>187.56</v>
      </c>
      <c r="O957">
        <f>TEXT(A957,"yyyy-mm")</f>
        <v/>
      </c>
    </row>
    <row r="958">
      <c r="A958" s="2" t="n">
        <v>45684</v>
      </c>
      <c r="B958" t="n">
        <v>2025</v>
      </c>
      <c r="C958" t="inlineStr">
        <is>
          <t>January</t>
        </is>
      </c>
      <c r="D958" t="inlineStr">
        <is>
          <t>Premium Tent</t>
        </is>
      </c>
      <c r="E958" t="inlineStr">
        <is>
          <t>Sports &amp; Outdoors</t>
        </is>
      </c>
      <c r="F958" t="inlineStr">
        <is>
          <t>Olivia Bianchi</t>
        </is>
      </c>
      <c r="G958" t="inlineStr">
        <is>
          <t>Spain</t>
        </is>
      </c>
      <c r="H958" t="inlineStr">
        <is>
          <t>Retail Store</t>
        </is>
      </c>
      <c r="I958" t="n">
        <v>3</v>
      </c>
      <c r="J958" s="3" t="n">
        <v>811.83</v>
      </c>
      <c r="K958" s="3" t="n">
        <v>0</v>
      </c>
      <c r="L958" s="3" t="n">
        <v>811.83</v>
      </c>
      <c r="M958" s="3" t="n">
        <v>417.12</v>
      </c>
      <c r="N958" s="3" t="n">
        <v>394.71</v>
      </c>
      <c r="O958">
        <f>TEXT(A958,"yyyy-mm")</f>
        <v/>
      </c>
    </row>
    <row r="959">
      <c r="A959" s="2" t="n">
        <v>45685</v>
      </c>
      <c r="B959" t="n">
        <v>2025</v>
      </c>
      <c r="C959" t="inlineStr">
        <is>
          <t>January</t>
        </is>
      </c>
      <c r="D959" t="inlineStr">
        <is>
          <t>Premium Tent</t>
        </is>
      </c>
      <c r="E959" t="inlineStr">
        <is>
          <t>Sports &amp; Outdoors</t>
        </is>
      </c>
      <c r="F959" t="inlineStr">
        <is>
          <t>Sophie Schmidt</t>
        </is>
      </c>
      <c r="G959" t="inlineStr">
        <is>
          <t>Germany</t>
        </is>
      </c>
      <c r="H959" t="inlineStr">
        <is>
          <t>Retail Store</t>
        </is>
      </c>
      <c r="I959" t="n">
        <v>3</v>
      </c>
      <c r="J959" s="3" t="n">
        <v>799.23</v>
      </c>
      <c r="K959" s="3" t="n">
        <v>119.88</v>
      </c>
      <c r="L959" s="3" t="n">
        <v>679.35</v>
      </c>
      <c r="M959" s="3" t="n">
        <v>495.93</v>
      </c>
      <c r="N959" s="3" t="n">
        <v>183.42</v>
      </c>
      <c r="O959">
        <f>TEXT(A959,"yyyy-mm")</f>
        <v/>
      </c>
    </row>
    <row r="960">
      <c r="A960" s="2" t="n">
        <v>45685</v>
      </c>
      <c r="B960" t="n">
        <v>2025</v>
      </c>
      <c r="C960" t="inlineStr">
        <is>
          <t>January</t>
        </is>
      </c>
      <c r="D960" t="inlineStr">
        <is>
          <t>Smart Charger</t>
        </is>
      </c>
      <c r="E960" t="inlineStr">
        <is>
          <t>Electronics</t>
        </is>
      </c>
      <c r="F960" t="inlineStr">
        <is>
          <t>Sophie Schmidt</t>
        </is>
      </c>
      <c r="G960" t="inlineStr">
        <is>
          <t>Germany</t>
        </is>
      </c>
      <c r="H960" t="inlineStr">
        <is>
          <t>Retail Store</t>
        </is>
      </c>
      <c r="I960" t="n">
        <v>1</v>
      </c>
      <c r="J960" s="3" t="n">
        <v>244.41</v>
      </c>
      <c r="K960" s="3" t="n">
        <v>24.44</v>
      </c>
      <c r="L960" s="3" t="n">
        <v>219.97</v>
      </c>
      <c r="M960" s="3" t="n">
        <v>142.52</v>
      </c>
      <c r="N960" s="3" t="n">
        <v>77.45</v>
      </c>
      <c r="O960">
        <f>TEXT(A960,"yyyy-mm")</f>
        <v/>
      </c>
    </row>
    <row r="961">
      <c r="A961" s="2" t="n">
        <v>45685</v>
      </c>
      <c r="B961" t="n">
        <v>2025</v>
      </c>
      <c r="C961" t="inlineStr">
        <is>
          <t>January</t>
        </is>
      </c>
      <c r="D961" t="inlineStr">
        <is>
          <t>Deluxe Toolset</t>
        </is>
      </c>
      <c r="E961" t="inlineStr">
        <is>
          <t>Home &amp; Garden</t>
        </is>
      </c>
      <c r="F961" t="inlineStr">
        <is>
          <t>Sophie Schmidt</t>
        </is>
      </c>
      <c r="G961" t="inlineStr">
        <is>
          <t>Germany</t>
        </is>
      </c>
      <c r="H961" t="inlineStr">
        <is>
          <t>Retail Store</t>
        </is>
      </c>
      <c r="I961" t="n">
        <v>3</v>
      </c>
      <c r="J961" s="3" t="n">
        <v>211.65</v>
      </c>
      <c r="K961" s="3" t="n">
        <v>10.58</v>
      </c>
      <c r="L961" s="3" t="n">
        <v>201.07</v>
      </c>
      <c r="M961" s="3" t="n">
        <v>143.13</v>
      </c>
      <c r="N961" s="3" t="n">
        <v>57.94</v>
      </c>
      <c r="O961">
        <f>TEXT(A961,"yyyy-mm")</f>
        <v/>
      </c>
    </row>
    <row r="962">
      <c r="A962" s="2" t="n">
        <v>45685</v>
      </c>
      <c r="B962" t="n">
        <v>2025</v>
      </c>
      <c r="C962" t="inlineStr">
        <is>
          <t>January</t>
        </is>
      </c>
      <c r="D962" t="inlineStr">
        <is>
          <t>Ultra Rug</t>
        </is>
      </c>
      <c r="E962" t="inlineStr">
        <is>
          <t>Home &amp; Garden</t>
        </is>
      </c>
      <c r="F962" t="inlineStr">
        <is>
          <t>Sophie Schmidt</t>
        </is>
      </c>
      <c r="G962" t="inlineStr">
        <is>
          <t>Germany</t>
        </is>
      </c>
      <c r="H962" t="inlineStr">
        <is>
          <t>Retail Store</t>
        </is>
      </c>
      <c r="I962" t="n">
        <v>5</v>
      </c>
      <c r="J962" s="3" t="n">
        <v>270.3</v>
      </c>
      <c r="K962" s="3" t="n">
        <v>54.06</v>
      </c>
      <c r="L962" s="3" t="n">
        <v>216.24</v>
      </c>
      <c r="M962" s="3" t="n">
        <v>164.55</v>
      </c>
      <c r="N962" s="3" t="n">
        <v>51.69</v>
      </c>
      <c r="O962">
        <f>TEXT(A962,"yyyy-mm")</f>
        <v/>
      </c>
    </row>
    <row r="963">
      <c r="A963" s="2" t="n">
        <v>45685</v>
      </c>
      <c r="B963" t="n">
        <v>2025</v>
      </c>
      <c r="C963" t="inlineStr">
        <is>
          <t>January</t>
        </is>
      </c>
      <c r="D963" t="inlineStr">
        <is>
          <t>Premium Tent</t>
        </is>
      </c>
      <c r="E963" t="inlineStr">
        <is>
          <t>Sports &amp; Outdoors</t>
        </is>
      </c>
      <c r="F963" t="inlineStr">
        <is>
          <t>James Moreau</t>
        </is>
      </c>
      <c r="G963" t="inlineStr">
        <is>
          <t>Poland</t>
        </is>
      </c>
      <c r="H963" t="inlineStr">
        <is>
          <t>Retail Store</t>
        </is>
      </c>
      <c r="I963" t="n">
        <v>2</v>
      </c>
      <c r="J963" s="3" t="n">
        <v>500.06</v>
      </c>
      <c r="K963" s="3" t="n">
        <v>0</v>
      </c>
      <c r="L963" s="3" t="n">
        <v>500.06</v>
      </c>
      <c r="M963" s="3" t="n">
        <v>278.08</v>
      </c>
      <c r="N963" s="3" t="n">
        <v>221.98</v>
      </c>
      <c r="O963">
        <f>TEXT(A963,"yyyy-mm")</f>
        <v/>
      </c>
    </row>
    <row r="964">
      <c r="A964" s="2" t="n">
        <v>45685</v>
      </c>
      <c r="B964" t="n">
        <v>2025</v>
      </c>
      <c r="C964" t="inlineStr">
        <is>
          <t>January</t>
        </is>
      </c>
      <c r="D964" t="inlineStr">
        <is>
          <t>Smart Honey</t>
        </is>
      </c>
      <c r="E964" t="inlineStr">
        <is>
          <t>Grocery</t>
        </is>
      </c>
      <c r="F964" t="inlineStr">
        <is>
          <t>James Moreau</t>
        </is>
      </c>
      <c r="G964" t="inlineStr">
        <is>
          <t>Poland</t>
        </is>
      </c>
      <c r="H964" t="inlineStr">
        <is>
          <t>Retail Store</t>
        </is>
      </c>
      <c r="I964" t="n">
        <v>5</v>
      </c>
      <c r="J964" s="3" t="n">
        <v>689.2</v>
      </c>
      <c r="K964" s="3" t="n">
        <v>137.84</v>
      </c>
      <c r="L964" s="3" t="n">
        <v>551.36</v>
      </c>
      <c r="M964" s="3" t="n">
        <v>357.2</v>
      </c>
      <c r="N964" s="3" t="n">
        <v>194.16</v>
      </c>
      <c r="O964">
        <f>TEXT(A964,"yyyy-mm")</f>
        <v/>
      </c>
    </row>
    <row r="965">
      <c r="A965" s="2" t="n">
        <v>45685</v>
      </c>
      <c r="B965" t="n">
        <v>2025</v>
      </c>
      <c r="C965" t="inlineStr">
        <is>
          <t>January</t>
        </is>
      </c>
      <c r="D965" t="inlineStr">
        <is>
          <t>Deluxe Scarf</t>
        </is>
      </c>
      <c r="E965" t="inlineStr">
        <is>
          <t>Clothing</t>
        </is>
      </c>
      <c r="F965" t="inlineStr">
        <is>
          <t>James Moreau</t>
        </is>
      </c>
      <c r="G965" t="inlineStr">
        <is>
          <t>Poland</t>
        </is>
      </c>
      <c r="H965" t="inlineStr">
        <is>
          <t>Retail Store</t>
        </is>
      </c>
      <c r="I965" t="n">
        <v>2</v>
      </c>
      <c r="J965" s="3" t="n">
        <v>392.36</v>
      </c>
      <c r="K965" s="3" t="n">
        <v>0</v>
      </c>
      <c r="L965" s="3" t="n">
        <v>392.36</v>
      </c>
      <c r="M965" s="3" t="n">
        <v>217.04</v>
      </c>
      <c r="N965" s="3" t="n">
        <v>175.32</v>
      </c>
      <c r="O965">
        <f>TEXT(A965,"yyyy-mm")</f>
        <v/>
      </c>
    </row>
    <row r="966">
      <c r="A966" s="2" t="n">
        <v>45685</v>
      </c>
      <c r="B966" t="n">
        <v>2025</v>
      </c>
      <c r="C966" t="inlineStr">
        <is>
          <t>January</t>
        </is>
      </c>
      <c r="D966" t="inlineStr">
        <is>
          <t>Premium Tent</t>
        </is>
      </c>
      <c r="E966" t="inlineStr">
        <is>
          <t>Sports &amp; Outdoors</t>
        </is>
      </c>
      <c r="F966" t="inlineStr">
        <is>
          <t>James Moreau</t>
        </is>
      </c>
      <c r="G966" t="inlineStr">
        <is>
          <t>Poland</t>
        </is>
      </c>
      <c r="H966" t="inlineStr">
        <is>
          <t>Retail Store</t>
        </is>
      </c>
      <c r="I966" t="n">
        <v>1</v>
      </c>
      <c r="J966" s="3" t="n">
        <v>257.71</v>
      </c>
      <c r="K966" s="3" t="n">
        <v>51.54</v>
      </c>
      <c r="L966" s="3" t="n">
        <v>206.17</v>
      </c>
      <c r="M966" s="3" t="n">
        <v>165.31</v>
      </c>
      <c r="N966" s="3" t="n">
        <v>40.86</v>
      </c>
      <c r="O966">
        <f>TEXT(A966,"yyyy-mm")</f>
        <v/>
      </c>
    </row>
    <row r="967">
      <c r="A967" s="2" t="n">
        <v>45686</v>
      </c>
      <c r="B967" t="n">
        <v>2025</v>
      </c>
      <c r="C967" t="inlineStr">
        <is>
          <t>January</t>
        </is>
      </c>
      <c r="D967" t="inlineStr">
        <is>
          <t>Portable Notebook</t>
        </is>
      </c>
      <c r="E967" t="inlineStr">
        <is>
          <t>Books</t>
        </is>
      </c>
      <c r="F967" t="inlineStr">
        <is>
          <t>Michael Conti</t>
        </is>
      </c>
      <c r="G967" t="inlineStr">
        <is>
          <t>Netherlands</t>
        </is>
      </c>
      <c r="H967" t="inlineStr">
        <is>
          <t>Mobile App</t>
        </is>
      </c>
      <c r="I967" t="n">
        <v>2</v>
      </c>
      <c r="J967" s="3" t="n">
        <v>254.66</v>
      </c>
      <c r="K967" s="3" t="n">
        <v>0</v>
      </c>
      <c r="L967" s="3" t="n">
        <v>254.66</v>
      </c>
      <c r="M967" s="3" t="n">
        <v>142.56</v>
      </c>
      <c r="N967" s="3" t="n">
        <v>112.1</v>
      </c>
      <c r="O967">
        <f>TEXT(A967,"yyyy-mm")</f>
        <v/>
      </c>
    </row>
    <row r="968">
      <c r="A968" s="2" t="n">
        <v>45686</v>
      </c>
      <c r="B968" t="n">
        <v>2025</v>
      </c>
      <c r="C968" t="inlineStr">
        <is>
          <t>January</t>
        </is>
      </c>
      <c r="D968" t="inlineStr">
        <is>
          <t>Essential Pasta</t>
        </is>
      </c>
      <c r="E968" t="inlineStr">
        <is>
          <t>Grocery</t>
        </is>
      </c>
      <c r="F968" t="inlineStr">
        <is>
          <t>Michael Conti</t>
        </is>
      </c>
      <c r="G968" t="inlineStr">
        <is>
          <t>Netherlands</t>
        </is>
      </c>
      <c r="H968" t="inlineStr">
        <is>
          <t>Mobile App</t>
        </is>
      </c>
      <c r="I968" t="n">
        <v>4</v>
      </c>
      <c r="J968" s="3" t="n">
        <v>221.36</v>
      </c>
      <c r="K968" s="3" t="n">
        <v>0</v>
      </c>
      <c r="L968" s="3" t="n">
        <v>221.36</v>
      </c>
      <c r="M968" s="3" t="n">
        <v>143.24</v>
      </c>
      <c r="N968" s="3" t="n">
        <v>78.12</v>
      </c>
      <c r="O968">
        <f>TEXT(A968,"yyyy-mm")</f>
        <v/>
      </c>
    </row>
    <row r="969">
      <c r="A969" s="2" t="n">
        <v>45686</v>
      </c>
      <c r="B969" t="n">
        <v>2025</v>
      </c>
      <c r="C969" t="inlineStr">
        <is>
          <t>January</t>
        </is>
      </c>
      <c r="D969" t="inlineStr">
        <is>
          <t>Smart Jeans</t>
        </is>
      </c>
      <c r="E969" t="inlineStr">
        <is>
          <t>Clothing</t>
        </is>
      </c>
      <c r="F969" t="inlineStr">
        <is>
          <t>Michael Conti</t>
        </is>
      </c>
      <c r="G969" t="inlineStr">
        <is>
          <t>Netherlands</t>
        </is>
      </c>
      <c r="H969" t="inlineStr">
        <is>
          <t>Mobile App</t>
        </is>
      </c>
      <c r="I969" t="n">
        <v>1</v>
      </c>
      <c r="J969" s="3" t="n">
        <v>283.24</v>
      </c>
      <c r="K969" s="3" t="n">
        <v>42.49</v>
      </c>
      <c r="L969" s="3" t="n">
        <v>240.75</v>
      </c>
      <c r="M969" s="3" t="n">
        <v>193.64</v>
      </c>
      <c r="N969" s="3" t="n">
        <v>47.11</v>
      </c>
      <c r="O969">
        <f>TEXT(A969,"yyyy-mm")</f>
        <v/>
      </c>
    </row>
    <row r="970">
      <c r="A970" s="2" t="n">
        <v>45686</v>
      </c>
      <c r="B970" t="n">
        <v>2025</v>
      </c>
      <c r="C970" t="inlineStr">
        <is>
          <t>January</t>
        </is>
      </c>
      <c r="D970" t="inlineStr">
        <is>
          <t>Smart Face Cream</t>
        </is>
      </c>
      <c r="E970" t="inlineStr">
        <is>
          <t>Beauty &amp; Health</t>
        </is>
      </c>
      <c r="F970" t="inlineStr">
        <is>
          <t>Emily Nowak</t>
        </is>
      </c>
      <c r="G970" t="inlineStr">
        <is>
          <t>Netherlands</t>
        </is>
      </c>
      <c r="H970" t="inlineStr">
        <is>
          <t>Marketplace</t>
        </is>
      </c>
      <c r="I970" t="n">
        <v>2</v>
      </c>
      <c r="J970" s="3" t="n">
        <v>544.9</v>
      </c>
      <c r="K970" s="3" t="n">
        <v>0</v>
      </c>
      <c r="L970" s="3" t="n">
        <v>544.9</v>
      </c>
      <c r="M970" s="3" t="n">
        <v>386.28</v>
      </c>
      <c r="N970" s="3" t="n">
        <v>158.62</v>
      </c>
      <c r="O970">
        <f>TEXT(A970,"yyyy-mm")</f>
        <v/>
      </c>
    </row>
    <row r="971">
      <c r="A971" s="2" t="n">
        <v>45686</v>
      </c>
      <c r="B971" t="n">
        <v>2025</v>
      </c>
      <c r="C971" t="inlineStr">
        <is>
          <t>January</t>
        </is>
      </c>
      <c r="D971" t="inlineStr">
        <is>
          <t>Essential Planter</t>
        </is>
      </c>
      <c r="E971" t="inlineStr">
        <is>
          <t>Home &amp; Garden</t>
        </is>
      </c>
      <c r="F971" t="inlineStr">
        <is>
          <t>Sophie Dubois</t>
        </is>
      </c>
      <c r="G971" t="inlineStr">
        <is>
          <t>United Kingdom</t>
        </is>
      </c>
      <c r="H971" t="inlineStr">
        <is>
          <t>Web Store</t>
        </is>
      </c>
      <c r="I971" t="n">
        <v>2</v>
      </c>
      <c r="J971" s="3" t="n">
        <v>51.78</v>
      </c>
      <c r="K971" s="3" t="n">
        <v>0</v>
      </c>
      <c r="L971" s="3" t="n">
        <v>51.78</v>
      </c>
      <c r="M971" s="3" t="n">
        <v>39.28</v>
      </c>
      <c r="N971" s="3" t="n">
        <v>12.5</v>
      </c>
      <c r="O971">
        <f>TEXT(A971,"yyyy-mm")</f>
        <v/>
      </c>
    </row>
    <row r="972">
      <c r="A972" s="2" t="n">
        <v>45686</v>
      </c>
      <c r="B972" t="n">
        <v>2025</v>
      </c>
      <c r="C972" t="inlineStr">
        <is>
          <t>January</t>
        </is>
      </c>
      <c r="D972" t="inlineStr">
        <is>
          <t>Wireless Backpack</t>
        </is>
      </c>
      <c r="E972" t="inlineStr">
        <is>
          <t>Sports &amp; Outdoors</t>
        </is>
      </c>
      <c r="F972" t="inlineStr">
        <is>
          <t>Sophie Dubois</t>
        </is>
      </c>
      <c r="G972" t="inlineStr">
        <is>
          <t>United Kingdom</t>
        </is>
      </c>
      <c r="H972" t="inlineStr">
        <is>
          <t>Web Store</t>
        </is>
      </c>
      <c r="I972" t="n">
        <v>1</v>
      </c>
      <c r="J972" s="3" t="n">
        <v>49.16</v>
      </c>
      <c r="K972" s="3" t="n">
        <v>0</v>
      </c>
      <c r="L972" s="3" t="n">
        <v>49.16</v>
      </c>
      <c r="M972" s="3" t="n">
        <v>28.1</v>
      </c>
      <c r="N972" s="3" t="n">
        <v>21.06</v>
      </c>
      <c r="O972">
        <f>TEXT(A972,"yyyy-mm")</f>
        <v/>
      </c>
    </row>
    <row r="973">
      <c r="A973" s="2" t="n">
        <v>45686</v>
      </c>
      <c r="B973" t="n">
        <v>2025</v>
      </c>
      <c r="C973" t="inlineStr">
        <is>
          <t>January</t>
        </is>
      </c>
      <c r="D973" t="inlineStr">
        <is>
          <t>Smart Olive Oil</t>
        </is>
      </c>
      <c r="E973" t="inlineStr">
        <is>
          <t>Grocery</t>
        </is>
      </c>
      <c r="F973" t="inlineStr">
        <is>
          <t>Mark Fischer</t>
        </is>
      </c>
      <c r="G973" t="inlineStr">
        <is>
          <t>Germany</t>
        </is>
      </c>
      <c r="H973" t="inlineStr">
        <is>
          <t>Web Store</t>
        </is>
      </c>
      <c r="I973" t="n">
        <v>1</v>
      </c>
      <c r="J973" s="3" t="n">
        <v>171.63</v>
      </c>
      <c r="K973" s="3" t="n">
        <v>34.33</v>
      </c>
      <c r="L973" s="3" t="n">
        <v>137.3</v>
      </c>
      <c r="M973" s="3" t="n">
        <v>110.02</v>
      </c>
      <c r="N973" s="3" t="n">
        <v>27.28</v>
      </c>
      <c r="O973">
        <f>TEXT(A973,"yyyy-mm")</f>
        <v/>
      </c>
    </row>
    <row r="974">
      <c r="A974" s="2" t="n">
        <v>45686</v>
      </c>
      <c r="B974" t="n">
        <v>2025</v>
      </c>
      <c r="C974" t="inlineStr">
        <is>
          <t>January</t>
        </is>
      </c>
      <c r="D974" t="inlineStr">
        <is>
          <t>Essential Lamp</t>
        </is>
      </c>
      <c r="E974" t="inlineStr">
        <is>
          <t>Home &amp; Garden</t>
        </is>
      </c>
      <c r="F974" t="inlineStr">
        <is>
          <t>Mark Fischer</t>
        </is>
      </c>
      <c r="G974" t="inlineStr">
        <is>
          <t>Germany</t>
        </is>
      </c>
      <c r="H974" t="inlineStr">
        <is>
          <t>Web Store</t>
        </is>
      </c>
      <c r="I974" t="n">
        <v>1</v>
      </c>
      <c r="J974" s="3" t="n">
        <v>64.93000000000001</v>
      </c>
      <c r="K974" s="3" t="n">
        <v>9.74</v>
      </c>
      <c r="L974" s="3" t="n">
        <v>55.19</v>
      </c>
      <c r="M974" s="3" t="n">
        <v>45.4</v>
      </c>
      <c r="N974" s="3" t="n">
        <v>9.789999999999999</v>
      </c>
      <c r="O974">
        <f>TEXT(A974,"yyyy-mm")</f>
        <v/>
      </c>
    </row>
    <row r="975">
      <c r="A975" s="2" t="n">
        <v>45686</v>
      </c>
      <c r="B975" t="n">
        <v>2025</v>
      </c>
      <c r="C975" t="inlineStr">
        <is>
          <t>January</t>
        </is>
      </c>
      <c r="D975" t="inlineStr">
        <is>
          <t>Deluxe Puzzle</t>
        </is>
      </c>
      <c r="E975" t="inlineStr">
        <is>
          <t>Toys &amp; Games</t>
        </is>
      </c>
      <c r="F975" t="inlineStr">
        <is>
          <t>Mark Fischer</t>
        </is>
      </c>
      <c r="G975" t="inlineStr">
        <is>
          <t>Germany</t>
        </is>
      </c>
      <c r="H975" t="inlineStr">
        <is>
          <t>Web Store</t>
        </is>
      </c>
      <c r="I975" t="n">
        <v>2</v>
      </c>
      <c r="J975" s="3" t="n">
        <v>413.16</v>
      </c>
      <c r="K975" s="3" t="n">
        <v>82.63</v>
      </c>
      <c r="L975" s="3" t="n">
        <v>330.53</v>
      </c>
      <c r="M975" s="3" t="n">
        <v>222.34</v>
      </c>
      <c r="N975" s="3" t="n">
        <v>108.19</v>
      </c>
      <c r="O975">
        <f>TEXT(A975,"yyyy-mm")</f>
        <v/>
      </c>
    </row>
    <row r="976">
      <c r="A976" s="2" t="n">
        <v>45686</v>
      </c>
      <c r="B976" t="n">
        <v>2025</v>
      </c>
      <c r="C976" t="inlineStr">
        <is>
          <t>January</t>
        </is>
      </c>
      <c r="D976" t="inlineStr">
        <is>
          <t>Deluxe Notebook</t>
        </is>
      </c>
      <c r="E976" t="inlineStr">
        <is>
          <t>Books</t>
        </is>
      </c>
      <c r="F976" t="inlineStr">
        <is>
          <t>Mark Fischer</t>
        </is>
      </c>
      <c r="G976" t="inlineStr">
        <is>
          <t>Germany</t>
        </is>
      </c>
      <c r="H976" t="inlineStr">
        <is>
          <t>Web Store</t>
        </is>
      </c>
      <c r="I976" t="n">
        <v>5</v>
      </c>
      <c r="J976" s="3" t="n">
        <v>1022.35</v>
      </c>
      <c r="K976" s="3" t="n">
        <v>0</v>
      </c>
      <c r="L976" s="3" t="n">
        <v>1022.35</v>
      </c>
      <c r="M976" s="3" t="n">
        <v>753.8</v>
      </c>
      <c r="N976" s="3" t="n">
        <v>268.55</v>
      </c>
      <c r="O976">
        <f>TEXT(A976,"yyyy-mm")</f>
        <v/>
      </c>
    </row>
    <row r="977">
      <c r="A977" s="2" t="n">
        <v>45686</v>
      </c>
      <c r="B977" t="n">
        <v>2025</v>
      </c>
      <c r="C977" t="inlineStr">
        <is>
          <t>January</t>
        </is>
      </c>
      <c r="D977" t="inlineStr">
        <is>
          <t>Essential Charger</t>
        </is>
      </c>
      <c r="E977" t="inlineStr">
        <is>
          <t>Electronics</t>
        </is>
      </c>
      <c r="F977" t="inlineStr">
        <is>
          <t>Sophie Dubois</t>
        </is>
      </c>
      <c r="G977" t="inlineStr">
        <is>
          <t>United Kingdom</t>
        </is>
      </c>
      <c r="H977" t="inlineStr">
        <is>
          <t>Web Store</t>
        </is>
      </c>
      <c r="I977" t="n">
        <v>5</v>
      </c>
      <c r="J977" s="3" t="n">
        <v>220.45</v>
      </c>
      <c r="K977" s="3" t="n">
        <v>22.04</v>
      </c>
      <c r="L977" s="3" t="n">
        <v>198.41</v>
      </c>
      <c r="M977" s="3" t="n">
        <v>145.5</v>
      </c>
      <c r="N977" s="3" t="n">
        <v>52.91</v>
      </c>
      <c r="O977">
        <f>TEXT(A977,"yyyy-mm")</f>
        <v/>
      </c>
    </row>
    <row r="978">
      <c r="A978" s="2" t="n">
        <v>45688</v>
      </c>
      <c r="B978" t="n">
        <v>2025</v>
      </c>
      <c r="C978" t="inlineStr">
        <is>
          <t>January</t>
        </is>
      </c>
      <c r="D978" t="inlineStr">
        <is>
          <t>Essential Toolset</t>
        </is>
      </c>
      <c r="E978" t="inlineStr">
        <is>
          <t>Home &amp; Garden</t>
        </is>
      </c>
      <c r="F978" t="inlineStr">
        <is>
          <t>Clara Nowak</t>
        </is>
      </c>
      <c r="G978" t="inlineStr">
        <is>
          <t>United Kingdom</t>
        </is>
      </c>
      <c r="H978" t="inlineStr">
        <is>
          <t>Web Store</t>
        </is>
      </c>
      <c r="I978" t="n">
        <v>2</v>
      </c>
      <c r="J978" s="3" t="n">
        <v>429.34</v>
      </c>
      <c r="K978" s="3" t="n">
        <v>21.47</v>
      </c>
      <c r="L978" s="3" t="n">
        <v>407.87</v>
      </c>
      <c r="M978" s="3" t="n">
        <v>301.06</v>
      </c>
      <c r="N978" s="3" t="n">
        <v>106.81</v>
      </c>
      <c r="O978">
        <f>TEXT(A978,"yyyy-mm")</f>
        <v/>
      </c>
    </row>
    <row r="979">
      <c r="A979" s="2" t="n">
        <v>45688</v>
      </c>
      <c r="B979" t="n">
        <v>2025</v>
      </c>
      <c r="C979" t="inlineStr">
        <is>
          <t>January</t>
        </is>
      </c>
      <c r="D979" t="inlineStr">
        <is>
          <t>Essential Vitamins</t>
        </is>
      </c>
      <c r="E979" t="inlineStr">
        <is>
          <t>Beauty &amp; Health</t>
        </is>
      </c>
      <c r="F979" t="inlineStr">
        <is>
          <t>Clara Nowak</t>
        </is>
      </c>
      <c r="G979" t="inlineStr">
        <is>
          <t>United Kingdom</t>
        </is>
      </c>
      <c r="H979" t="inlineStr">
        <is>
          <t>Web Store</t>
        </is>
      </c>
      <c r="I979" t="n">
        <v>3</v>
      </c>
      <c r="J979" s="3" t="n">
        <v>538.35</v>
      </c>
      <c r="K979" s="3" t="n">
        <v>0</v>
      </c>
      <c r="L979" s="3" t="n">
        <v>538.35</v>
      </c>
      <c r="M979" s="3" t="n">
        <v>330.9</v>
      </c>
      <c r="N979" s="3" t="n">
        <v>207.45</v>
      </c>
      <c r="O979">
        <f>TEXT(A979,"yyyy-mm")</f>
        <v/>
      </c>
    </row>
    <row r="980">
      <c r="A980" s="2" t="n">
        <v>45688</v>
      </c>
      <c r="B980" t="n">
        <v>2025</v>
      </c>
      <c r="C980" t="inlineStr">
        <is>
          <t>January</t>
        </is>
      </c>
      <c r="D980" t="inlineStr">
        <is>
          <t>Wireless Coffee Beans</t>
        </is>
      </c>
      <c r="E980" t="inlineStr">
        <is>
          <t>Grocery</t>
        </is>
      </c>
      <c r="F980" t="inlineStr">
        <is>
          <t>Robert Smith</t>
        </is>
      </c>
      <c r="G980" t="inlineStr">
        <is>
          <t>Spain</t>
        </is>
      </c>
      <c r="H980" t="inlineStr">
        <is>
          <t>Web Store</t>
        </is>
      </c>
      <c r="I980" t="n">
        <v>2</v>
      </c>
      <c r="J980" s="3" t="n">
        <v>425.4</v>
      </c>
      <c r="K980" s="3" t="n">
        <v>0</v>
      </c>
      <c r="L980" s="3" t="n">
        <v>425.4</v>
      </c>
      <c r="M980" s="3" t="n">
        <v>260.26</v>
      </c>
      <c r="N980" s="3" t="n">
        <v>165.14</v>
      </c>
      <c r="O980">
        <f>TEXT(A980,"yyyy-mm")</f>
        <v/>
      </c>
    </row>
    <row r="981">
      <c r="A981" s="2" t="n">
        <v>45688</v>
      </c>
      <c r="B981" t="n">
        <v>2025</v>
      </c>
      <c r="C981" t="inlineStr">
        <is>
          <t>January</t>
        </is>
      </c>
      <c r="D981" t="inlineStr">
        <is>
          <t>Eco Sweater</t>
        </is>
      </c>
      <c r="E981" t="inlineStr">
        <is>
          <t>Clothing</t>
        </is>
      </c>
      <c r="F981" t="inlineStr">
        <is>
          <t>Robert Smith</t>
        </is>
      </c>
      <c r="G981" t="inlineStr">
        <is>
          <t>Spain</t>
        </is>
      </c>
      <c r="H981" t="inlineStr">
        <is>
          <t>Web Store</t>
        </is>
      </c>
      <c r="I981" t="n">
        <v>5</v>
      </c>
      <c r="J981" s="3" t="n">
        <v>790</v>
      </c>
      <c r="K981" s="3" t="n">
        <v>79</v>
      </c>
      <c r="L981" s="3" t="n">
        <v>711</v>
      </c>
      <c r="M981" s="3" t="n">
        <v>521.15</v>
      </c>
      <c r="N981" s="3" t="n">
        <v>189.85</v>
      </c>
      <c r="O981">
        <f>TEXT(A981,"yyyy-mm")</f>
        <v/>
      </c>
    </row>
    <row r="982">
      <c r="A982" s="2" t="n">
        <v>45688</v>
      </c>
      <c r="B982" t="n">
        <v>2025</v>
      </c>
      <c r="C982" t="inlineStr">
        <is>
          <t>January</t>
        </is>
      </c>
      <c r="D982" t="inlineStr">
        <is>
          <t>Smart Camera</t>
        </is>
      </c>
      <c r="E982" t="inlineStr">
        <is>
          <t>Electronics</t>
        </is>
      </c>
      <c r="F982" t="inlineStr">
        <is>
          <t>Paul Zielinski</t>
        </is>
      </c>
      <c r="G982" t="inlineStr">
        <is>
          <t>Germany</t>
        </is>
      </c>
      <c r="H982" t="inlineStr">
        <is>
          <t>Mobile App</t>
        </is>
      </c>
      <c r="I982" t="n">
        <v>4</v>
      </c>
      <c r="J982" s="3" t="n">
        <v>495.64</v>
      </c>
      <c r="K982" s="3" t="n">
        <v>99.13</v>
      </c>
      <c r="L982" s="3" t="n">
        <v>396.51</v>
      </c>
      <c r="M982" s="3" t="n">
        <v>342.32</v>
      </c>
      <c r="N982" s="3" t="n">
        <v>54.19</v>
      </c>
      <c r="O982">
        <f>TEXT(A982,"yyyy-mm")</f>
        <v/>
      </c>
    </row>
    <row r="983">
      <c r="A983" s="2" t="n">
        <v>45688</v>
      </c>
      <c r="B983" t="n">
        <v>2025</v>
      </c>
      <c r="C983" t="inlineStr">
        <is>
          <t>January</t>
        </is>
      </c>
      <c r="D983" t="inlineStr">
        <is>
          <t>Essential Pasta</t>
        </is>
      </c>
      <c r="E983" t="inlineStr">
        <is>
          <t>Grocery</t>
        </is>
      </c>
      <c r="F983" t="inlineStr">
        <is>
          <t>Paul Zielinski</t>
        </is>
      </c>
      <c r="G983" t="inlineStr">
        <is>
          <t>Germany</t>
        </is>
      </c>
      <c r="H983" t="inlineStr">
        <is>
          <t>Mobile App</t>
        </is>
      </c>
      <c r="I983" t="n">
        <v>3</v>
      </c>
      <c r="J983" s="3" t="n">
        <v>170.28</v>
      </c>
      <c r="K983" s="3" t="n">
        <v>25.54</v>
      </c>
      <c r="L983" s="3" t="n">
        <v>144.74</v>
      </c>
      <c r="M983" s="3" t="n">
        <v>107.43</v>
      </c>
      <c r="N983" s="3" t="n">
        <v>37.31</v>
      </c>
      <c r="O983">
        <f>TEXT(A983,"yyyy-mm")</f>
        <v/>
      </c>
    </row>
    <row r="984">
      <c r="A984" s="2" t="n">
        <v>45688</v>
      </c>
      <c r="B984" t="n">
        <v>2025</v>
      </c>
      <c r="C984" t="inlineStr">
        <is>
          <t>January</t>
        </is>
      </c>
      <c r="D984" t="inlineStr">
        <is>
          <t>Smart Olive Oil</t>
        </is>
      </c>
      <c r="E984" t="inlineStr">
        <is>
          <t>Grocery</t>
        </is>
      </c>
      <c r="F984" t="inlineStr">
        <is>
          <t>Paul Zielinski</t>
        </is>
      </c>
      <c r="G984" t="inlineStr">
        <is>
          <t>Germany</t>
        </is>
      </c>
      <c r="H984" t="inlineStr">
        <is>
          <t>Mobile App</t>
        </is>
      </c>
      <c r="I984" t="n">
        <v>3</v>
      </c>
      <c r="J984" s="3" t="n">
        <v>509.34</v>
      </c>
      <c r="K984" s="3" t="n">
        <v>50.93</v>
      </c>
      <c r="L984" s="3" t="n">
        <v>458.41</v>
      </c>
      <c r="M984" s="3" t="n">
        <v>330.06</v>
      </c>
      <c r="N984" s="3" t="n">
        <v>128.35</v>
      </c>
      <c r="O984">
        <f>TEXT(A984,"yyyy-mm")</f>
        <v/>
      </c>
    </row>
    <row r="985">
      <c r="A985" s="2" t="n">
        <v>45688</v>
      </c>
      <c r="B985" t="n">
        <v>2025</v>
      </c>
      <c r="C985" t="inlineStr">
        <is>
          <t>January</t>
        </is>
      </c>
      <c r="D985" t="inlineStr">
        <is>
          <t>Eco Sweater</t>
        </is>
      </c>
      <c r="E985" t="inlineStr">
        <is>
          <t>Clothing</t>
        </is>
      </c>
      <c r="F985" t="inlineStr">
        <is>
          <t>Olivia Conti</t>
        </is>
      </c>
      <c r="G985" t="inlineStr">
        <is>
          <t>Poland</t>
        </is>
      </c>
      <c r="H985" t="inlineStr">
        <is>
          <t>Web Store</t>
        </is>
      </c>
      <c r="I985" t="n">
        <v>3</v>
      </c>
      <c r="J985" s="3" t="n">
        <v>478.17</v>
      </c>
      <c r="K985" s="3" t="n">
        <v>0</v>
      </c>
      <c r="L985" s="3" t="n">
        <v>478.17</v>
      </c>
      <c r="M985" s="3" t="n">
        <v>312.69</v>
      </c>
      <c r="N985" s="3" t="n">
        <v>165.48</v>
      </c>
      <c r="O985">
        <f>TEXT(A985,"yyyy-mm")</f>
        <v/>
      </c>
    </row>
    <row r="986">
      <c r="A986" s="2" t="n">
        <v>45688</v>
      </c>
      <c r="B986" t="n">
        <v>2025</v>
      </c>
      <c r="C986" t="inlineStr">
        <is>
          <t>January</t>
        </is>
      </c>
      <c r="D986" t="inlineStr">
        <is>
          <t>Compact Jacket</t>
        </is>
      </c>
      <c r="E986" t="inlineStr">
        <is>
          <t>Clothing</t>
        </is>
      </c>
      <c r="F986" t="inlineStr">
        <is>
          <t>Olivia Conti</t>
        </is>
      </c>
      <c r="G986" t="inlineStr">
        <is>
          <t>Poland</t>
        </is>
      </c>
      <c r="H986" t="inlineStr">
        <is>
          <t>Web Store</t>
        </is>
      </c>
      <c r="I986" t="n">
        <v>5</v>
      </c>
      <c r="J986" s="3" t="n">
        <v>188.4</v>
      </c>
      <c r="K986" s="3" t="n">
        <v>9.42</v>
      </c>
      <c r="L986" s="3" t="n">
        <v>178.98</v>
      </c>
      <c r="M986" s="3" t="n">
        <v>102</v>
      </c>
      <c r="N986" s="3" t="n">
        <v>76.98</v>
      </c>
      <c r="O986">
        <f>TEXT(A986,"yyyy-mm")</f>
        <v/>
      </c>
    </row>
    <row r="987">
      <c r="A987" s="2" t="n">
        <v>45688</v>
      </c>
      <c r="B987" t="n">
        <v>2025</v>
      </c>
      <c r="C987" t="inlineStr">
        <is>
          <t>January</t>
        </is>
      </c>
      <c r="D987" t="inlineStr">
        <is>
          <t>Deluxe Smartwatch</t>
        </is>
      </c>
      <c r="E987" t="inlineStr">
        <is>
          <t>Electronics</t>
        </is>
      </c>
      <c r="F987" t="inlineStr">
        <is>
          <t>Clara Nowak</t>
        </is>
      </c>
      <c r="G987" t="inlineStr">
        <is>
          <t>United Kingdom</t>
        </is>
      </c>
      <c r="H987" t="inlineStr">
        <is>
          <t>Web Store</t>
        </is>
      </c>
      <c r="I987" t="n">
        <v>4</v>
      </c>
      <c r="J987" s="3" t="n">
        <v>675.48</v>
      </c>
      <c r="K987" s="3" t="n">
        <v>0</v>
      </c>
      <c r="L987" s="3" t="n">
        <v>675.48</v>
      </c>
      <c r="M987" s="3" t="n">
        <v>490.88</v>
      </c>
      <c r="N987" s="3" t="n">
        <v>184.6</v>
      </c>
      <c r="O987">
        <f>TEXT(A987,"yyyy-mm")</f>
        <v/>
      </c>
    </row>
    <row r="988">
      <c r="A988" s="2" t="n">
        <v>45688</v>
      </c>
      <c r="B988" t="n">
        <v>2025</v>
      </c>
      <c r="C988" t="inlineStr">
        <is>
          <t>January</t>
        </is>
      </c>
      <c r="D988" t="inlineStr">
        <is>
          <t>Premium Water Bottle</t>
        </is>
      </c>
      <c r="E988" t="inlineStr">
        <is>
          <t>Sports &amp; Outdoors</t>
        </is>
      </c>
      <c r="F988" t="inlineStr">
        <is>
          <t>Clara Nowak</t>
        </is>
      </c>
      <c r="G988" t="inlineStr">
        <is>
          <t>United Kingdom</t>
        </is>
      </c>
      <c r="H988" t="inlineStr">
        <is>
          <t>Web Store</t>
        </is>
      </c>
      <c r="I988" t="n">
        <v>4</v>
      </c>
      <c r="J988" s="3" t="n">
        <v>1231.8</v>
      </c>
      <c r="K988" s="3" t="n">
        <v>246.36</v>
      </c>
      <c r="L988" s="3" t="n">
        <v>985.4400000000001</v>
      </c>
      <c r="M988" s="3" t="n">
        <v>724.64</v>
      </c>
      <c r="N988" s="3" t="n">
        <v>260.8</v>
      </c>
      <c r="O988">
        <f>TEXT(A988,"yyyy-mm")</f>
        <v/>
      </c>
    </row>
    <row r="989">
      <c r="A989" s="2" t="n">
        <v>45688</v>
      </c>
      <c r="B989" t="n">
        <v>2025</v>
      </c>
      <c r="C989" t="inlineStr">
        <is>
          <t>January</t>
        </is>
      </c>
      <c r="D989" t="inlineStr">
        <is>
          <t>Wireless Backpack</t>
        </is>
      </c>
      <c r="E989" t="inlineStr">
        <is>
          <t>Sports &amp; Outdoors</t>
        </is>
      </c>
      <c r="F989" t="inlineStr">
        <is>
          <t>Olivia Conti</t>
        </is>
      </c>
      <c r="G989" t="inlineStr">
        <is>
          <t>Poland</t>
        </is>
      </c>
      <c r="H989" t="inlineStr">
        <is>
          <t>Web Store</t>
        </is>
      </c>
      <c r="I989" t="n">
        <v>5</v>
      </c>
      <c r="J989" s="3" t="n">
        <v>243.7</v>
      </c>
      <c r="K989" s="3" t="n">
        <v>0</v>
      </c>
      <c r="L989" s="3" t="n">
        <v>243.7</v>
      </c>
      <c r="M989" s="3" t="n">
        <v>140.5</v>
      </c>
      <c r="N989" s="3" t="n">
        <v>103.2</v>
      </c>
      <c r="O989">
        <f>TEXT(A989,"yyyy-mm")</f>
        <v/>
      </c>
    </row>
    <row r="990">
      <c r="A990" s="2" t="n">
        <v>45689</v>
      </c>
      <c r="B990" t="n">
        <v>2025</v>
      </c>
      <c r="C990" t="inlineStr">
        <is>
          <t>February</t>
        </is>
      </c>
      <c r="D990" t="inlineStr">
        <is>
          <t>Ultra Toolset</t>
        </is>
      </c>
      <c r="E990" t="inlineStr">
        <is>
          <t>Home &amp; Garden</t>
        </is>
      </c>
      <c r="F990" t="inlineStr">
        <is>
          <t>Peter Garcia</t>
        </is>
      </c>
      <c r="G990" t="inlineStr">
        <is>
          <t>Poland</t>
        </is>
      </c>
      <c r="H990" t="inlineStr">
        <is>
          <t>Retail Store</t>
        </is>
      </c>
      <c r="I990" t="n">
        <v>4</v>
      </c>
      <c r="J990" s="3" t="n">
        <v>1419.68</v>
      </c>
      <c r="K990" s="3" t="n">
        <v>283.94</v>
      </c>
      <c r="L990" s="3" t="n">
        <v>1135.74</v>
      </c>
      <c r="M990" s="3" t="n">
        <v>761.6</v>
      </c>
      <c r="N990" s="3" t="n">
        <v>374.14</v>
      </c>
      <c r="O990">
        <f>TEXT(A990,"yyyy-mm")</f>
        <v/>
      </c>
    </row>
    <row r="991">
      <c r="A991" s="2" t="n">
        <v>45689</v>
      </c>
      <c r="B991" t="n">
        <v>2025</v>
      </c>
      <c r="C991" t="inlineStr">
        <is>
          <t>February</t>
        </is>
      </c>
      <c r="D991" t="inlineStr">
        <is>
          <t>Wireless Cookbook</t>
        </is>
      </c>
      <c r="E991" t="inlineStr">
        <is>
          <t>Books</t>
        </is>
      </c>
      <c r="F991" t="inlineStr">
        <is>
          <t>Peter Garcia</t>
        </is>
      </c>
      <c r="G991" t="inlineStr">
        <is>
          <t>Poland</t>
        </is>
      </c>
      <c r="H991" t="inlineStr">
        <is>
          <t>Retail Store</t>
        </is>
      </c>
      <c r="I991" t="n">
        <v>1</v>
      </c>
      <c r="J991" s="3" t="n">
        <v>75.93000000000001</v>
      </c>
      <c r="K991" s="3" t="n">
        <v>7.59</v>
      </c>
      <c r="L991" s="3" t="n">
        <v>68.34</v>
      </c>
      <c r="M991" s="3" t="n">
        <v>56.61</v>
      </c>
      <c r="N991" s="3" t="n">
        <v>11.73</v>
      </c>
      <c r="O991">
        <f>TEXT(A991,"yyyy-mm")</f>
        <v/>
      </c>
    </row>
    <row r="992">
      <c r="A992" s="2" t="n">
        <v>45689</v>
      </c>
      <c r="B992" t="n">
        <v>2025</v>
      </c>
      <c r="C992" t="inlineStr">
        <is>
          <t>February</t>
        </is>
      </c>
      <c r="D992" t="inlineStr">
        <is>
          <t>Deluxe Puzzle</t>
        </is>
      </c>
      <c r="E992" t="inlineStr">
        <is>
          <t>Toys &amp; Games</t>
        </is>
      </c>
      <c r="F992" t="inlineStr">
        <is>
          <t>Paul Rossi</t>
        </is>
      </c>
      <c r="G992" t="inlineStr">
        <is>
          <t>Poland</t>
        </is>
      </c>
      <c r="H992" t="inlineStr">
        <is>
          <t>Web Store</t>
        </is>
      </c>
      <c r="I992" t="n">
        <v>1</v>
      </c>
      <c r="J992" s="3" t="n">
        <v>201.2</v>
      </c>
      <c r="K992" s="3" t="n">
        <v>0</v>
      </c>
      <c r="L992" s="3" t="n">
        <v>201.2</v>
      </c>
      <c r="M992" s="3" t="n">
        <v>111.17</v>
      </c>
      <c r="N992" s="3" t="n">
        <v>90.03</v>
      </c>
      <c r="O992">
        <f>TEXT(A992,"yyyy-mm")</f>
        <v/>
      </c>
    </row>
    <row r="993">
      <c r="A993" s="2" t="n">
        <v>45689</v>
      </c>
      <c r="B993" t="n">
        <v>2025</v>
      </c>
      <c r="C993" t="inlineStr">
        <is>
          <t>February</t>
        </is>
      </c>
      <c r="D993" t="inlineStr">
        <is>
          <t>Compact Biography</t>
        </is>
      </c>
      <c r="E993" t="inlineStr">
        <is>
          <t>Books</t>
        </is>
      </c>
      <c r="F993" t="inlineStr">
        <is>
          <t>Paul Rossi</t>
        </is>
      </c>
      <c r="G993" t="inlineStr">
        <is>
          <t>Poland</t>
        </is>
      </c>
      <c r="H993" t="inlineStr">
        <is>
          <t>Web Store</t>
        </is>
      </c>
      <c r="I993" t="n">
        <v>4</v>
      </c>
      <c r="J993" s="3" t="n">
        <v>1010.96</v>
      </c>
      <c r="K993" s="3" t="n">
        <v>202.19</v>
      </c>
      <c r="L993" s="3" t="n">
        <v>808.77</v>
      </c>
      <c r="M993" s="3" t="n">
        <v>561.3200000000001</v>
      </c>
      <c r="N993" s="3" t="n">
        <v>247.45</v>
      </c>
      <c r="O993">
        <f>TEXT(A993,"yyyy-mm")</f>
        <v/>
      </c>
    </row>
    <row r="994">
      <c r="A994" s="2" t="n">
        <v>45691</v>
      </c>
      <c r="B994" t="n">
        <v>2025</v>
      </c>
      <c r="C994" t="inlineStr">
        <is>
          <t>February</t>
        </is>
      </c>
      <c r="D994" t="inlineStr">
        <is>
          <t>Classic Coffee Beans</t>
        </is>
      </c>
      <c r="E994" t="inlineStr">
        <is>
          <t>Grocery</t>
        </is>
      </c>
      <c r="F994" t="inlineStr">
        <is>
          <t>Clara Nowak</t>
        </is>
      </c>
      <c r="G994" t="inlineStr">
        <is>
          <t>United States</t>
        </is>
      </c>
      <c r="H994" t="inlineStr">
        <is>
          <t>Retail Store</t>
        </is>
      </c>
      <c r="I994" t="n">
        <v>1</v>
      </c>
      <c r="J994" s="3" t="n">
        <v>321.74</v>
      </c>
      <c r="K994" s="3" t="n">
        <v>0</v>
      </c>
      <c r="L994" s="3" t="n">
        <v>321.74</v>
      </c>
      <c r="M994" s="3" t="n">
        <v>194.76</v>
      </c>
      <c r="N994" s="3" t="n">
        <v>126.98</v>
      </c>
      <c r="O994">
        <f>TEXT(A994,"yyyy-mm")</f>
        <v/>
      </c>
    </row>
    <row r="995">
      <c r="A995" s="2" t="n">
        <v>45692</v>
      </c>
      <c r="B995" t="n">
        <v>2025</v>
      </c>
      <c r="C995" t="inlineStr">
        <is>
          <t>February</t>
        </is>
      </c>
      <c r="D995" t="inlineStr">
        <is>
          <t>Premium Rug</t>
        </is>
      </c>
      <c r="E995" t="inlineStr">
        <is>
          <t>Home &amp; Garden</t>
        </is>
      </c>
      <c r="F995" t="inlineStr">
        <is>
          <t>Nina Bianchi</t>
        </is>
      </c>
      <c r="G995" t="inlineStr">
        <is>
          <t>Italy</t>
        </is>
      </c>
      <c r="H995" t="inlineStr">
        <is>
          <t>Marketplace</t>
        </is>
      </c>
      <c r="I995" t="n">
        <v>2</v>
      </c>
      <c r="J995" s="3" t="n">
        <v>385.6</v>
      </c>
      <c r="K995" s="3" t="n">
        <v>0</v>
      </c>
      <c r="L995" s="3" t="n">
        <v>385.6</v>
      </c>
      <c r="M995" s="3" t="n">
        <v>222.38</v>
      </c>
      <c r="N995" s="3" t="n">
        <v>163.22</v>
      </c>
      <c r="O995">
        <f>TEXT(A995,"yyyy-mm")</f>
        <v/>
      </c>
    </row>
    <row r="996">
      <c r="A996" s="2" t="n">
        <v>45692</v>
      </c>
      <c r="B996" t="n">
        <v>2025</v>
      </c>
      <c r="C996" t="inlineStr">
        <is>
          <t>February</t>
        </is>
      </c>
      <c r="D996" t="inlineStr">
        <is>
          <t>Premium Water Bottle</t>
        </is>
      </c>
      <c r="E996" t="inlineStr">
        <is>
          <t>Sports &amp; Outdoors</t>
        </is>
      </c>
      <c r="F996" t="inlineStr">
        <is>
          <t>Nina Bianchi</t>
        </is>
      </c>
      <c r="G996" t="inlineStr">
        <is>
          <t>Italy</t>
        </is>
      </c>
      <c r="H996" t="inlineStr">
        <is>
          <t>Marketplace</t>
        </is>
      </c>
      <c r="I996" t="n">
        <v>5</v>
      </c>
      <c r="J996" s="3" t="n">
        <v>147.9</v>
      </c>
      <c r="K996" s="3" t="n">
        <v>22.18</v>
      </c>
      <c r="L996" s="3" t="n">
        <v>125.71</v>
      </c>
      <c r="M996" s="3" t="n">
        <v>83.15000000000001</v>
      </c>
      <c r="N996" s="3" t="n">
        <v>42.56</v>
      </c>
      <c r="O996">
        <f>TEXT(A996,"yyyy-mm")</f>
        <v/>
      </c>
    </row>
    <row r="997">
      <c r="A997" s="2" t="n">
        <v>45692</v>
      </c>
      <c r="B997" t="n">
        <v>2025</v>
      </c>
      <c r="C997" t="inlineStr">
        <is>
          <t>February</t>
        </is>
      </c>
      <c r="D997" t="inlineStr">
        <is>
          <t>Wireless Honey</t>
        </is>
      </c>
      <c r="E997" t="inlineStr">
        <is>
          <t>Grocery</t>
        </is>
      </c>
      <c r="F997" t="inlineStr">
        <is>
          <t>Nina Bianchi</t>
        </is>
      </c>
      <c r="G997" t="inlineStr">
        <is>
          <t>Italy</t>
        </is>
      </c>
      <c r="H997" t="inlineStr">
        <is>
          <t>Marketplace</t>
        </is>
      </c>
      <c r="I997" t="n">
        <v>5</v>
      </c>
      <c r="J997" s="3" t="n">
        <v>662.1</v>
      </c>
      <c r="K997" s="3" t="n">
        <v>132.42</v>
      </c>
      <c r="L997" s="3" t="n">
        <v>529.6799999999999</v>
      </c>
      <c r="M997" s="3" t="n">
        <v>470.35</v>
      </c>
      <c r="N997" s="3" t="n">
        <v>59.33</v>
      </c>
      <c r="O997">
        <f>TEXT(A997,"yyyy-mm")</f>
        <v/>
      </c>
    </row>
    <row r="998">
      <c r="A998" s="2" t="n">
        <v>45692</v>
      </c>
      <c r="B998" t="n">
        <v>2025</v>
      </c>
      <c r="C998" t="inlineStr">
        <is>
          <t>February</t>
        </is>
      </c>
      <c r="D998" t="inlineStr">
        <is>
          <t>Premium Cookbook</t>
        </is>
      </c>
      <c r="E998" t="inlineStr">
        <is>
          <t>Books</t>
        </is>
      </c>
      <c r="F998" t="inlineStr">
        <is>
          <t>Nina Bianchi</t>
        </is>
      </c>
      <c r="G998" t="inlineStr">
        <is>
          <t>Italy</t>
        </is>
      </c>
      <c r="H998" t="inlineStr">
        <is>
          <t>Marketplace</t>
        </is>
      </c>
      <c r="I998" t="n">
        <v>3</v>
      </c>
      <c r="J998" s="3" t="n">
        <v>388.47</v>
      </c>
      <c r="K998" s="3" t="n">
        <v>0</v>
      </c>
      <c r="L998" s="3" t="n">
        <v>388.47</v>
      </c>
      <c r="M998" s="3" t="n">
        <v>284.94</v>
      </c>
      <c r="N998" s="3" t="n">
        <v>103.53</v>
      </c>
      <c r="O998">
        <f>TEXT(A998,"yyyy-mm")</f>
        <v/>
      </c>
    </row>
    <row r="999">
      <c r="A999" s="2" t="n">
        <v>45692</v>
      </c>
      <c r="B999" t="n">
        <v>2025</v>
      </c>
      <c r="C999" t="inlineStr">
        <is>
          <t>February</t>
        </is>
      </c>
      <c r="D999" t="inlineStr">
        <is>
          <t>Smart Camera</t>
        </is>
      </c>
      <c r="E999" t="inlineStr">
        <is>
          <t>Electronics</t>
        </is>
      </c>
      <c r="F999" t="inlineStr">
        <is>
          <t>Thomas Schmidt</t>
        </is>
      </c>
      <c r="G999" t="inlineStr">
        <is>
          <t>United Kingdom</t>
        </is>
      </c>
      <c r="H999" t="inlineStr">
        <is>
          <t>Web Store</t>
        </is>
      </c>
      <c r="I999" t="n">
        <v>2</v>
      </c>
      <c r="J999" s="3" t="n">
        <v>237.42</v>
      </c>
      <c r="K999" s="3" t="n">
        <v>35.61</v>
      </c>
      <c r="L999" s="3" t="n">
        <v>201.81</v>
      </c>
      <c r="M999" s="3" t="n">
        <v>171.16</v>
      </c>
      <c r="N999" s="3" t="n">
        <v>30.65</v>
      </c>
      <c r="O999">
        <f>TEXT(A999,"yyyy-mm")</f>
        <v/>
      </c>
    </row>
    <row r="1000">
      <c r="A1000" s="2" t="n">
        <v>45692</v>
      </c>
      <c r="B1000" t="n">
        <v>2025</v>
      </c>
      <c r="C1000" t="inlineStr">
        <is>
          <t>February</t>
        </is>
      </c>
      <c r="D1000" t="inlineStr">
        <is>
          <t>Classic Bike Helmet</t>
        </is>
      </c>
      <c r="E1000" t="inlineStr">
        <is>
          <t>Sports &amp; Outdoors</t>
        </is>
      </c>
      <c r="F1000" t="inlineStr">
        <is>
          <t>Thomas Schmidt</t>
        </is>
      </c>
      <c r="G1000" t="inlineStr">
        <is>
          <t>United Kingdom</t>
        </is>
      </c>
      <c r="H1000" t="inlineStr">
        <is>
          <t>Web Store</t>
        </is>
      </c>
      <c r="I1000" t="n">
        <v>2</v>
      </c>
      <c r="J1000" s="3" t="n">
        <v>415.82</v>
      </c>
      <c r="K1000" s="3" t="n">
        <v>0</v>
      </c>
      <c r="L1000" s="3" t="n">
        <v>415.82</v>
      </c>
      <c r="M1000" s="3" t="n">
        <v>307.62</v>
      </c>
      <c r="N1000" s="3" t="n">
        <v>108.2</v>
      </c>
      <c r="O1000">
        <f>TEXT(A1000,"yyyy-mm")</f>
        <v/>
      </c>
    </row>
    <row r="1001">
      <c r="A1001" s="2" t="n">
        <v>45692</v>
      </c>
      <c r="B1001" t="n">
        <v>2025</v>
      </c>
      <c r="C1001" t="inlineStr">
        <is>
          <t>February</t>
        </is>
      </c>
      <c r="D1001" t="inlineStr">
        <is>
          <t>Smart Tea Set</t>
        </is>
      </c>
      <c r="E1001" t="inlineStr">
        <is>
          <t>Grocery</t>
        </is>
      </c>
      <c r="F1001" t="inlineStr">
        <is>
          <t>Thomas Schmidt</t>
        </is>
      </c>
      <c r="G1001" t="inlineStr">
        <is>
          <t>United Kingdom</t>
        </is>
      </c>
      <c r="H1001" t="inlineStr">
        <is>
          <t>Web Store</t>
        </is>
      </c>
      <c r="I1001" t="n">
        <v>5</v>
      </c>
      <c r="J1001" s="3" t="n">
        <v>435.75</v>
      </c>
      <c r="K1001" s="3" t="n">
        <v>43.58</v>
      </c>
      <c r="L1001" s="3" t="n">
        <v>392.18</v>
      </c>
      <c r="M1001" s="3" t="n">
        <v>309</v>
      </c>
      <c r="N1001" s="3" t="n">
        <v>83.18000000000001</v>
      </c>
      <c r="O1001">
        <f>TEXT(A1001,"yyyy-mm")</f>
        <v/>
      </c>
    </row>
    <row r="1002">
      <c r="A1002" s="2" t="n">
        <v>45692</v>
      </c>
      <c r="B1002" t="n">
        <v>2025</v>
      </c>
      <c r="C1002" t="inlineStr">
        <is>
          <t>February</t>
        </is>
      </c>
      <c r="D1002" t="inlineStr">
        <is>
          <t>Portable Speaker</t>
        </is>
      </c>
      <c r="E1002" t="inlineStr">
        <is>
          <t>Electronics</t>
        </is>
      </c>
      <c r="F1002" t="inlineStr">
        <is>
          <t>Thomas Schmidt</t>
        </is>
      </c>
      <c r="G1002" t="inlineStr">
        <is>
          <t>United Kingdom</t>
        </is>
      </c>
      <c r="H1002" t="inlineStr">
        <is>
          <t>Web Store</t>
        </is>
      </c>
      <c r="I1002" t="n">
        <v>1</v>
      </c>
      <c r="J1002" s="3" t="n">
        <v>337.89</v>
      </c>
      <c r="K1002" s="3" t="n">
        <v>0</v>
      </c>
      <c r="L1002" s="3" t="n">
        <v>337.89</v>
      </c>
      <c r="M1002" s="3" t="n">
        <v>174.83</v>
      </c>
      <c r="N1002" s="3" t="n">
        <v>163.06</v>
      </c>
      <c r="O1002">
        <f>TEXT(A1002,"yyyy-mm")</f>
        <v/>
      </c>
    </row>
    <row r="1003">
      <c r="A1003" s="2" t="n">
        <v>45692</v>
      </c>
      <c r="B1003" t="n">
        <v>2025</v>
      </c>
      <c r="C1003" t="inlineStr">
        <is>
          <t>February</t>
        </is>
      </c>
      <c r="D1003" t="inlineStr">
        <is>
          <t>Deluxe Headphones</t>
        </is>
      </c>
      <c r="E1003" t="inlineStr">
        <is>
          <t>Electronics</t>
        </is>
      </c>
      <c r="F1003" t="inlineStr">
        <is>
          <t>Olivia Wilson</t>
        </is>
      </c>
      <c r="G1003" t="inlineStr">
        <is>
          <t>France</t>
        </is>
      </c>
      <c r="H1003" t="inlineStr">
        <is>
          <t>Retail Store</t>
        </is>
      </c>
      <c r="I1003" t="n">
        <v>3</v>
      </c>
      <c r="J1003" s="3" t="n">
        <v>219.27</v>
      </c>
      <c r="K1003" s="3" t="n">
        <v>32.89</v>
      </c>
      <c r="L1003" s="3" t="n">
        <v>186.38</v>
      </c>
      <c r="M1003" s="3" t="n">
        <v>157.5</v>
      </c>
      <c r="N1003" s="3" t="n">
        <v>28.88</v>
      </c>
      <c r="O1003">
        <f>TEXT(A1003,"yyyy-mm")</f>
        <v/>
      </c>
    </row>
    <row r="1004">
      <c r="A1004" s="2" t="n">
        <v>45692</v>
      </c>
      <c r="B1004" t="n">
        <v>2025</v>
      </c>
      <c r="C1004" t="inlineStr">
        <is>
          <t>February</t>
        </is>
      </c>
      <c r="D1004" t="inlineStr">
        <is>
          <t>Classic Bike Helmet</t>
        </is>
      </c>
      <c r="E1004" t="inlineStr">
        <is>
          <t>Sports &amp; Outdoors</t>
        </is>
      </c>
      <c r="F1004" t="inlineStr">
        <is>
          <t>Olivia Wilson</t>
        </is>
      </c>
      <c r="G1004" t="inlineStr">
        <is>
          <t>France</t>
        </is>
      </c>
      <c r="H1004" t="inlineStr">
        <is>
          <t>Retail Store</t>
        </is>
      </c>
      <c r="I1004" t="n">
        <v>5</v>
      </c>
      <c r="J1004" s="3" t="n">
        <v>1073.55</v>
      </c>
      <c r="K1004" s="3" t="n">
        <v>0</v>
      </c>
      <c r="L1004" s="3" t="n">
        <v>1073.55</v>
      </c>
      <c r="M1004" s="3" t="n">
        <v>769.05</v>
      </c>
      <c r="N1004" s="3" t="n">
        <v>304.5</v>
      </c>
      <c r="O1004">
        <f>TEXT(A1004,"yyyy-mm")</f>
        <v/>
      </c>
    </row>
    <row r="1005">
      <c r="A1005" s="2" t="n">
        <v>45692</v>
      </c>
      <c r="B1005" t="n">
        <v>2025</v>
      </c>
      <c r="C1005" t="inlineStr">
        <is>
          <t>February</t>
        </is>
      </c>
      <c r="D1005" t="inlineStr">
        <is>
          <t>Portable Toolset</t>
        </is>
      </c>
      <c r="E1005" t="inlineStr">
        <is>
          <t>Home &amp; Garden</t>
        </is>
      </c>
      <c r="F1005" t="inlineStr">
        <is>
          <t>Olivia Wilson</t>
        </is>
      </c>
      <c r="G1005" t="inlineStr">
        <is>
          <t>France</t>
        </is>
      </c>
      <c r="H1005" t="inlineStr">
        <is>
          <t>Retail Store</t>
        </is>
      </c>
      <c r="I1005" t="n">
        <v>4</v>
      </c>
      <c r="J1005" s="3" t="n">
        <v>569.6799999999999</v>
      </c>
      <c r="K1005" s="3" t="n">
        <v>85.45</v>
      </c>
      <c r="L1005" s="3" t="n">
        <v>484.23</v>
      </c>
      <c r="M1005" s="3" t="n">
        <v>371.4</v>
      </c>
      <c r="N1005" s="3" t="n">
        <v>112.83</v>
      </c>
      <c r="O1005">
        <f>TEXT(A1005,"yyyy-mm")</f>
        <v/>
      </c>
    </row>
    <row r="1006">
      <c r="A1006" s="2" t="n">
        <v>45692</v>
      </c>
      <c r="B1006" t="n">
        <v>2025</v>
      </c>
      <c r="C1006" t="inlineStr">
        <is>
          <t>February</t>
        </is>
      </c>
      <c r="D1006" t="inlineStr">
        <is>
          <t>Deluxe Puzzle</t>
        </is>
      </c>
      <c r="E1006" t="inlineStr">
        <is>
          <t>Toys &amp; Games</t>
        </is>
      </c>
      <c r="F1006" t="inlineStr">
        <is>
          <t>Olivia Wilson</t>
        </is>
      </c>
      <c r="G1006" t="inlineStr">
        <is>
          <t>France</t>
        </is>
      </c>
      <c r="H1006" t="inlineStr">
        <is>
          <t>Retail Store</t>
        </is>
      </c>
      <c r="I1006" t="n">
        <v>2</v>
      </c>
      <c r="J1006" s="3" t="n">
        <v>410.98</v>
      </c>
      <c r="K1006" s="3" t="n">
        <v>0</v>
      </c>
      <c r="L1006" s="3" t="n">
        <v>410.98</v>
      </c>
      <c r="M1006" s="3" t="n">
        <v>222.34</v>
      </c>
      <c r="N1006" s="3" t="n">
        <v>188.64</v>
      </c>
      <c r="O1006">
        <f>TEXT(A1006,"yyyy-mm")</f>
        <v/>
      </c>
    </row>
    <row r="1007">
      <c r="A1007" s="2" t="n">
        <v>45693</v>
      </c>
      <c r="B1007" t="n">
        <v>2025</v>
      </c>
      <c r="C1007" t="inlineStr">
        <is>
          <t>February</t>
        </is>
      </c>
      <c r="D1007" t="inlineStr">
        <is>
          <t>Smart Jeans</t>
        </is>
      </c>
      <c r="E1007" t="inlineStr">
        <is>
          <t>Clothing</t>
        </is>
      </c>
      <c r="F1007" t="inlineStr">
        <is>
          <t>Olivia Fischer</t>
        </is>
      </c>
      <c r="G1007" t="inlineStr">
        <is>
          <t>France</t>
        </is>
      </c>
      <c r="H1007" t="inlineStr">
        <is>
          <t>Web Store</t>
        </is>
      </c>
      <c r="I1007" t="n">
        <v>5</v>
      </c>
      <c r="J1007" s="3" t="n">
        <v>1393.3</v>
      </c>
      <c r="K1007" s="3" t="n">
        <v>0</v>
      </c>
      <c r="L1007" s="3" t="n">
        <v>1393.3</v>
      </c>
      <c r="M1007" s="3" t="n">
        <v>968.2</v>
      </c>
      <c r="N1007" s="3" t="n">
        <v>425.1</v>
      </c>
      <c r="O1007">
        <f>TEXT(A1007,"yyyy-mm")</f>
        <v/>
      </c>
    </row>
    <row r="1008">
      <c r="A1008" s="2" t="n">
        <v>45693</v>
      </c>
      <c r="B1008" t="n">
        <v>2025</v>
      </c>
      <c r="C1008" t="inlineStr">
        <is>
          <t>February</t>
        </is>
      </c>
      <c r="D1008" t="inlineStr">
        <is>
          <t>Deluxe Notebook</t>
        </is>
      </c>
      <c r="E1008" t="inlineStr">
        <is>
          <t>Books</t>
        </is>
      </c>
      <c r="F1008" t="inlineStr">
        <is>
          <t>Olivia Fischer</t>
        </is>
      </c>
      <c r="G1008" t="inlineStr">
        <is>
          <t>France</t>
        </is>
      </c>
      <c r="H1008" t="inlineStr">
        <is>
          <t>Web Store</t>
        </is>
      </c>
      <c r="I1008" t="n">
        <v>5</v>
      </c>
      <c r="J1008" s="3" t="n">
        <v>1094.3</v>
      </c>
      <c r="K1008" s="3" t="n">
        <v>54.72</v>
      </c>
      <c r="L1008" s="3" t="n">
        <v>1039.59</v>
      </c>
      <c r="M1008" s="3" t="n">
        <v>753.8</v>
      </c>
      <c r="N1008" s="3" t="n">
        <v>285.79</v>
      </c>
      <c r="O1008">
        <f>TEXT(A1008,"yyyy-mm")</f>
        <v/>
      </c>
    </row>
    <row r="1009">
      <c r="A1009" s="2" t="n">
        <v>45693</v>
      </c>
      <c r="B1009" t="n">
        <v>2025</v>
      </c>
      <c r="C1009" t="inlineStr">
        <is>
          <t>February</t>
        </is>
      </c>
      <c r="D1009" t="inlineStr">
        <is>
          <t>Classic Atlas</t>
        </is>
      </c>
      <c r="E1009" t="inlineStr">
        <is>
          <t>Books</t>
        </is>
      </c>
      <c r="F1009" t="inlineStr">
        <is>
          <t>Olivia Fischer</t>
        </is>
      </c>
      <c r="G1009" t="inlineStr">
        <is>
          <t>France</t>
        </is>
      </c>
      <c r="H1009" t="inlineStr">
        <is>
          <t>Web Store</t>
        </is>
      </c>
      <c r="I1009" t="n">
        <v>1</v>
      </c>
      <c r="J1009" s="3" t="n">
        <v>60.77</v>
      </c>
      <c r="K1009" s="3" t="n">
        <v>0</v>
      </c>
      <c r="L1009" s="3" t="n">
        <v>60.77</v>
      </c>
      <c r="M1009" s="3" t="n">
        <v>34.59</v>
      </c>
      <c r="N1009" s="3" t="n">
        <v>26.18</v>
      </c>
      <c r="O1009">
        <f>TEXT(A1009,"yyyy-mm")</f>
        <v/>
      </c>
    </row>
    <row r="1010">
      <c r="A1010" s="2" t="n">
        <v>45693</v>
      </c>
      <c r="B1010" t="n">
        <v>2025</v>
      </c>
      <c r="C1010" t="inlineStr">
        <is>
          <t>February</t>
        </is>
      </c>
      <c r="D1010" t="inlineStr">
        <is>
          <t>Deluxe Toolset</t>
        </is>
      </c>
      <c r="E1010" t="inlineStr">
        <is>
          <t>Home &amp; Garden</t>
        </is>
      </c>
      <c r="F1010" t="inlineStr">
        <is>
          <t>Olivia Fischer</t>
        </is>
      </c>
      <c r="G1010" t="inlineStr">
        <is>
          <t>France</t>
        </is>
      </c>
      <c r="H1010" t="inlineStr">
        <is>
          <t>Web Store</t>
        </is>
      </c>
      <c r="I1010" t="n">
        <v>4</v>
      </c>
      <c r="J1010" s="3" t="n">
        <v>282.84</v>
      </c>
      <c r="K1010" s="3" t="n">
        <v>56.57</v>
      </c>
      <c r="L1010" s="3" t="n">
        <v>226.27</v>
      </c>
      <c r="M1010" s="3" t="n">
        <v>190.84</v>
      </c>
      <c r="N1010" s="3" t="n">
        <v>35.43</v>
      </c>
      <c r="O1010">
        <f>TEXT(A1010,"yyyy-mm")</f>
        <v/>
      </c>
    </row>
    <row r="1011">
      <c r="A1011" s="2" t="n">
        <v>45693</v>
      </c>
      <c r="B1011" t="n">
        <v>2025</v>
      </c>
      <c r="C1011" t="inlineStr">
        <is>
          <t>February</t>
        </is>
      </c>
      <c r="D1011" t="inlineStr">
        <is>
          <t>Essential Notebook</t>
        </is>
      </c>
      <c r="E1011" t="inlineStr">
        <is>
          <t>Books</t>
        </is>
      </c>
      <c r="F1011" t="inlineStr">
        <is>
          <t>Sophie Rossi</t>
        </is>
      </c>
      <c r="G1011" t="inlineStr">
        <is>
          <t>France</t>
        </is>
      </c>
      <c r="H1011" t="inlineStr">
        <is>
          <t>Web Store</t>
        </is>
      </c>
      <c r="I1011" t="n">
        <v>2</v>
      </c>
      <c r="J1011" s="3" t="n">
        <v>233.38</v>
      </c>
      <c r="K1011" s="3" t="n">
        <v>11.67</v>
      </c>
      <c r="L1011" s="3" t="n">
        <v>221.71</v>
      </c>
      <c r="M1011" s="3" t="n">
        <v>158.2</v>
      </c>
      <c r="N1011" s="3" t="n">
        <v>63.51</v>
      </c>
      <c r="O1011">
        <f>TEXT(A1011,"yyyy-mm")</f>
        <v/>
      </c>
    </row>
    <row r="1012">
      <c r="A1012" s="2" t="n">
        <v>45693</v>
      </c>
      <c r="B1012" t="n">
        <v>2025</v>
      </c>
      <c r="C1012" t="inlineStr">
        <is>
          <t>February</t>
        </is>
      </c>
      <c r="D1012" t="inlineStr">
        <is>
          <t>Wireless Cookbook</t>
        </is>
      </c>
      <c r="E1012" t="inlineStr">
        <is>
          <t>Books</t>
        </is>
      </c>
      <c r="F1012" t="inlineStr">
        <is>
          <t>Sophie Rossi</t>
        </is>
      </c>
      <c r="G1012" t="inlineStr">
        <is>
          <t>France</t>
        </is>
      </c>
      <c r="H1012" t="inlineStr">
        <is>
          <t>Web Store</t>
        </is>
      </c>
      <c r="I1012" t="n">
        <v>1</v>
      </c>
      <c r="J1012" s="3" t="n">
        <v>75.01000000000001</v>
      </c>
      <c r="K1012" s="3" t="n">
        <v>15</v>
      </c>
      <c r="L1012" s="3" t="n">
        <v>60.01</v>
      </c>
      <c r="M1012" s="3" t="n">
        <v>56.61</v>
      </c>
      <c r="N1012" s="3" t="n">
        <v>3.4</v>
      </c>
      <c r="O1012">
        <f>TEXT(A1012,"yyyy-mm")</f>
        <v/>
      </c>
    </row>
    <row r="1013">
      <c r="A1013" s="2" t="n">
        <v>45694</v>
      </c>
      <c r="B1013" t="n">
        <v>2025</v>
      </c>
      <c r="C1013" t="inlineStr">
        <is>
          <t>February</t>
        </is>
      </c>
      <c r="D1013" t="inlineStr">
        <is>
          <t>Eco Drone</t>
        </is>
      </c>
      <c r="E1013" t="inlineStr">
        <is>
          <t>Toys &amp; Games</t>
        </is>
      </c>
      <c r="F1013" t="inlineStr">
        <is>
          <t>John Dubois</t>
        </is>
      </c>
      <c r="G1013" t="inlineStr">
        <is>
          <t>United Kingdom</t>
        </is>
      </c>
      <c r="H1013" t="inlineStr">
        <is>
          <t>Web Store</t>
        </is>
      </c>
      <c r="I1013" t="n">
        <v>4</v>
      </c>
      <c r="J1013" s="3" t="n">
        <v>804.28</v>
      </c>
      <c r="K1013" s="3" t="n">
        <v>0</v>
      </c>
      <c r="L1013" s="3" t="n">
        <v>804.28</v>
      </c>
      <c r="M1013" s="3" t="n">
        <v>518.36</v>
      </c>
      <c r="N1013" s="3" t="n">
        <v>285.92</v>
      </c>
      <c r="O1013">
        <f>TEXT(A1013,"yyyy-mm")</f>
        <v/>
      </c>
    </row>
    <row r="1014">
      <c r="A1014" s="2" t="n">
        <v>45694</v>
      </c>
      <c r="B1014" t="n">
        <v>2025</v>
      </c>
      <c r="C1014" t="inlineStr">
        <is>
          <t>February</t>
        </is>
      </c>
      <c r="D1014" t="inlineStr">
        <is>
          <t>Eco Biography</t>
        </is>
      </c>
      <c r="E1014" t="inlineStr">
        <is>
          <t>Books</t>
        </is>
      </c>
      <c r="F1014" t="inlineStr">
        <is>
          <t>Michael Weber</t>
        </is>
      </c>
      <c r="G1014" t="inlineStr">
        <is>
          <t>France</t>
        </is>
      </c>
      <c r="H1014" t="inlineStr">
        <is>
          <t>Web Store</t>
        </is>
      </c>
      <c r="I1014" t="n">
        <v>5</v>
      </c>
      <c r="J1014" s="3" t="n">
        <v>613</v>
      </c>
      <c r="K1014" s="3" t="n">
        <v>30.65</v>
      </c>
      <c r="L1014" s="3" t="n">
        <v>582.35</v>
      </c>
      <c r="M1014" s="3" t="n">
        <v>355.1</v>
      </c>
      <c r="N1014" s="3" t="n">
        <v>227.25</v>
      </c>
      <c r="O1014">
        <f>TEXT(A1014,"yyyy-mm")</f>
        <v/>
      </c>
    </row>
    <row r="1015">
      <c r="A1015" s="2" t="n">
        <v>45694</v>
      </c>
      <c r="B1015" t="n">
        <v>2025</v>
      </c>
      <c r="C1015" t="inlineStr">
        <is>
          <t>February</t>
        </is>
      </c>
      <c r="D1015" t="inlineStr">
        <is>
          <t>Smart Puzzle</t>
        </is>
      </c>
      <c r="E1015" t="inlineStr">
        <is>
          <t>Toys &amp; Games</t>
        </is>
      </c>
      <c r="F1015" t="inlineStr">
        <is>
          <t>Michael Brown</t>
        </is>
      </c>
      <c r="G1015" t="inlineStr">
        <is>
          <t>Spain</t>
        </is>
      </c>
      <c r="H1015" t="inlineStr">
        <is>
          <t>Mobile App</t>
        </is>
      </c>
      <c r="I1015" t="n">
        <v>1</v>
      </c>
      <c r="J1015" s="3" t="n">
        <v>45.36</v>
      </c>
      <c r="K1015" s="3" t="n">
        <v>4.54</v>
      </c>
      <c r="L1015" s="3" t="n">
        <v>40.82</v>
      </c>
      <c r="M1015" s="3" t="n">
        <v>24.44</v>
      </c>
      <c r="N1015" s="3" t="n">
        <v>16.38</v>
      </c>
      <c r="O1015">
        <f>TEXT(A1015,"yyyy-mm")</f>
        <v/>
      </c>
    </row>
    <row r="1016">
      <c r="A1016" s="2" t="n">
        <v>45694</v>
      </c>
      <c r="B1016" t="n">
        <v>2025</v>
      </c>
      <c r="C1016" t="inlineStr">
        <is>
          <t>February</t>
        </is>
      </c>
      <c r="D1016" t="inlineStr">
        <is>
          <t>Premium Tent</t>
        </is>
      </c>
      <c r="E1016" t="inlineStr">
        <is>
          <t>Sports &amp; Outdoors</t>
        </is>
      </c>
      <c r="F1016" t="inlineStr">
        <is>
          <t>Michael Brown</t>
        </is>
      </c>
      <c r="G1016" t="inlineStr">
        <is>
          <t>Spain</t>
        </is>
      </c>
      <c r="H1016" t="inlineStr">
        <is>
          <t>Mobile App</t>
        </is>
      </c>
      <c r="I1016" t="n">
        <v>1</v>
      </c>
      <c r="J1016" s="3" t="n">
        <v>247.11</v>
      </c>
      <c r="K1016" s="3" t="n">
        <v>0</v>
      </c>
      <c r="L1016" s="3" t="n">
        <v>247.11</v>
      </c>
      <c r="M1016" s="3" t="n">
        <v>165.31</v>
      </c>
      <c r="N1016" s="3" t="n">
        <v>81.8</v>
      </c>
      <c r="O1016">
        <f>TEXT(A1016,"yyyy-mm")</f>
        <v/>
      </c>
    </row>
    <row r="1017">
      <c r="A1017" s="2" t="n">
        <v>45694</v>
      </c>
      <c r="B1017" t="n">
        <v>2025</v>
      </c>
      <c r="C1017" t="inlineStr">
        <is>
          <t>February</t>
        </is>
      </c>
      <c r="D1017" t="inlineStr">
        <is>
          <t>Essential Jacket</t>
        </is>
      </c>
      <c r="E1017" t="inlineStr">
        <is>
          <t>Clothing</t>
        </is>
      </c>
      <c r="F1017" t="inlineStr">
        <is>
          <t>Clara Schmidt</t>
        </is>
      </c>
      <c r="G1017" t="inlineStr">
        <is>
          <t>Spain</t>
        </is>
      </c>
      <c r="H1017" t="inlineStr">
        <is>
          <t>Retail Store</t>
        </is>
      </c>
      <c r="I1017" t="n">
        <v>3</v>
      </c>
      <c r="J1017" s="3" t="n">
        <v>455.19</v>
      </c>
      <c r="K1017" s="3" t="n">
        <v>0</v>
      </c>
      <c r="L1017" s="3" t="n">
        <v>455.19</v>
      </c>
      <c r="M1017" s="3" t="n">
        <v>256.05</v>
      </c>
      <c r="N1017" s="3" t="n">
        <v>199.14</v>
      </c>
      <c r="O1017">
        <f>TEXT(A1017,"yyyy-mm")</f>
        <v/>
      </c>
    </row>
    <row r="1018">
      <c r="A1018" s="2" t="n">
        <v>45694</v>
      </c>
      <c r="B1018" t="n">
        <v>2025</v>
      </c>
      <c r="C1018" t="inlineStr">
        <is>
          <t>February</t>
        </is>
      </c>
      <c r="D1018" t="inlineStr">
        <is>
          <t>Eco Sweater</t>
        </is>
      </c>
      <c r="E1018" t="inlineStr">
        <is>
          <t>Clothing</t>
        </is>
      </c>
      <c r="F1018" t="inlineStr">
        <is>
          <t>Clara Schmidt</t>
        </is>
      </c>
      <c r="G1018" t="inlineStr">
        <is>
          <t>Spain</t>
        </is>
      </c>
      <c r="H1018" t="inlineStr">
        <is>
          <t>Retail Store</t>
        </is>
      </c>
      <c r="I1018" t="n">
        <v>5</v>
      </c>
      <c r="J1018" s="3" t="n">
        <v>780.85</v>
      </c>
      <c r="K1018" s="3" t="n">
        <v>0</v>
      </c>
      <c r="L1018" s="3" t="n">
        <v>780.85</v>
      </c>
      <c r="M1018" s="3" t="n">
        <v>521.15</v>
      </c>
      <c r="N1018" s="3" t="n">
        <v>259.7</v>
      </c>
      <c r="O1018">
        <f>TEXT(A1018,"yyyy-mm")</f>
        <v/>
      </c>
    </row>
    <row r="1019">
      <c r="A1019" s="2" t="n">
        <v>45694</v>
      </c>
      <c r="B1019" t="n">
        <v>2025</v>
      </c>
      <c r="C1019" t="inlineStr">
        <is>
          <t>February</t>
        </is>
      </c>
      <c r="D1019" t="inlineStr">
        <is>
          <t>Eco Tent</t>
        </is>
      </c>
      <c r="E1019" t="inlineStr">
        <is>
          <t>Sports &amp; Outdoors</t>
        </is>
      </c>
      <c r="F1019" t="inlineStr">
        <is>
          <t>Michael Brown</t>
        </is>
      </c>
      <c r="G1019" t="inlineStr">
        <is>
          <t>Spain</t>
        </is>
      </c>
      <c r="H1019" t="inlineStr">
        <is>
          <t>Mobile App</t>
        </is>
      </c>
      <c r="I1019" t="n">
        <v>1</v>
      </c>
      <c r="J1019" s="3" t="n">
        <v>70.18000000000001</v>
      </c>
      <c r="K1019" s="3" t="n">
        <v>14.04</v>
      </c>
      <c r="L1019" s="3" t="n">
        <v>56.14</v>
      </c>
      <c r="M1019" s="3" t="n">
        <v>43.85</v>
      </c>
      <c r="N1019" s="3" t="n">
        <v>12.29</v>
      </c>
      <c r="O1019">
        <f>TEXT(A1019,"yyyy-mm")</f>
        <v/>
      </c>
    </row>
    <row r="1020">
      <c r="A1020" s="2" t="n">
        <v>45694</v>
      </c>
      <c r="B1020" t="n">
        <v>2025</v>
      </c>
      <c r="C1020" t="inlineStr">
        <is>
          <t>February</t>
        </is>
      </c>
      <c r="D1020" t="inlineStr">
        <is>
          <t>Deluxe Puzzle</t>
        </is>
      </c>
      <c r="E1020" t="inlineStr">
        <is>
          <t>Toys &amp; Games</t>
        </is>
      </c>
      <c r="F1020" t="inlineStr">
        <is>
          <t>Clara Schmidt</t>
        </is>
      </c>
      <c r="G1020" t="inlineStr">
        <is>
          <t>Spain</t>
        </is>
      </c>
      <c r="H1020" t="inlineStr">
        <is>
          <t>Retail Store</t>
        </is>
      </c>
      <c r="I1020" t="n">
        <v>4</v>
      </c>
      <c r="J1020" s="3" t="n">
        <v>833.2</v>
      </c>
      <c r="K1020" s="3" t="n">
        <v>0</v>
      </c>
      <c r="L1020" s="3" t="n">
        <v>833.2</v>
      </c>
      <c r="M1020" s="3" t="n">
        <v>444.68</v>
      </c>
      <c r="N1020" s="3" t="n">
        <v>388.52</v>
      </c>
      <c r="O1020">
        <f>TEXT(A1020,"yyyy-mm")</f>
        <v/>
      </c>
    </row>
    <row r="1021">
      <c r="A1021" s="2" t="n">
        <v>45695</v>
      </c>
      <c r="B1021" t="n">
        <v>2025</v>
      </c>
      <c r="C1021" t="inlineStr">
        <is>
          <t>February</t>
        </is>
      </c>
      <c r="D1021" t="inlineStr">
        <is>
          <t>Classic Bike Helmet</t>
        </is>
      </c>
      <c r="E1021" t="inlineStr">
        <is>
          <t>Sports &amp; Outdoors</t>
        </is>
      </c>
      <c r="F1021" t="inlineStr">
        <is>
          <t>Olivia Garcia</t>
        </is>
      </c>
      <c r="G1021" t="inlineStr">
        <is>
          <t>United States</t>
        </is>
      </c>
      <c r="H1021" t="inlineStr">
        <is>
          <t>Mobile App</t>
        </is>
      </c>
      <c r="I1021" t="n">
        <v>3</v>
      </c>
      <c r="J1021" s="3" t="n">
        <v>644.1</v>
      </c>
      <c r="K1021" s="3" t="n">
        <v>64.41</v>
      </c>
      <c r="L1021" s="3" t="n">
        <v>579.6900000000001</v>
      </c>
      <c r="M1021" s="3" t="n">
        <v>461.43</v>
      </c>
      <c r="N1021" s="3" t="n">
        <v>118.26</v>
      </c>
      <c r="O1021">
        <f>TEXT(A1021,"yyyy-mm")</f>
        <v/>
      </c>
    </row>
    <row r="1022">
      <c r="A1022" s="2" t="n">
        <v>45695</v>
      </c>
      <c r="B1022" t="n">
        <v>2025</v>
      </c>
      <c r="C1022" t="inlineStr">
        <is>
          <t>February</t>
        </is>
      </c>
      <c r="D1022" t="inlineStr">
        <is>
          <t>Deluxe Toolset</t>
        </is>
      </c>
      <c r="E1022" t="inlineStr">
        <is>
          <t>Home &amp; Garden</t>
        </is>
      </c>
      <c r="F1022" t="inlineStr">
        <is>
          <t>Olivia Garcia</t>
        </is>
      </c>
      <c r="G1022" t="inlineStr">
        <is>
          <t>United States</t>
        </is>
      </c>
      <c r="H1022" t="inlineStr">
        <is>
          <t>Mobile App</t>
        </is>
      </c>
      <c r="I1022" t="n">
        <v>3</v>
      </c>
      <c r="J1022" s="3" t="n">
        <v>210.75</v>
      </c>
      <c r="K1022" s="3" t="n">
        <v>42.15</v>
      </c>
      <c r="L1022" s="3" t="n">
        <v>168.6</v>
      </c>
      <c r="M1022" s="3" t="n">
        <v>143.13</v>
      </c>
      <c r="N1022" s="3" t="n">
        <v>25.47</v>
      </c>
      <c r="O1022">
        <f>TEXT(A1022,"yyyy-mm")</f>
        <v/>
      </c>
    </row>
    <row r="1023">
      <c r="A1023" s="2" t="n">
        <v>45695</v>
      </c>
      <c r="B1023" t="n">
        <v>2025</v>
      </c>
      <c r="C1023" t="inlineStr">
        <is>
          <t>February</t>
        </is>
      </c>
      <c r="D1023" t="inlineStr">
        <is>
          <t>Classic Yoga Mat</t>
        </is>
      </c>
      <c r="E1023" t="inlineStr">
        <is>
          <t>Sports &amp; Outdoors</t>
        </is>
      </c>
      <c r="F1023" t="inlineStr">
        <is>
          <t>Olivia Garcia</t>
        </is>
      </c>
      <c r="G1023" t="inlineStr">
        <is>
          <t>United States</t>
        </is>
      </c>
      <c r="H1023" t="inlineStr">
        <is>
          <t>Mobile App</t>
        </is>
      </c>
      <c r="I1023" t="n">
        <v>5</v>
      </c>
      <c r="J1023" s="3" t="n">
        <v>1718.2</v>
      </c>
      <c r="K1023" s="3" t="n">
        <v>171.82</v>
      </c>
      <c r="L1023" s="3" t="n">
        <v>1546.38</v>
      </c>
      <c r="M1023" s="3" t="n">
        <v>978.5</v>
      </c>
      <c r="N1023" s="3" t="n">
        <v>567.88</v>
      </c>
      <c r="O1023">
        <f>TEXT(A1023,"yyyy-mm")</f>
        <v/>
      </c>
    </row>
    <row r="1024">
      <c r="A1024" s="2" t="n">
        <v>45695</v>
      </c>
      <c r="B1024" t="n">
        <v>2025</v>
      </c>
      <c r="C1024" t="inlineStr">
        <is>
          <t>February</t>
        </is>
      </c>
      <c r="D1024" t="inlineStr">
        <is>
          <t>Smart Camera</t>
        </is>
      </c>
      <c r="E1024" t="inlineStr">
        <is>
          <t>Electronics</t>
        </is>
      </c>
      <c r="F1024" t="inlineStr">
        <is>
          <t>Olivia Garcia</t>
        </is>
      </c>
      <c r="G1024" t="inlineStr">
        <is>
          <t>United States</t>
        </is>
      </c>
      <c r="H1024" t="inlineStr">
        <is>
          <t>Mobile App</t>
        </is>
      </c>
      <c r="I1024" t="n">
        <v>3</v>
      </c>
      <c r="J1024" s="3" t="n">
        <v>949.2</v>
      </c>
      <c r="K1024" s="3" t="n">
        <v>94.92</v>
      </c>
      <c r="L1024" s="3" t="n">
        <v>854.28</v>
      </c>
      <c r="M1024" s="3" t="n">
        <v>502.2</v>
      </c>
      <c r="N1024" s="3" t="n">
        <v>352.08</v>
      </c>
      <c r="O1024">
        <f>TEXT(A1024,"yyyy-mm")</f>
        <v/>
      </c>
    </row>
    <row r="1025">
      <c r="A1025" s="2" t="n">
        <v>45695</v>
      </c>
      <c r="B1025" t="n">
        <v>2025</v>
      </c>
      <c r="C1025" t="inlineStr">
        <is>
          <t>February</t>
        </is>
      </c>
      <c r="D1025" t="inlineStr">
        <is>
          <t>Smart Jeans</t>
        </is>
      </c>
      <c r="E1025" t="inlineStr">
        <is>
          <t>Clothing</t>
        </is>
      </c>
      <c r="F1025" t="inlineStr">
        <is>
          <t>Olivia Wilson</t>
        </is>
      </c>
      <c r="G1025" t="inlineStr">
        <is>
          <t>Germany</t>
        </is>
      </c>
      <c r="H1025" t="inlineStr">
        <is>
          <t>Marketplace</t>
        </is>
      </c>
      <c r="I1025" t="n">
        <v>4</v>
      </c>
      <c r="J1025" s="3" t="n">
        <v>1132.32</v>
      </c>
      <c r="K1025" s="3" t="n">
        <v>0</v>
      </c>
      <c r="L1025" s="3" t="n">
        <v>1132.32</v>
      </c>
      <c r="M1025" s="3" t="n">
        <v>774.5599999999999</v>
      </c>
      <c r="N1025" s="3" t="n">
        <v>357.76</v>
      </c>
      <c r="O1025">
        <f>TEXT(A1025,"yyyy-mm")</f>
        <v/>
      </c>
    </row>
    <row r="1026">
      <c r="A1026" s="2" t="n">
        <v>45695</v>
      </c>
      <c r="B1026" t="n">
        <v>2025</v>
      </c>
      <c r="C1026" t="inlineStr">
        <is>
          <t>February</t>
        </is>
      </c>
      <c r="D1026" t="inlineStr">
        <is>
          <t>Smart Coffee Beans</t>
        </is>
      </c>
      <c r="E1026" t="inlineStr">
        <is>
          <t>Grocery</t>
        </is>
      </c>
      <c r="F1026" t="inlineStr">
        <is>
          <t>Olivia Wilson</t>
        </is>
      </c>
      <c r="G1026" t="inlineStr">
        <is>
          <t>Germany</t>
        </is>
      </c>
      <c r="H1026" t="inlineStr">
        <is>
          <t>Marketplace</t>
        </is>
      </c>
      <c r="I1026" t="n">
        <v>1</v>
      </c>
      <c r="J1026" s="3" t="n">
        <v>114.1</v>
      </c>
      <c r="K1026" s="3" t="n">
        <v>22.82</v>
      </c>
      <c r="L1026" s="3" t="n">
        <v>91.28</v>
      </c>
      <c r="M1026" s="3" t="n">
        <v>72.84999999999999</v>
      </c>
      <c r="N1026" s="3" t="n">
        <v>18.43</v>
      </c>
      <c r="O1026">
        <f>TEXT(A1026,"yyyy-mm")</f>
        <v/>
      </c>
    </row>
    <row r="1027">
      <c r="A1027" s="2" t="n">
        <v>45696</v>
      </c>
      <c r="B1027" t="n">
        <v>2025</v>
      </c>
      <c r="C1027" t="inlineStr">
        <is>
          <t>February</t>
        </is>
      </c>
      <c r="D1027" t="inlineStr">
        <is>
          <t>Classic Charger</t>
        </is>
      </c>
      <c r="E1027" t="inlineStr">
        <is>
          <t>Electronics</t>
        </is>
      </c>
      <c r="F1027" t="inlineStr">
        <is>
          <t>David Conti</t>
        </is>
      </c>
      <c r="G1027" t="inlineStr">
        <is>
          <t>Poland</t>
        </is>
      </c>
      <c r="H1027" t="inlineStr">
        <is>
          <t>Retail Store</t>
        </is>
      </c>
      <c r="I1027" t="n">
        <v>5</v>
      </c>
      <c r="J1027" s="3" t="n">
        <v>478.85</v>
      </c>
      <c r="K1027" s="3" t="n">
        <v>0</v>
      </c>
      <c r="L1027" s="3" t="n">
        <v>478.85</v>
      </c>
      <c r="M1027" s="3" t="n">
        <v>311.05</v>
      </c>
      <c r="N1027" s="3" t="n">
        <v>167.8</v>
      </c>
      <c r="O1027">
        <f>TEXT(A1027,"yyyy-mm")</f>
        <v/>
      </c>
    </row>
    <row r="1028">
      <c r="A1028" s="2" t="n">
        <v>45696</v>
      </c>
      <c r="B1028" t="n">
        <v>2025</v>
      </c>
      <c r="C1028" t="inlineStr">
        <is>
          <t>February</t>
        </is>
      </c>
      <c r="D1028" t="inlineStr">
        <is>
          <t>Compact Jacket</t>
        </is>
      </c>
      <c r="E1028" t="inlineStr">
        <is>
          <t>Clothing</t>
        </is>
      </c>
      <c r="F1028" t="inlineStr">
        <is>
          <t>David Nowak</t>
        </is>
      </c>
      <c r="G1028" t="inlineStr">
        <is>
          <t>Spain</t>
        </is>
      </c>
      <c r="H1028" t="inlineStr">
        <is>
          <t>Web Store</t>
        </is>
      </c>
      <c r="I1028" t="n">
        <v>3</v>
      </c>
      <c r="J1028" s="3" t="n">
        <v>108.3</v>
      </c>
      <c r="K1028" s="3" t="n">
        <v>0</v>
      </c>
      <c r="L1028" s="3" t="n">
        <v>108.3</v>
      </c>
      <c r="M1028" s="3" t="n">
        <v>61.2</v>
      </c>
      <c r="N1028" s="3" t="n">
        <v>47.1</v>
      </c>
      <c r="O1028">
        <f>TEXT(A1028,"yyyy-mm")</f>
        <v/>
      </c>
    </row>
    <row r="1029">
      <c r="A1029" s="2" t="n">
        <v>45696</v>
      </c>
      <c r="B1029" t="n">
        <v>2025</v>
      </c>
      <c r="C1029" t="inlineStr">
        <is>
          <t>February</t>
        </is>
      </c>
      <c r="D1029" t="inlineStr">
        <is>
          <t>Deluxe Toolset</t>
        </is>
      </c>
      <c r="E1029" t="inlineStr">
        <is>
          <t>Home &amp; Garden</t>
        </is>
      </c>
      <c r="F1029" t="inlineStr">
        <is>
          <t>David Nowak</t>
        </is>
      </c>
      <c r="G1029" t="inlineStr">
        <is>
          <t>Spain</t>
        </is>
      </c>
      <c r="H1029" t="inlineStr">
        <is>
          <t>Web Store</t>
        </is>
      </c>
      <c r="I1029" t="n">
        <v>5</v>
      </c>
      <c r="J1029" s="3" t="n">
        <v>350.45</v>
      </c>
      <c r="K1029" s="3" t="n">
        <v>0</v>
      </c>
      <c r="L1029" s="3" t="n">
        <v>350.45</v>
      </c>
      <c r="M1029" s="3" t="n">
        <v>238.55</v>
      </c>
      <c r="N1029" s="3" t="n">
        <v>111.9</v>
      </c>
      <c r="O1029">
        <f>TEXT(A1029,"yyyy-mm")</f>
        <v/>
      </c>
    </row>
    <row r="1030">
      <c r="A1030" s="2" t="n">
        <v>45696</v>
      </c>
      <c r="B1030" t="n">
        <v>2025</v>
      </c>
      <c r="C1030" t="inlineStr">
        <is>
          <t>February</t>
        </is>
      </c>
      <c r="D1030" t="inlineStr">
        <is>
          <t>Smart Honey</t>
        </is>
      </c>
      <c r="E1030" t="inlineStr">
        <is>
          <t>Grocery</t>
        </is>
      </c>
      <c r="F1030" t="inlineStr">
        <is>
          <t>Maria Brown</t>
        </is>
      </c>
      <c r="G1030" t="inlineStr">
        <is>
          <t>United Kingdom</t>
        </is>
      </c>
      <c r="H1030" t="inlineStr">
        <is>
          <t>Web Store</t>
        </is>
      </c>
      <c r="I1030" t="n">
        <v>2</v>
      </c>
      <c r="J1030" s="3" t="n">
        <v>256.86</v>
      </c>
      <c r="K1030" s="3" t="n">
        <v>51.37</v>
      </c>
      <c r="L1030" s="3" t="n">
        <v>205.49</v>
      </c>
      <c r="M1030" s="3" t="n">
        <v>142.88</v>
      </c>
      <c r="N1030" s="3" t="n">
        <v>62.61</v>
      </c>
      <c r="O1030">
        <f>TEXT(A1030,"yyyy-mm")</f>
        <v/>
      </c>
    </row>
    <row r="1031">
      <c r="A1031" s="2" t="n">
        <v>45696</v>
      </c>
      <c r="B1031" t="n">
        <v>2025</v>
      </c>
      <c r="C1031" t="inlineStr">
        <is>
          <t>February</t>
        </is>
      </c>
      <c r="D1031" t="inlineStr">
        <is>
          <t>Wireless Coffee Beans</t>
        </is>
      </c>
      <c r="E1031" t="inlineStr">
        <is>
          <t>Grocery</t>
        </is>
      </c>
      <c r="F1031" t="inlineStr">
        <is>
          <t>David Conti</t>
        </is>
      </c>
      <c r="G1031" t="inlineStr">
        <is>
          <t>Poland</t>
        </is>
      </c>
      <c r="H1031" t="inlineStr">
        <is>
          <t>Retail Store</t>
        </is>
      </c>
      <c r="I1031" t="n">
        <v>1</v>
      </c>
      <c r="J1031" s="3" t="n">
        <v>210.89</v>
      </c>
      <c r="K1031" s="3" t="n">
        <v>0</v>
      </c>
      <c r="L1031" s="3" t="n">
        <v>210.89</v>
      </c>
      <c r="M1031" s="3" t="n">
        <v>130.13</v>
      </c>
      <c r="N1031" s="3" t="n">
        <v>80.76000000000001</v>
      </c>
      <c r="O1031">
        <f>TEXT(A1031,"yyyy-mm")</f>
        <v/>
      </c>
    </row>
    <row r="1032">
      <c r="A1032" s="2" t="n">
        <v>45697</v>
      </c>
      <c r="B1032" t="n">
        <v>2025</v>
      </c>
      <c r="C1032" t="inlineStr">
        <is>
          <t>February</t>
        </is>
      </c>
      <c r="D1032" t="inlineStr">
        <is>
          <t>Smart Camera</t>
        </is>
      </c>
      <c r="E1032" t="inlineStr">
        <is>
          <t>Electronics</t>
        </is>
      </c>
      <c r="F1032" t="inlineStr">
        <is>
          <t>Sophie Bianchi</t>
        </is>
      </c>
      <c r="G1032" t="inlineStr">
        <is>
          <t>United States</t>
        </is>
      </c>
      <c r="H1032" t="inlineStr">
        <is>
          <t>Mobile App</t>
        </is>
      </c>
      <c r="I1032" t="n">
        <v>1</v>
      </c>
      <c r="J1032" s="3" t="n">
        <v>297.65</v>
      </c>
      <c r="K1032" s="3" t="n">
        <v>0</v>
      </c>
      <c r="L1032" s="3" t="n">
        <v>297.65</v>
      </c>
      <c r="M1032" s="3" t="n">
        <v>167.4</v>
      </c>
      <c r="N1032" s="3" t="n">
        <v>130.25</v>
      </c>
      <c r="O1032">
        <f>TEXT(A1032,"yyyy-mm")</f>
        <v/>
      </c>
    </row>
    <row r="1033">
      <c r="A1033" s="2" t="n">
        <v>45697</v>
      </c>
      <c r="B1033" t="n">
        <v>2025</v>
      </c>
      <c r="C1033" t="inlineStr">
        <is>
          <t>February</t>
        </is>
      </c>
      <c r="D1033" t="inlineStr">
        <is>
          <t>Essential Rug</t>
        </is>
      </c>
      <c r="E1033" t="inlineStr">
        <is>
          <t>Home &amp; Garden</t>
        </is>
      </c>
      <c r="F1033" t="inlineStr">
        <is>
          <t>Sophie Bianchi</t>
        </is>
      </c>
      <c r="G1033" t="inlineStr">
        <is>
          <t>United States</t>
        </is>
      </c>
      <c r="H1033" t="inlineStr">
        <is>
          <t>Mobile App</t>
        </is>
      </c>
      <c r="I1033" t="n">
        <v>3</v>
      </c>
      <c r="J1033" s="3" t="n">
        <v>419.28</v>
      </c>
      <c r="K1033" s="3" t="n">
        <v>0</v>
      </c>
      <c r="L1033" s="3" t="n">
        <v>419.28</v>
      </c>
      <c r="M1033" s="3" t="n">
        <v>228.99</v>
      </c>
      <c r="N1033" s="3" t="n">
        <v>190.29</v>
      </c>
      <c r="O1033">
        <f>TEXT(A1033,"yyyy-mm")</f>
        <v/>
      </c>
    </row>
    <row r="1034">
      <c r="A1034" s="2" t="n">
        <v>45697</v>
      </c>
      <c r="B1034" t="n">
        <v>2025</v>
      </c>
      <c r="C1034" t="inlineStr">
        <is>
          <t>February</t>
        </is>
      </c>
      <c r="D1034" t="inlineStr">
        <is>
          <t>Smart Puzzle</t>
        </is>
      </c>
      <c r="E1034" t="inlineStr">
        <is>
          <t>Toys &amp; Games</t>
        </is>
      </c>
      <c r="F1034" t="inlineStr">
        <is>
          <t>Sophie Bianchi</t>
        </is>
      </c>
      <c r="G1034" t="inlineStr">
        <is>
          <t>United States</t>
        </is>
      </c>
      <c r="H1034" t="inlineStr">
        <is>
          <t>Mobile App</t>
        </is>
      </c>
      <c r="I1034" t="n">
        <v>2</v>
      </c>
      <c r="J1034" s="3" t="n">
        <v>530.48</v>
      </c>
      <c r="K1034" s="3" t="n">
        <v>26.52</v>
      </c>
      <c r="L1034" s="3" t="n">
        <v>503.96</v>
      </c>
      <c r="M1034" s="3" t="n">
        <v>385.52</v>
      </c>
      <c r="N1034" s="3" t="n">
        <v>118.44</v>
      </c>
      <c r="O1034">
        <f>TEXT(A1034,"yyyy-mm")</f>
        <v/>
      </c>
    </row>
    <row r="1035">
      <c r="A1035" s="2" t="n">
        <v>45697</v>
      </c>
      <c r="B1035" t="n">
        <v>2025</v>
      </c>
      <c r="C1035" t="inlineStr">
        <is>
          <t>February</t>
        </is>
      </c>
      <c r="D1035" t="inlineStr">
        <is>
          <t>Essential Pasta</t>
        </is>
      </c>
      <c r="E1035" t="inlineStr">
        <is>
          <t>Grocery</t>
        </is>
      </c>
      <c r="F1035" t="inlineStr">
        <is>
          <t>Julia Dubois</t>
        </is>
      </c>
      <c r="G1035" t="inlineStr">
        <is>
          <t>United States</t>
        </is>
      </c>
      <c r="H1035" t="inlineStr">
        <is>
          <t>Mobile App</t>
        </is>
      </c>
      <c r="I1035" t="n">
        <v>2</v>
      </c>
      <c r="J1035" s="3" t="n">
        <v>113.32</v>
      </c>
      <c r="K1035" s="3" t="n">
        <v>0</v>
      </c>
      <c r="L1035" s="3" t="n">
        <v>113.32</v>
      </c>
      <c r="M1035" s="3" t="n">
        <v>71.62</v>
      </c>
      <c r="N1035" s="3" t="n">
        <v>41.7</v>
      </c>
      <c r="O1035">
        <f>TEXT(A1035,"yyyy-mm")</f>
        <v/>
      </c>
    </row>
    <row r="1036">
      <c r="A1036" s="2" t="n">
        <v>45697</v>
      </c>
      <c r="B1036" t="n">
        <v>2025</v>
      </c>
      <c r="C1036" t="inlineStr">
        <is>
          <t>February</t>
        </is>
      </c>
      <c r="D1036" t="inlineStr">
        <is>
          <t>Portable Puzzle</t>
        </is>
      </c>
      <c r="E1036" t="inlineStr">
        <is>
          <t>Toys &amp; Games</t>
        </is>
      </c>
      <c r="F1036" t="inlineStr">
        <is>
          <t>Julia Dubois</t>
        </is>
      </c>
      <c r="G1036" t="inlineStr">
        <is>
          <t>United States</t>
        </is>
      </c>
      <c r="H1036" t="inlineStr">
        <is>
          <t>Mobile App</t>
        </is>
      </c>
      <c r="I1036" t="n">
        <v>3</v>
      </c>
      <c r="J1036" s="3" t="n">
        <v>977.85</v>
      </c>
      <c r="K1036" s="3" t="n">
        <v>48.89</v>
      </c>
      <c r="L1036" s="3" t="n">
        <v>928.96</v>
      </c>
      <c r="M1036" s="3" t="n">
        <v>520.98</v>
      </c>
      <c r="N1036" s="3" t="n">
        <v>407.98</v>
      </c>
      <c r="O1036">
        <f>TEXT(A1036,"yyyy-mm")</f>
        <v/>
      </c>
    </row>
    <row r="1037">
      <c r="A1037" s="2" t="n">
        <v>45697</v>
      </c>
      <c r="B1037" t="n">
        <v>2025</v>
      </c>
      <c r="C1037" t="inlineStr">
        <is>
          <t>February</t>
        </is>
      </c>
      <c r="D1037" t="inlineStr">
        <is>
          <t>Essential Rug</t>
        </is>
      </c>
      <c r="E1037" t="inlineStr">
        <is>
          <t>Home &amp; Garden</t>
        </is>
      </c>
      <c r="F1037" t="inlineStr">
        <is>
          <t>Emily Wojcik</t>
        </is>
      </c>
      <c r="G1037" t="inlineStr">
        <is>
          <t>Germany</t>
        </is>
      </c>
      <c r="H1037" t="inlineStr">
        <is>
          <t>Marketplace</t>
        </is>
      </c>
      <c r="I1037" t="n">
        <v>3</v>
      </c>
      <c r="J1037" s="3" t="n">
        <v>425.25</v>
      </c>
      <c r="K1037" s="3" t="n">
        <v>21.26</v>
      </c>
      <c r="L1037" s="3" t="n">
        <v>403.99</v>
      </c>
      <c r="M1037" s="3" t="n">
        <v>228.99</v>
      </c>
      <c r="N1037" s="3" t="n">
        <v>175</v>
      </c>
      <c r="O1037">
        <f>TEXT(A1037,"yyyy-mm")</f>
        <v/>
      </c>
    </row>
    <row r="1038">
      <c r="A1038" s="2" t="n">
        <v>45697</v>
      </c>
      <c r="B1038" t="n">
        <v>2025</v>
      </c>
      <c r="C1038" t="inlineStr">
        <is>
          <t>February</t>
        </is>
      </c>
      <c r="D1038" t="inlineStr">
        <is>
          <t>Portable Speaker</t>
        </is>
      </c>
      <c r="E1038" t="inlineStr">
        <is>
          <t>Electronics</t>
        </is>
      </c>
      <c r="F1038" t="inlineStr">
        <is>
          <t>Emily Wojcik</t>
        </is>
      </c>
      <c r="G1038" t="inlineStr">
        <is>
          <t>Germany</t>
        </is>
      </c>
      <c r="H1038" t="inlineStr">
        <is>
          <t>Marketplace</t>
        </is>
      </c>
      <c r="I1038" t="n">
        <v>2</v>
      </c>
      <c r="J1038" s="3" t="n">
        <v>630.0599999999999</v>
      </c>
      <c r="K1038" s="3" t="n">
        <v>94.51000000000001</v>
      </c>
      <c r="L1038" s="3" t="n">
        <v>535.55</v>
      </c>
      <c r="M1038" s="3" t="n">
        <v>349.66</v>
      </c>
      <c r="N1038" s="3" t="n">
        <v>185.89</v>
      </c>
      <c r="O1038">
        <f>TEXT(A1038,"yyyy-mm")</f>
        <v/>
      </c>
    </row>
    <row r="1039">
      <c r="A1039" s="2" t="n">
        <v>45697</v>
      </c>
      <c r="B1039" t="n">
        <v>2025</v>
      </c>
      <c r="C1039" t="inlineStr">
        <is>
          <t>February</t>
        </is>
      </c>
      <c r="D1039" t="inlineStr">
        <is>
          <t>Essential Jacket</t>
        </is>
      </c>
      <c r="E1039" t="inlineStr">
        <is>
          <t>Clothing</t>
        </is>
      </c>
      <c r="F1039" t="inlineStr">
        <is>
          <t>Emily Wojcik</t>
        </is>
      </c>
      <c r="G1039" t="inlineStr">
        <is>
          <t>Germany</t>
        </is>
      </c>
      <c r="H1039" t="inlineStr">
        <is>
          <t>Marketplace</t>
        </is>
      </c>
      <c r="I1039" t="n">
        <v>2</v>
      </c>
      <c r="J1039" s="3" t="n">
        <v>290.1</v>
      </c>
      <c r="K1039" s="3" t="n">
        <v>43.52</v>
      </c>
      <c r="L1039" s="3" t="n">
        <v>246.59</v>
      </c>
      <c r="M1039" s="3" t="n">
        <v>170.7</v>
      </c>
      <c r="N1039" s="3" t="n">
        <v>75.89</v>
      </c>
      <c r="O1039">
        <f>TEXT(A1039,"yyyy-mm")</f>
        <v/>
      </c>
    </row>
    <row r="1040">
      <c r="A1040" s="2" t="n">
        <v>45697</v>
      </c>
      <c r="B1040" t="n">
        <v>2025</v>
      </c>
      <c r="C1040" t="inlineStr">
        <is>
          <t>February</t>
        </is>
      </c>
      <c r="D1040" t="inlineStr">
        <is>
          <t>Wireless Cookbook</t>
        </is>
      </c>
      <c r="E1040" t="inlineStr">
        <is>
          <t>Books</t>
        </is>
      </c>
      <c r="F1040" t="inlineStr">
        <is>
          <t>Clara Johnson</t>
        </is>
      </c>
      <c r="G1040" t="inlineStr">
        <is>
          <t>United Kingdom</t>
        </is>
      </c>
      <c r="H1040" t="inlineStr">
        <is>
          <t>Mobile App</t>
        </is>
      </c>
      <c r="I1040" t="n">
        <v>1</v>
      </c>
      <c r="J1040" s="3" t="n">
        <v>76.06999999999999</v>
      </c>
      <c r="K1040" s="3" t="n">
        <v>0</v>
      </c>
      <c r="L1040" s="3" t="n">
        <v>76.06999999999999</v>
      </c>
      <c r="M1040" s="3" t="n">
        <v>56.61</v>
      </c>
      <c r="N1040" s="3" t="n">
        <v>19.46</v>
      </c>
      <c r="O1040">
        <f>TEXT(A1040,"yyyy-mm")</f>
        <v/>
      </c>
    </row>
    <row r="1041">
      <c r="A1041" s="2" t="n">
        <v>45697</v>
      </c>
      <c r="B1041" t="n">
        <v>2025</v>
      </c>
      <c r="C1041" t="inlineStr">
        <is>
          <t>February</t>
        </is>
      </c>
      <c r="D1041" t="inlineStr">
        <is>
          <t>Classic Tent</t>
        </is>
      </c>
      <c r="E1041" t="inlineStr">
        <is>
          <t>Sports &amp; Outdoors</t>
        </is>
      </c>
      <c r="F1041" t="inlineStr">
        <is>
          <t>Clara Johnson</t>
        </is>
      </c>
      <c r="G1041" t="inlineStr">
        <is>
          <t>United Kingdom</t>
        </is>
      </c>
      <c r="H1041" t="inlineStr">
        <is>
          <t>Mobile App</t>
        </is>
      </c>
      <c r="I1041" t="n">
        <v>3</v>
      </c>
      <c r="J1041" s="3" t="n">
        <v>598.89</v>
      </c>
      <c r="K1041" s="3" t="n">
        <v>119.78</v>
      </c>
      <c r="L1041" s="3" t="n">
        <v>479.11</v>
      </c>
      <c r="M1041" s="3" t="n">
        <v>354.06</v>
      </c>
      <c r="N1041" s="3" t="n">
        <v>125.05</v>
      </c>
      <c r="O1041">
        <f>TEXT(A1041,"yyyy-mm")</f>
        <v/>
      </c>
    </row>
    <row r="1042">
      <c r="A1042" s="2" t="n">
        <v>45697</v>
      </c>
      <c r="B1042" t="n">
        <v>2025</v>
      </c>
      <c r="C1042" t="inlineStr">
        <is>
          <t>February</t>
        </is>
      </c>
      <c r="D1042" t="inlineStr">
        <is>
          <t>Smart Charger</t>
        </is>
      </c>
      <c r="E1042" t="inlineStr">
        <is>
          <t>Electronics</t>
        </is>
      </c>
      <c r="F1042" t="inlineStr">
        <is>
          <t>Clara Johnson</t>
        </is>
      </c>
      <c r="G1042" t="inlineStr">
        <is>
          <t>United Kingdom</t>
        </is>
      </c>
      <c r="H1042" t="inlineStr">
        <is>
          <t>Mobile App</t>
        </is>
      </c>
      <c r="I1042" t="n">
        <v>3</v>
      </c>
      <c r="J1042" s="3" t="n">
        <v>789.96</v>
      </c>
      <c r="K1042" s="3" t="n">
        <v>118.49</v>
      </c>
      <c r="L1042" s="3" t="n">
        <v>671.47</v>
      </c>
      <c r="M1042" s="3" t="n">
        <v>427.56</v>
      </c>
      <c r="N1042" s="3" t="n">
        <v>243.91</v>
      </c>
      <c r="O1042">
        <f>TEXT(A1042,"yyyy-mm")</f>
        <v/>
      </c>
    </row>
    <row r="1043">
      <c r="A1043" s="2" t="n">
        <v>45698</v>
      </c>
      <c r="B1043" t="n">
        <v>2025</v>
      </c>
      <c r="C1043" t="inlineStr">
        <is>
          <t>February</t>
        </is>
      </c>
      <c r="D1043" t="inlineStr">
        <is>
          <t>Premium Water Bottle</t>
        </is>
      </c>
      <c r="E1043" t="inlineStr">
        <is>
          <t>Sports &amp; Outdoors</t>
        </is>
      </c>
      <c r="F1043" t="inlineStr">
        <is>
          <t>James Brown</t>
        </is>
      </c>
      <c r="G1043" t="inlineStr">
        <is>
          <t>France</t>
        </is>
      </c>
      <c r="H1043" t="inlineStr">
        <is>
          <t>Web Store</t>
        </is>
      </c>
      <c r="I1043" t="n">
        <v>2</v>
      </c>
      <c r="J1043" s="3" t="n">
        <v>634.88</v>
      </c>
      <c r="K1043" s="3" t="n">
        <v>0</v>
      </c>
      <c r="L1043" s="3" t="n">
        <v>634.88</v>
      </c>
      <c r="M1043" s="3" t="n">
        <v>362.32</v>
      </c>
      <c r="N1043" s="3" t="n">
        <v>272.56</v>
      </c>
      <c r="O1043">
        <f>TEXT(A1043,"yyyy-mm")</f>
        <v/>
      </c>
    </row>
    <row r="1044">
      <c r="A1044" s="2" t="n">
        <v>45698</v>
      </c>
      <c r="B1044" t="n">
        <v>2025</v>
      </c>
      <c r="C1044" t="inlineStr">
        <is>
          <t>February</t>
        </is>
      </c>
      <c r="D1044" t="inlineStr">
        <is>
          <t>Smart Honey</t>
        </is>
      </c>
      <c r="E1044" t="inlineStr">
        <is>
          <t>Grocery</t>
        </is>
      </c>
      <c r="F1044" t="inlineStr">
        <is>
          <t>James Brown</t>
        </is>
      </c>
      <c r="G1044" t="inlineStr">
        <is>
          <t>France</t>
        </is>
      </c>
      <c r="H1044" t="inlineStr">
        <is>
          <t>Web Store</t>
        </is>
      </c>
      <c r="I1044" t="n">
        <v>2</v>
      </c>
      <c r="J1044" s="3" t="n">
        <v>278.58</v>
      </c>
      <c r="K1044" s="3" t="n">
        <v>0</v>
      </c>
      <c r="L1044" s="3" t="n">
        <v>278.58</v>
      </c>
      <c r="M1044" s="3" t="n">
        <v>142.88</v>
      </c>
      <c r="N1044" s="3" t="n">
        <v>135.7</v>
      </c>
      <c r="O1044">
        <f>TEXT(A1044,"yyyy-mm")</f>
        <v/>
      </c>
    </row>
    <row r="1045">
      <c r="A1045" s="2" t="n">
        <v>45698</v>
      </c>
      <c r="B1045" t="n">
        <v>2025</v>
      </c>
      <c r="C1045" t="inlineStr">
        <is>
          <t>February</t>
        </is>
      </c>
      <c r="D1045" t="inlineStr">
        <is>
          <t>Classic Yoga Mat</t>
        </is>
      </c>
      <c r="E1045" t="inlineStr">
        <is>
          <t>Sports &amp; Outdoors</t>
        </is>
      </c>
      <c r="F1045" t="inlineStr">
        <is>
          <t>James Brown</t>
        </is>
      </c>
      <c r="G1045" t="inlineStr">
        <is>
          <t>France</t>
        </is>
      </c>
      <c r="H1045" t="inlineStr">
        <is>
          <t>Web Store</t>
        </is>
      </c>
      <c r="I1045" t="n">
        <v>1</v>
      </c>
      <c r="J1045" s="3" t="n">
        <v>336.83</v>
      </c>
      <c r="K1045" s="3" t="n">
        <v>0</v>
      </c>
      <c r="L1045" s="3" t="n">
        <v>336.83</v>
      </c>
      <c r="M1045" s="3" t="n">
        <v>195.7</v>
      </c>
      <c r="N1045" s="3" t="n">
        <v>141.13</v>
      </c>
      <c r="O1045">
        <f>TEXT(A1045,"yyyy-mm")</f>
        <v/>
      </c>
    </row>
    <row r="1046">
      <c r="A1046" s="2" t="n">
        <v>45698</v>
      </c>
      <c r="B1046" t="n">
        <v>2025</v>
      </c>
      <c r="C1046" t="inlineStr">
        <is>
          <t>February</t>
        </is>
      </c>
      <c r="D1046" t="inlineStr">
        <is>
          <t>Classic Coffee Beans</t>
        </is>
      </c>
      <c r="E1046" t="inlineStr">
        <is>
          <t>Grocery</t>
        </is>
      </c>
      <c r="F1046" t="inlineStr">
        <is>
          <t>James Brown</t>
        </is>
      </c>
      <c r="G1046" t="inlineStr">
        <is>
          <t>France</t>
        </is>
      </c>
      <c r="H1046" t="inlineStr">
        <is>
          <t>Web Store</t>
        </is>
      </c>
      <c r="I1046" t="n">
        <v>1</v>
      </c>
      <c r="J1046" s="3" t="n">
        <v>320.18</v>
      </c>
      <c r="K1046" s="3" t="n">
        <v>48.03</v>
      </c>
      <c r="L1046" s="3" t="n">
        <v>272.15</v>
      </c>
      <c r="M1046" s="3" t="n">
        <v>194.76</v>
      </c>
      <c r="N1046" s="3" t="n">
        <v>77.39</v>
      </c>
      <c r="O1046">
        <f>TEXT(A1046,"yyyy-mm")</f>
        <v/>
      </c>
    </row>
    <row r="1047">
      <c r="A1047" s="2" t="n">
        <v>45698</v>
      </c>
      <c r="B1047" t="n">
        <v>2025</v>
      </c>
      <c r="C1047" t="inlineStr">
        <is>
          <t>February</t>
        </is>
      </c>
      <c r="D1047" t="inlineStr">
        <is>
          <t>Deluxe Smartwatch</t>
        </is>
      </c>
      <c r="E1047" t="inlineStr">
        <is>
          <t>Electronics</t>
        </is>
      </c>
      <c r="F1047" t="inlineStr">
        <is>
          <t>Sophie Bianchi</t>
        </is>
      </c>
      <c r="G1047" t="inlineStr">
        <is>
          <t>United States</t>
        </is>
      </c>
      <c r="H1047" t="inlineStr">
        <is>
          <t>Marketplace</t>
        </is>
      </c>
      <c r="I1047" t="n">
        <v>5</v>
      </c>
      <c r="J1047" s="3" t="n">
        <v>808.35</v>
      </c>
      <c r="K1047" s="3" t="n">
        <v>0</v>
      </c>
      <c r="L1047" s="3" t="n">
        <v>808.35</v>
      </c>
      <c r="M1047" s="3" t="n">
        <v>613.6</v>
      </c>
      <c r="N1047" s="3" t="n">
        <v>194.75</v>
      </c>
      <c r="O1047">
        <f>TEXT(A1047,"yyyy-mm")</f>
        <v/>
      </c>
    </row>
    <row r="1048">
      <c r="A1048" s="2" t="n">
        <v>45698</v>
      </c>
      <c r="B1048" t="n">
        <v>2025</v>
      </c>
      <c r="C1048" t="inlineStr">
        <is>
          <t>February</t>
        </is>
      </c>
      <c r="D1048" t="inlineStr">
        <is>
          <t>Premium Tent</t>
        </is>
      </c>
      <c r="E1048" t="inlineStr">
        <is>
          <t>Sports &amp; Outdoors</t>
        </is>
      </c>
      <c r="F1048" t="inlineStr">
        <is>
          <t>Sophie Bianchi</t>
        </is>
      </c>
      <c r="G1048" t="inlineStr">
        <is>
          <t>United States</t>
        </is>
      </c>
      <c r="H1048" t="inlineStr">
        <is>
          <t>Marketplace</t>
        </is>
      </c>
      <c r="I1048" t="n">
        <v>5</v>
      </c>
      <c r="J1048" s="3" t="n">
        <v>1254.2</v>
      </c>
      <c r="K1048" s="3" t="n">
        <v>0</v>
      </c>
      <c r="L1048" s="3" t="n">
        <v>1254.2</v>
      </c>
      <c r="M1048" s="3" t="n">
        <v>826.55</v>
      </c>
      <c r="N1048" s="3" t="n">
        <v>427.65</v>
      </c>
      <c r="O1048">
        <f>TEXT(A1048,"yyyy-mm")</f>
        <v/>
      </c>
    </row>
    <row r="1049">
      <c r="A1049" s="2" t="n">
        <v>45698</v>
      </c>
      <c r="B1049" t="n">
        <v>2025</v>
      </c>
      <c r="C1049" t="inlineStr">
        <is>
          <t>February</t>
        </is>
      </c>
      <c r="D1049" t="inlineStr">
        <is>
          <t>Essential Lamp</t>
        </is>
      </c>
      <c r="E1049" t="inlineStr">
        <is>
          <t>Home &amp; Garden</t>
        </is>
      </c>
      <c r="F1049" t="inlineStr">
        <is>
          <t>Sophie Bianchi</t>
        </is>
      </c>
      <c r="G1049" t="inlineStr">
        <is>
          <t>United States</t>
        </is>
      </c>
      <c r="H1049" t="inlineStr">
        <is>
          <t>Marketplace</t>
        </is>
      </c>
      <c r="I1049" t="n">
        <v>3</v>
      </c>
      <c r="J1049" s="3" t="n">
        <v>187.71</v>
      </c>
      <c r="K1049" s="3" t="n">
        <v>28.16</v>
      </c>
      <c r="L1049" s="3" t="n">
        <v>159.55</v>
      </c>
      <c r="M1049" s="3" t="n">
        <v>136.2</v>
      </c>
      <c r="N1049" s="3" t="n">
        <v>23.35</v>
      </c>
      <c r="O1049">
        <f>TEXT(A1049,"yyyy-mm")</f>
        <v/>
      </c>
    </row>
    <row r="1050">
      <c r="A1050" s="2" t="n">
        <v>45699</v>
      </c>
      <c r="B1050" t="n">
        <v>2025</v>
      </c>
      <c r="C1050" t="inlineStr">
        <is>
          <t>February</t>
        </is>
      </c>
      <c r="D1050" t="inlineStr">
        <is>
          <t>Portable Puzzle</t>
        </is>
      </c>
      <c r="E1050" t="inlineStr">
        <is>
          <t>Toys &amp; Games</t>
        </is>
      </c>
      <c r="F1050" t="inlineStr">
        <is>
          <t>Emily Johnson</t>
        </is>
      </c>
      <c r="G1050" t="inlineStr">
        <is>
          <t>France</t>
        </is>
      </c>
      <c r="H1050" t="inlineStr">
        <is>
          <t>Mobile App</t>
        </is>
      </c>
      <c r="I1050" t="n">
        <v>5</v>
      </c>
      <c r="J1050" s="3" t="n">
        <v>1515.9</v>
      </c>
      <c r="K1050" s="3" t="n">
        <v>303.18</v>
      </c>
      <c r="L1050" s="3" t="n">
        <v>1212.72</v>
      </c>
      <c r="M1050" s="3" t="n">
        <v>868.3</v>
      </c>
      <c r="N1050" s="3" t="n">
        <v>344.42</v>
      </c>
      <c r="O1050">
        <f>TEXT(A1050,"yyyy-mm")</f>
        <v/>
      </c>
    </row>
    <row r="1051">
      <c r="A1051" s="2" t="n">
        <v>45699</v>
      </c>
      <c r="B1051" t="n">
        <v>2025</v>
      </c>
      <c r="C1051" t="inlineStr">
        <is>
          <t>February</t>
        </is>
      </c>
      <c r="D1051" t="inlineStr">
        <is>
          <t>Essential Notebook</t>
        </is>
      </c>
      <c r="E1051" t="inlineStr">
        <is>
          <t>Books</t>
        </is>
      </c>
      <c r="F1051" t="inlineStr">
        <is>
          <t>Olivia Bianchi</t>
        </is>
      </c>
      <c r="G1051" t="inlineStr">
        <is>
          <t>United Kingdom</t>
        </is>
      </c>
      <c r="H1051" t="inlineStr">
        <is>
          <t>Web Store</t>
        </is>
      </c>
      <c r="I1051" t="n">
        <v>3</v>
      </c>
      <c r="J1051" s="3" t="n">
        <v>336.27</v>
      </c>
      <c r="K1051" s="3" t="n">
        <v>0</v>
      </c>
      <c r="L1051" s="3" t="n">
        <v>336.27</v>
      </c>
      <c r="M1051" s="3" t="n">
        <v>237.3</v>
      </c>
      <c r="N1051" s="3" t="n">
        <v>98.97</v>
      </c>
      <c r="O1051">
        <f>TEXT(A1051,"yyyy-mm")</f>
        <v/>
      </c>
    </row>
    <row r="1052">
      <c r="A1052" s="2" t="n">
        <v>45699</v>
      </c>
      <c r="B1052" t="n">
        <v>2025</v>
      </c>
      <c r="C1052" t="inlineStr">
        <is>
          <t>February</t>
        </is>
      </c>
      <c r="D1052" t="inlineStr">
        <is>
          <t>Smart Board Game</t>
        </is>
      </c>
      <c r="E1052" t="inlineStr">
        <is>
          <t>Toys &amp; Games</t>
        </is>
      </c>
      <c r="F1052" t="inlineStr">
        <is>
          <t>Olivia Bianchi</t>
        </is>
      </c>
      <c r="G1052" t="inlineStr">
        <is>
          <t>United Kingdom</t>
        </is>
      </c>
      <c r="H1052" t="inlineStr">
        <is>
          <t>Web Store</t>
        </is>
      </c>
      <c r="I1052" t="n">
        <v>4</v>
      </c>
      <c r="J1052" s="3" t="n">
        <v>534.8</v>
      </c>
      <c r="K1052" s="3" t="n">
        <v>80.22</v>
      </c>
      <c r="L1052" s="3" t="n">
        <v>454.58</v>
      </c>
      <c r="M1052" s="3" t="n">
        <v>366.88</v>
      </c>
      <c r="N1052" s="3" t="n">
        <v>87.7</v>
      </c>
      <c r="O1052">
        <f>TEXT(A1052,"yyyy-mm")</f>
        <v/>
      </c>
    </row>
    <row r="1053">
      <c r="A1053" s="2" t="n">
        <v>45699</v>
      </c>
      <c r="B1053" t="n">
        <v>2025</v>
      </c>
      <c r="C1053" t="inlineStr">
        <is>
          <t>February</t>
        </is>
      </c>
      <c r="D1053" t="inlineStr">
        <is>
          <t>Essential Charger</t>
        </is>
      </c>
      <c r="E1053" t="inlineStr">
        <is>
          <t>Electronics</t>
        </is>
      </c>
      <c r="F1053" t="inlineStr">
        <is>
          <t>Olivia Bianchi</t>
        </is>
      </c>
      <c r="G1053" t="inlineStr">
        <is>
          <t>United Kingdom</t>
        </is>
      </c>
      <c r="H1053" t="inlineStr">
        <is>
          <t>Web Store</t>
        </is>
      </c>
      <c r="I1053" t="n">
        <v>2</v>
      </c>
      <c r="J1053" s="3" t="n">
        <v>90.02</v>
      </c>
      <c r="K1053" s="3" t="n">
        <v>9</v>
      </c>
      <c r="L1053" s="3" t="n">
        <v>81.02</v>
      </c>
      <c r="M1053" s="3" t="n">
        <v>58.2</v>
      </c>
      <c r="N1053" s="3" t="n">
        <v>22.82</v>
      </c>
      <c r="O1053">
        <f>TEXT(A1053,"yyyy-mm")</f>
        <v/>
      </c>
    </row>
    <row r="1054">
      <c r="A1054" s="2" t="n">
        <v>45699</v>
      </c>
      <c r="B1054" t="n">
        <v>2025</v>
      </c>
      <c r="C1054" t="inlineStr">
        <is>
          <t>February</t>
        </is>
      </c>
      <c r="D1054" t="inlineStr">
        <is>
          <t>Portable Toolset</t>
        </is>
      </c>
      <c r="E1054" t="inlineStr">
        <is>
          <t>Home &amp; Garden</t>
        </is>
      </c>
      <c r="F1054" t="inlineStr">
        <is>
          <t>Olivia Bianchi</t>
        </is>
      </c>
      <c r="G1054" t="inlineStr">
        <is>
          <t>United Kingdom</t>
        </is>
      </c>
      <c r="H1054" t="inlineStr">
        <is>
          <t>Web Store</t>
        </is>
      </c>
      <c r="I1054" t="n">
        <v>3</v>
      </c>
      <c r="J1054" s="3" t="n">
        <v>280.71</v>
      </c>
      <c r="K1054" s="3" t="n">
        <v>0</v>
      </c>
      <c r="L1054" s="3" t="n">
        <v>280.71</v>
      </c>
      <c r="M1054" s="3" t="n">
        <v>151.62</v>
      </c>
      <c r="N1054" s="3" t="n">
        <v>129.09</v>
      </c>
      <c r="O1054">
        <f>TEXT(A1054,"yyyy-mm")</f>
        <v/>
      </c>
    </row>
    <row r="1055">
      <c r="A1055" s="2" t="n">
        <v>45699</v>
      </c>
      <c r="B1055" t="n">
        <v>2025</v>
      </c>
      <c r="C1055" t="inlineStr">
        <is>
          <t>February</t>
        </is>
      </c>
      <c r="D1055" t="inlineStr">
        <is>
          <t>Ultra Toolset</t>
        </is>
      </c>
      <c r="E1055" t="inlineStr">
        <is>
          <t>Home &amp; Garden</t>
        </is>
      </c>
      <c r="F1055" t="inlineStr">
        <is>
          <t>Nina Fischer</t>
        </is>
      </c>
      <c r="G1055" t="inlineStr">
        <is>
          <t>Netherlands</t>
        </is>
      </c>
      <c r="H1055" t="inlineStr">
        <is>
          <t>Marketplace</t>
        </is>
      </c>
      <c r="I1055" t="n">
        <v>2</v>
      </c>
      <c r="J1055" s="3" t="n">
        <v>706.62</v>
      </c>
      <c r="K1055" s="3" t="n">
        <v>35.33</v>
      </c>
      <c r="L1055" s="3" t="n">
        <v>671.29</v>
      </c>
      <c r="M1055" s="3" t="n">
        <v>380.8</v>
      </c>
      <c r="N1055" s="3" t="n">
        <v>290.49</v>
      </c>
      <c r="O1055">
        <f>TEXT(A1055,"yyyy-mm")</f>
        <v/>
      </c>
    </row>
    <row r="1056">
      <c r="A1056" s="2" t="n">
        <v>45699</v>
      </c>
      <c r="B1056" t="n">
        <v>2025</v>
      </c>
      <c r="C1056" t="inlineStr">
        <is>
          <t>February</t>
        </is>
      </c>
      <c r="D1056" t="inlineStr">
        <is>
          <t>Essential Toolset</t>
        </is>
      </c>
      <c r="E1056" t="inlineStr">
        <is>
          <t>Home &amp; Garden</t>
        </is>
      </c>
      <c r="F1056" t="inlineStr">
        <is>
          <t>Nina Fischer</t>
        </is>
      </c>
      <c r="G1056" t="inlineStr">
        <is>
          <t>Netherlands</t>
        </is>
      </c>
      <c r="H1056" t="inlineStr">
        <is>
          <t>Marketplace</t>
        </is>
      </c>
      <c r="I1056" t="n">
        <v>3</v>
      </c>
      <c r="J1056" s="3" t="n">
        <v>631.74</v>
      </c>
      <c r="K1056" s="3" t="n">
        <v>0</v>
      </c>
      <c r="L1056" s="3" t="n">
        <v>631.74</v>
      </c>
      <c r="M1056" s="3" t="n">
        <v>451.59</v>
      </c>
      <c r="N1056" s="3" t="n">
        <v>180.15</v>
      </c>
      <c r="O1056">
        <f>TEXT(A1056,"yyyy-mm")</f>
        <v/>
      </c>
    </row>
    <row r="1057">
      <c r="A1057" s="2" t="n">
        <v>45699</v>
      </c>
      <c r="B1057" t="n">
        <v>2025</v>
      </c>
      <c r="C1057" t="inlineStr">
        <is>
          <t>February</t>
        </is>
      </c>
      <c r="D1057" t="inlineStr">
        <is>
          <t>Classic Tea Set</t>
        </is>
      </c>
      <c r="E1057" t="inlineStr">
        <is>
          <t>Grocery</t>
        </is>
      </c>
      <c r="F1057" t="inlineStr">
        <is>
          <t>Nina Fischer</t>
        </is>
      </c>
      <c r="G1057" t="inlineStr">
        <is>
          <t>Netherlands</t>
        </is>
      </c>
      <c r="H1057" t="inlineStr">
        <is>
          <t>Marketplace</t>
        </is>
      </c>
      <c r="I1057" t="n">
        <v>2</v>
      </c>
      <c r="J1057" s="3" t="n">
        <v>348.34</v>
      </c>
      <c r="K1057" s="3" t="n">
        <v>0</v>
      </c>
      <c r="L1057" s="3" t="n">
        <v>348.34</v>
      </c>
      <c r="M1057" s="3" t="n">
        <v>250.8</v>
      </c>
      <c r="N1057" s="3" t="n">
        <v>97.54000000000001</v>
      </c>
      <c r="O1057">
        <f>TEXT(A1057,"yyyy-mm")</f>
        <v/>
      </c>
    </row>
    <row r="1058">
      <c r="A1058" s="2" t="n">
        <v>45699</v>
      </c>
      <c r="B1058" t="n">
        <v>2025</v>
      </c>
      <c r="C1058" t="inlineStr">
        <is>
          <t>February</t>
        </is>
      </c>
      <c r="D1058" t="inlineStr">
        <is>
          <t>Eco Biography</t>
        </is>
      </c>
      <c r="E1058" t="inlineStr">
        <is>
          <t>Books</t>
        </is>
      </c>
      <c r="F1058" t="inlineStr">
        <is>
          <t>Nina Fischer</t>
        </is>
      </c>
      <c r="G1058" t="inlineStr">
        <is>
          <t>Netherlands</t>
        </is>
      </c>
      <c r="H1058" t="inlineStr">
        <is>
          <t>Marketplace</t>
        </is>
      </c>
      <c r="I1058" t="n">
        <v>3</v>
      </c>
      <c r="J1058" s="3" t="n">
        <v>368.97</v>
      </c>
      <c r="K1058" s="3" t="n">
        <v>0</v>
      </c>
      <c r="L1058" s="3" t="n">
        <v>368.97</v>
      </c>
      <c r="M1058" s="3" t="n">
        <v>213.06</v>
      </c>
      <c r="N1058" s="3" t="n">
        <v>155.91</v>
      </c>
      <c r="O1058">
        <f>TEXT(A1058,"yyyy-mm")</f>
        <v/>
      </c>
    </row>
    <row r="1059">
      <c r="A1059" s="2" t="n">
        <v>45700</v>
      </c>
      <c r="B1059" t="n">
        <v>2025</v>
      </c>
      <c r="C1059" t="inlineStr">
        <is>
          <t>February</t>
        </is>
      </c>
      <c r="D1059" t="inlineStr">
        <is>
          <t>Essential Rug</t>
        </is>
      </c>
      <c r="E1059" t="inlineStr">
        <is>
          <t>Home &amp; Garden</t>
        </is>
      </c>
      <c r="F1059" t="inlineStr">
        <is>
          <t>Sophie Bianchi</t>
        </is>
      </c>
      <c r="G1059" t="inlineStr">
        <is>
          <t>United States</t>
        </is>
      </c>
      <c r="H1059" t="inlineStr">
        <is>
          <t>Retail Store</t>
        </is>
      </c>
      <c r="I1059" t="n">
        <v>3</v>
      </c>
      <c r="J1059" s="3" t="n">
        <v>410.97</v>
      </c>
      <c r="K1059" s="3" t="n">
        <v>0</v>
      </c>
      <c r="L1059" s="3" t="n">
        <v>410.97</v>
      </c>
      <c r="M1059" s="3" t="n">
        <v>228.99</v>
      </c>
      <c r="N1059" s="3" t="n">
        <v>181.98</v>
      </c>
      <c r="O1059">
        <f>TEXT(A1059,"yyyy-mm")</f>
        <v/>
      </c>
    </row>
    <row r="1060">
      <c r="A1060" s="2" t="n">
        <v>45700</v>
      </c>
      <c r="B1060" t="n">
        <v>2025</v>
      </c>
      <c r="C1060" t="inlineStr">
        <is>
          <t>February</t>
        </is>
      </c>
      <c r="D1060" t="inlineStr">
        <is>
          <t>Portable Speaker</t>
        </is>
      </c>
      <c r="E1060" t="inlineStr">
        <is>
          <t>Electronics</t>
        </is>
      </c>
      <c r="F1060" t="inlineStr">
        <is>
          <t>Sophie Bianchi</t>
        </is>
      </c>
      <c r="G1060" t="inlineStr">
        <is>
          <t>United States</t>
        </is>
      </c>
      <c r="H1060" t="inlineStr">
        <is>
          <t>Retail Store</t>
        </is>
      </c>
      <c r="I1060" t="n">
        <v>2</v>
      </c>
      <c r="J1060" s="3" t="n">
        <v>656.62</v>
      </c>
      <c r="K1060" s="3" t="n">
        <v>32.83</v>
      </c>
      <c r="L1060" s="3" t="n">
        <v>623.79</v>
      </c>
      <c r="M1060" s="3" t="n">
        <v>349.66</v>
      </c>
      <c r="N1060" s="3" t="n">
        <v>274.13</v>
      </c>
      <c r="O1060">
        <f>TEXT(A1060,"yyyy-mm")</f>
        <v/>
      </c>
    </row>
    <row r="1061">
      <c r="A1061" s="2" t="n">
        <v>45700</v>
      </c>
      <c r="B1061" t="n">
        <v>2025</v>
      </c>
      <c r="C1061" t="inlineStr">
        <is>
          <t>February</t>
        </is>
      </c>
      <c r="D1061" t="inlineStr">
        <is>
          <t>Ultra Toolset</t>
        </is>
      </c>
      <c r="E1061" t="inlineStr">
        <is>
          <t>Home &amp; Garden</t>
        </is>
      </c>
      <c r="F1061" t="inlineStr">
        <is>
          <t>Sophie Bianchi</t>
        </is>
      </c>
      <c r="G1061" t="inlineStr">
        <is>
          <t>United States</t>
        </is>
      </c>
      <c r="H1061" t="inlineStr">
        <is>
          <t>Retail Store</t>
        </is>
      </c>
      <c r="I1061" t="n">
        <v>5</v>
      </c>
      <c r="J1061" s="3" t="n">
        <v>1785.7</v>
      </c>
      <c r="K1061" s="3" t="n">
        <v>267.85</v>
      </c>
      <c r="L1061" s="3" t="n">
        <v>1517.84</v>
      </c>
      <c r="M1061" s="3" t="n">
        <v>952</v>
      </c>
      <c r="N1061" s="3" t="n">
        <v>565.84</v>
      </c>
      <c r="O1061">
        <f>TEXT(A1061,"yyyy-mm")</f>
        <v/>
      </c>
    </row>
    <row r="1062">
      <c r="A1062" s="2" t="n">
        <v>45700</v>
      </c>
      <c r="B1062" t="n">
        <v>2025</v>
      </c>
      <c r="C1062" t="inlineStr">
        <is>
          <t>February</t>
        </is>
      </c>
      <c r="D1062" t="inlineStr">
        <is>
          <t>Smart Face Cream</t>
        </is>
      </c>
      <c r="E1062" t="inlineStr">
        <is>
          <t>Beauty &amp; Health</t>
        </is>
      </c>
      <c r="F1062" t="inlineStr">
        <is>
          <t>Sophie Bianchi</t>
        </is>
      </c>
      <c r="G1062" t="inlineStr">
        <is>
          <t>United States</t>
        </is>
      </c>
      <c r="H1062" t="inlineStr">
        <is>
          <t>Retail Store</t>
        </is>
      </c>
      <c r="I1062" t="n">
        <v>5</v>
      </c>
      <c r="J1062" s="3" t="n">
        <v>1383.4</v>
      </c>
      <c r="K1062" s="3" t="n">
        <v>276.68</v>
      </c>
      <c r="L1062" s="3" t="n">
        <v>1106.72</v>
      </c>
      <c r="M1062" s="3" t="n">
        <v>965.7</v>
      </c>
      <c r="N1062" s="3" t="n">
        <v>141.02</v>
      </c>
      <c r="O1062">
        <f>TEXT(A1062,"yyyy-mm")</f>
        <v/>
      </c>
    </row>
    <row r="1063">
      <c r="A1063" s="2" t="n">
        <v>45700</v>
      </c>
      <c r="B1063" t="n">
        <v>2025</v>
      </c>
      <c r="C1063" t="inlineStr">
        <is>
          <t>February</t>
        </is>
      </c>
      <c r="D1063" t="inlineStr">
        <is>
          <t>Ultra Rug</t>
        </is>
      </c>
      <c r="E1063" t="inlineStr">
        <is>
          <t>Home &amp; Garden</t>
        </is>
      </c>
      <c r="F1063" t="inlineStr">
        <is>
          <t>Maria Bianchi</t>
        </is>
      </c>
      <c r="G1063" t="inlineStr">
        <is>
          <t>France</t>
        </is>
      </c>
      <c r="H1063" t="inlineStr">
        <is>
          <t>Mobile App</t>
        </is>
      </c>
      <c r="I1063" t="n">
        <v>1</v>
      </c>
      <c r="J1063" s="3" t="n">
        <v>50.07</v>
      </c>
      <c r="K1063" s="3" t="n">
        <v>2.5</v>
      </c>
      <c r="L1063" s="3" t="n">
        <v>47.57</v>
      </c>
      <c r="M1063" s="3" t="n">
        <v>32.91</v>
      </c>
      <c r="N1063" s="3" t="n">
        <v>14.66</v>
      </c>
      <c r="O1063">
        <f>TEXT(A1063,"yyyy-mm")</f>
        <v/>
      </c>
    </row>
    <row r="1064">
      <c r="A1064" s="2" t="n">
        <v>45700</v>
      </c>
      <c r="B1064" t="n">
        <v>2025</v>
      </c>
      <c r="C1064" t="inlineStr">
        <is>
          <t>February</t>
        </is>
      </c>
      <c r="D1064" t="inlineStr">
        <is>
          <t>Smart Charger</t>
        </is>
      </c>
      <c r="E1064" t="inlineStr">
        <is>
          <t>Electronics</t>
        </is>
      </c>
      <c r="F1064" t="inlineStr">
        <is>
          <t>Anna Smith</t>
        </is>
      </c>
      <c r="G1064" t="inlineStr">
        <is>
          <t>Germany</t>
        </is>
      </c>
      <c r="H1064" t="inlineStr">
        <is>
          <t>Retail Store</t>
        </is>
      </c>
      <c r="I1064" t="n">
        <v>5</v>
      </c>
      <c r="J1064" s="3" t="n">
        <v>194.15</v>
      </c>
      <c r="K1064" s="3" t="n">
        <v>29.12</v>
      </c>
      <c r="L1064" s="3" t="n">
        <v>165.03</v>
      </c>
      <c r="M1064" s="3" t="n">
        <v>138.2</v>
      </c>
      <c r="N1064" s="3" t="n">
        <v>26.83</v>
      </c>
      <c r="O1064">
        <f>TEXT(A1064,"yyyy-mm")</f>
        <v/>
      </c>
    </row>
    <row r="1065">
      <c r="A1065" s="2" t="n">
        <v>45700</v>
      </c>
      <c r="B1065" t="n">
        <v>2025</v>
      </c>
      <c r="C1065" t="inlineStr">
        <is>
          <t>February</t>
        </is>
      </c>
      <c r="D1065" t="inlineStr">
        <is>
          <t>Deluxe Puzzle</t>
        </is>
      </c>
      <c r="E1065" t="inlineStr">
        <is>
          <t>Toys &amp; Games</t>
        </is>
      </c>
      <c r="F1065" t="inlineStr">
        <is>
          <t>Maria Bianchi</t>
        </is>
      </c>
      <c r="G1065" t="inlineStr">
        <is>
          <t>France</t>
        </is>
      </c>
      <c r="H1065" t="inlineStr">
        <is>
          <t>Mobile App</t>
        </is>
      </c>
      <c r="I1065" t="n">
        <v>1</v>
      </c>
      <c r="J1065" s="3" t="n">
        <v>200.98</v>
      </c>
      <c r="K1065" s="3" t="n">
        <v>40.2</v>
      </c>
      <c r="L1065" s="3" t="n">
        <v>160.78</v>
      </c>
      <c r="M1065" s="3" t="n">
        <v>111.17</v>
      </c>
      <c r="N1065" s="3" t="n">
        <v>49.61</v>
      </c>
      <c r="O1065">
        <f>TEXT(A1065,"yyyy-mm")</f>
        <v/>
      </c>
    </row>
    <row r="1066">
      <c r="A1066" s="2" t="n">
        <v>45700</v>
      </c>
      <c r="B1066" t="n">
        <v>2025</v>
      </c>
      <c r="C1066" t="inlineStr">
        <is>
          <t>February</t>
        </is>
      </c>
      <c r="D1066" t="inlineStr">
        <is>
          <t>Premium Rug</t>
        </is>
      </c>
      <c r="E1066" t="inlineStr">
        <is>
          <t>Home &amp; Garden</t>
        </is>
      </c>
      <c r="F1066" t="inlineStr">
        <is>
          <t>Maria Bianchi</t>
        </is>
      </c>
      <c r="G1066" t="inlineStr">
        <is>
          <t>France</t>
        </is>
      </c>
      <c r="H1066" t="inlineStr">
        <is>
          <t>Mobile App</t>
        </is>
      </c>
      <c r="I1066" t="n">
        <v>4</v>
      </c>
      <c r="J1066" s="3" t="n">
        <v>780.8</v>
      </c>
      <c r="K1066" s="3" t="n">
        <v>156.16</v>
      </c>
      <c r="L1066" s="3" t="n">
        <v>624.64</v>
      </c>
      <c r="M1066" s="3" t="n">
        <v>444.76</v>
      </c>
      <c r="N1066" s="3" t="n">
        <v>179.88</v>
      </c>
      <c r="O1066">
        <f>TEXT(A1066,"yyyy-mm")</f>
        <v/>
      </c>
    </row>
    <row r="1067">
      <c r="A1067" s="2" t="n">
        <v>45701</v>
      </c>
      <c r="B1067" t="n">
        <v>2025</v>
      </c>
      <c r="C1067" t="inlineStr">
        <is>
          <t>February</t>
        </is>
      </c>
      <c r="D1067" t="inlineStr">
        <is>
          <t>Deluxe Toolset</t>
        </is>
      </c>
      <c r="E1067" t="inlineStr">
        <is>
          <t>Home &amp; Garden</t>
        </is>
      </c>
      <c r="F1067" t="inlineStr">
        <is>
          <t>Michael Moreau</t>
        </is>
      </c>
      <c r="G1067" t="inlineStr">
        <is>
          <t>United States</t>
        </is>
      </c>
      <c r="H1067" t="inlineStr">
        <is>
          <t>Marketplace</t>
        </is>
      </c>
      <c r="I1067" t="n">
        <v>4</v>
      </c>
      <c r="J1067" s="3" t="n">
        <v>258.88</v>
      </c>
      <c r="K1067" s="3" t="n">
        <v>0</v>
      </c>
      <c r="L1067" s="3" t="n">
        <v>258.88</v>
      </c>
      <c r="M1067" s="3" t="n">
        <v>190.84</v>
      </c>
      <c r="N1067" s="3" t="n">
        <v>68.04000000000001</v>
      </c>
      <c r="O1067">
        <f>TEXT(A1067,"yyyy-mm")</f>
        <v/>
      </c>
    </row>
    <row r="1068">
      <c r="A1068" s="2" t="n">
        <v>45701</v>
      </c>
      <c r="B1068" t="n">
        <v>2025</v>
      </c>
      <c r="C1068" t="inlineStr">
        <is>
          <t>February</t>
        </is>
      </c>
      <c r="D1068" t="inlineStr">
        <is>
          <t>Essential Charger</t>
        </is>
      </c>
      <c r="E1068" t="inlineStr">
        <is>
          <t>Electronics</t>
        </is>
      </c>
      <c r="F1068" t="inlineStr">
        <is>
          <t>Michael Moreau</t>
        </is>
      </c>
      <c r="G1068" t="inlineStr">
        <is>
          <t>United States</t>
        </is>
      </c>
      <c r="H1068" t="inlineStr">
        <is>
          <t>Marketplace</t>
        </is>
      </c>
      <c r="I1068" t="n">
        <v>4</v>
      </c>
      <c r="J1068" s="3" t="n">
        <v>183.88</v>
      </c>
      <c r="K1068" s="3" t="n">
        <v>0</v>
      </c>
      <c r="L1068" s="3" t="n">
        <v>183.88</v>
      </c>
      <c r="M1068" s="3" t="n">
        <v>116.4</v>
      </c>
      <c r="N1068" s="3" t="n">
        <v>67.48</v>
      </c>
      <c r="O1068">
        <f>TEXT(A1068,"yyyy-mm")</f>
        <v/>
      </c>
    </row>
    <row r="1069">
      <c r="A1069" s="2" t="n">
        <v>45701</v>
      </c>
      <c r="B1069" t="n">
        <v>2025</v>
      </c>
      <c r="C1069" t="inlineStr">
        <is>
          <t>February</t>
        </is>
      </c>
      <c r="D1069" t="inlineStr">
        <is>
          <t>Smart Coffee Beans</t>
        </is>
      </c>
      <c r="E1069" t="inlineStr">
        <is>
          <t>Grocery</t>
        </is>
      </c>
      <c r="F1069" t="inlineStr">
        <is>
          <t>Michael Moreau</t>
        </is>
      </c>
      <c r="G1069" t="inlineStr">
        <is>
          <t>United States</t>
        </is>
      </c>
      <c r="H1069" t="inlineStr">
        <is>
          <t>Marketplace</t>
        </is>
      </c>
      <c r="I1069" t="n">
        <v>4</v>
      </c>
      <c r="J1069" s="3" t="n">
        <v>417.56</v>
      </c>
      <c r="K1069" s="3" t="n">
        <v>41.76</v>
      </c>
      <c r="L1069" s="3" t="n">
        <v>375.8</v>
      </c>
      <c r="M1069" s="3" t="n">
        <v>291.4</v>
      </c>
      <c r="N1069" s="3" t="n">
        <v>84.40000000000001</v>
      </c>
      <c r="O1069">
        <f>TEXT(A1069,"yyyy-mm")</f>
        <v/>
      </c>
    </row>
    <row r="1070">
      <c r="A1070" s="2" t="n">
        <v>45701</v>
      </c>
      <c r="B1070" t="n">
        <v>2025</v>
      </c>
      <c r="C1070" t="inlineStr">
        <is>
          <t>February</t>
        </is>
      </c>
      <c r="D1070" t="inlineStr">
        <is>
          <t>Smart Honey</t>
        </is>
      </c>
      <c r="E1070" t="inlineStr">
        <is>
          <t>Grocery</t>
        </is>
      </c>
      <c r="F1070" t="inlineStr">
        <is>
          <t>Olivia Conti</t>
        </is>
      </c>
      <c r="G1070" t="inlineStr">
        <is>
          <t>France</t>
        </is>
      </c>
      <c r="H1070" t="inlineStr">
        <is>
          <t>Marketplace</t>
        </is>
      </c>
      <c r="I1070" t="n">
        <v>2</v>
      </c>
      <c r="J1070" s="3" t="n">
        <v>256.16</v>
      </c>
      <c r="K1070" s="3" t="n">
        <v>0</v>
      </c>
      <c r="L1070" s="3" t="n">
        <v>256.16</v>
      </c>
      <c r="M1070" s="3" t="n">
        <v>142.88</v>
      </c>
      <c r="N1070" s="3" t="n">
        <v>113.28</v>
      </c>
      <c r="O1070">
        <f>TEXT(A1070,"yyyy-mm")</f>
        <v/>
      </c>
    </row>
    <row r="1071">
      <c r="A1071" s="2" t="n">
        <v>45701</v>
      </c>
      <c r="B1071" t="n">
        <v>2025</v>
      </c>
      <c r="C1071" t="inlineStr">
        <is>
          <t>February</t>
        </is>
      </c>
      <c r="D1071" t="inlineStr">
        <is>
          <t>Classic Tea Set</t>
        </is>
      </c>
      <c r="E1071" t="inlineStr">
        <is>
          <t>Grocery</t>
        </is>
      </c>
      <c r="F1071" t="inlineStr">
        <is>
          <t>Olivia Conti</t>
        </is>
      </c>
      <c r="G1071" t="inlineStr">
        <is>
          <t>France</t>
        </is>
      </c>
      <c r="H1071" t="inlineStr">
        <is>
          <t>Marketplace</t>
        </is>
      </c>
      <c r="I1071" t="n">
        <v>5</v>
      </c>
      <c r="J1071" s="3" t="n">
        <v>862.8</v>
      </c>
      <c r="K1071" s="3" t="n">
        <v>129.42</v>
      </c>
      <c r="L1071" s="3" t="n">
        <v>733.38</v>
      </c>
      <c r="M1071" s="3" t="n">
        <v>627</v>
      </c>
      <c r="N1071" s="3" t="n">
        <v>106.38</v>
      </c>
      <c r="O1071">
        <f>TEXT(A1071,"yyyy-mm")</f>
        <v/>
      </c>
    </row>
    <row r="1072">
      <c r="A1072" s="2" t="n">
        <v>45701</v>
      </c>
      <c r="B1072" t="n">
        <v>2025</v>
      </c>
      <c r="C1072" t="inlineStr">
        <is>
          <t>February</t>
        </is>
      </c>
      <c r="D1072" t="inlineStr">
        <is>
          <t>Classic Tent</t>
        </is>
      </c>
      <c r="E1072" t="inlineStr">
        <is>
          <t>Sports &amp; Outdoors</t>
        </is>
      </c>
      <c r="F1072" t="inlineStr">
        <is>
          <t>Olivia Conti</t>
        </is>
      </c>
      <c r="G1072" t="inlineStr">
        <is>
          <t>France</t>
        </is>
      </c>
      <c r="H1072" t="inlineStr">
        <is>
          <t>Marketplace</t>
        </is>
      </c>
      <c r="I1072" t="n">
        <v>5</v>
      </c>
      <c r="J1072" s="3" t="n">
        <v>1061.65</v>
      </c>
      <c r="K1072" s="3" t="n">
        <v>0</v>
      </c>
      <c r="L1072" s="3" t="n">
        <v>1061.65</v>
      </c>
      <c r="M1072" s="3" t="n">
        <v>590.1</v>
      </c>
      <c r="N1072" s="3" t="n">
        <v>471.55</v>
      </c>
      <c r="O1072">
        <f>TEXT(A1072,"yyyy-mm")</f>
        <v/>
      </c>
    </row>
    <row r="1073">
      <c r="A1073" s="2" t="n">
        <v>45701</v>
      </c>
      <c r="B1073" t="n">
        <v>2025</v>
      </c>
      <c r="C1073" t="inlineStr">
        <is>
          <t>February</t>
        </is>
      </c>
      <c r="D1073" t="inlineStr">
        <is>
          <t>Classic Atlas</t>
        </is>
      </c>
      <c r="E1073" t="inlineStr">
        <is>
          <t>Books</t>
        </is>
      </c>
      <c r="F1073" t="inlineStr">
        <is>
          <t>Sophie Nowak</t>
        </is>
      </c>
      <c r="G1073" t="inlineStr">
        <is>
          <t>Germany</t>
        </is>
      </c>
      <c r="H1073" t="inlineStr">
        <is>
          <t>Retail Store</t>
        </is>
      </c>
      <c r="I1073" t="n">
        <v>2</v>
      </c>
      <c r="J1073" s="3" t="n">
        <v>117.94</v>
      </c>
      <c r="K1073" s="3" t="n">
        <v>5.9</v>
      </c>
      <c r="L1073" s="3" t="n">
        <v>112.04</v>
      </c>
      <c r="M1073" s="3" t="n">
        <v>69.18000000000001</v>
      </c>
      <c r="N1073" s="3" t="n">
        <v>42.86</v>
      </c>
      <c r="O1073">
        <f>TEXT(A1073,"yyyy-mm")</f>
        <v/>
      </c>
    </row>
    <row r="1074">
      <c r="A1074" s="2" t="n">
        <v>45701</v>
      </c>
      <c r="B1074" t="n">
        <v>2025</v>
      </c>
      <c r="C1074" t="inlineStr">
        <is>
          <t>February</t>
        </is>
      </c>
      <c r="D1074" t="inlineStr">
        <is>
          <t>Classic Tent</t>
        </is>
      </c>
      <c r="E1074" t="inlineStr">
        <is>
          <t>Sports &amp; Outdoors</t>
        </is>
      </c>
      <c r="F1074" t="inlineStr">
        <is>
          <t>Emily Garcia</t>
        </is>
      </c>
      <c r="G1074" t="inlineStr">
        <is>
          <t>Germany</t>
        </is>
      </c>
      <c r="H1074" t="inlineStr">
        <is>
          <t>Mobile App</t>
        </is>
      </c>
      <c r="I1074" t="n">
        <v>2</v>
      </c>
      <c r="J1074" s="3" t="n">
        <v>405.74</v>
      </c>
      <c r="K1074" s="3" t="n">
        <v>0</v>
      </c>
      <c r="L1074" s="3" t="n">
        <v>405.74</v>
      </c>
      <c r="M1074" s="3" t="n">
        <v>236.04</v>
      </c>
      <c r="N1074" s="3" t="n">
        <v>169.7</v>
      </c>
      <c r="O1074">
        <f>TEXT(A1074,"yyyy-mm")</f>
        <v/>
      </c>
    </row>
    <row r="1075">
      <c r="A1075" s="2" t="n">
        <v>45701</v>
      </c>
      <c r="B1075" t="n">
        <v>2025</v>
      </c>
      <c r="C1075" t="inlineStr">
        <is>
          <t>February</t>
        </is>
      </c>
      <c r="D1075" t="inlineStr">
        <is>
          <t>Premium Water Bottle</t>
        </is>
      </c>
      <c r="E1075" t="inlineStr">
        <is>
          <t>Sports &amp; Outdoors</t>
        </is>
      </c>
      <c r="F1075" t="inlineStr">
        <is>
          <t>Emily Garcia</t>
        </is>
      </c>
      <c r="G1075" t="inlineStr">
        <is>
          <t>Germany</t>
        </is>
      </c>
      <c r="H1075" t="inlineStr">
        <is>
          <t>Mobile App</t>
        </is>
      </c>
      <c r="I1075" t="n">
        <v>1</v>
      </c>
      <c r="J1075" s="3" t="n">
        <v>29.29</v>
      </c>
      <c r="K1075" s="3" t="n">
        <v>0</v>
      </c>
      <c r="L1075" s="3" t="n">
        <v>29.29</v>
      </c>
      <c r="M1075" s="3" t="n">
        <v>16.63</v>
      </c>
      <c r="N1075" s="3" t="n">
        <v>12.66</v>
      </c>
      <c r="O1075">
        <f>TEXT(A1075,"yyyy-mm")</f>
        <v/>
      </c>
    </row>
    <row r="1076">
      <c r="A1076" s="2" t="n">
        <v>45701</v>
      </c>
      <c r="B1076" t="n">
        <v>2025</v>
      </c>
      <c r="C1076" t="inlineStr">
        <is>
          <t>February</t>
        </is>
      </c>
      <c r="D1076" t="inlineStr">
        <is>
          <t>Deluxe Puzzle</t>
        </is>
      </c>
      <c r="E1076" t="inlineStr">
        <is>
          <t>Toys &amp; Games</t>
        </is>
      </c>
      <c r="F1076" t="inlineStr">
        <is>
          <t>Emily Garcia</t>
        </is>
      </c>
      <c r="G1076" t="inlineStr">
        <is>
          <t>Germany</t>
        </is>
      </c>
      <c r="H1076" t="inlineStr">
        <is>
          <t>Mobile App</t>
        </is>
      </c>
      <c r="I1076" t="n">
        <v>5</v>
      </c>
      <c r="J1076" s="3" t="n">
        <v>1011.35</v>
      </c>
      <c r="K1076" s="3" t="n">
        <v>50.57</v>
      </c>
      <c r="L1076" s="3" t="n">
        <v>960.78</v>
      </c>
      <c r="M1076" s="3" t="n">
        <v>555.85</v>
      </c>
      <c r="N1076" s="3" t="n">
        <v>404.93</v>
      </c>
      <c r="O1076">
        <f>TEXT(A1076,"yyyy-mm")</f>
        <v/>
      </c>
    </row>
    <row r="1077">
      <c r="A1077" s="2" t="n">
        <v>45701</v>
      </c>
      <c r="B1077" t="n">
        <v>2025</v>
      </c>
      <c r="C1077" t="inlineStr">
        <is>
          <t>February</t>
        </is>
      </c>
      <c r="D1077" t="inlineStr">
        <is>
          <t>Ultra Backpack</t>
        </is>
      </c>
      <c r="E1077" t="inlineStr">
        <is>
          <t>Sports &amp; Outdoors</t>
        </is>
      </c>
      <c r="F1077" t="inlineStr">
        <is>
          <t>Sophie Nowak</t>
        </is>
      </c>
      <c r="G1077" t="inlineStr">
        <is>
          <t>Germany</t>
        </is>
      </c>
      <c r="H1077" t="inlineStr">
        <is>
          <t>Retail Store</t>
        </is>
      </c>
      <c r="I1077" t="n">
        <v>5</v>
      </c>
      <c r="J1077" s="3" t="n">
        <v>1588.5</v>
      </c>
      <c r="K1077" s="3" t="n">
        <v>79.43000000000001</v>
      </c>
      <c r="L1077" s="3" t="n">
        <v>1509.08</v>
      </c>
      <c r="M1077" s="3" t="n">
        <v>868.45</v>
      </c>
      <c r="N1077" s="3" t="n">
        <v>640.62</v>
      </c>
      <c r="O1077">
        <f>TEXT(A1077,"yyyy-mm")</f>
        <v/>
      </c>
    </row>
    <row r="1078">
      <c r="A1078" s="2" t="n">
        <v>45701</v>
      </c>
      <c r="B1078" t="n">
        <v>2025</v>
      </c>
      <c r="C1078" t="inlineStr">
        <is>
          <t>February</t>
        </is>
      </c>
      <c r="D1078" t="inlineStr">
        <is>
          <t>Smart Puzzle</t>
        </is>
      </c>
      <c r="E1078" t="inlineStr">
        <is>
          <t>Toys &amp; Games</t>
        </is>
      </c>
      <c r="F1078" t="inlineStr">
        <is>
          <t>Sophie Nowak</t>
        </is>
      </c>
      <c r="G1078" t="inlineStr">
        <is>
          <t>Germany</t>
        </is>
      </c>
      <c r="H1078" t="inlineStr">
        <is>
          <t>Retail Store</t>
        </is>
      </c>
      <c r="I1078" t="n">
        <v>2</v>
      </c>
      <c r="J1078" s="3" t="n">
        <v>93.3</v>
      </c>
      <c r="K1078" s="3" t="n">
        <v>0</v>
      </c>
      <c r="L1078" s="3" t="n">
        <v>93.3</v>
      </c>
      <c r="M1078" s="3" t="n">
        <v>48.88</v>
      </c>
      <c r="N1078" s="3" t="n">
        <v>44.42</v>
      </c>
      <c r="O1078">
        <f>TEXT(A1078,"yyyy-mm")</f>
        <v/>
      </c>
    </row>
    <row r="1079">
      <c r="A1079" s="2" t="n">
        <v>45702</v>
      </c>
      <c r="B1079" t="n">
        <v>2025</v>
      </c>
      <c r="C1079" t="inlineStr">
        <is>
          <t>February</t>
        </is>
      </c>
      <c r="D1079" t="inlineStr">
        <is>
          <t>Essential Notebook</t>
        </is>
      </c>
      <c r="E1079" t="inlineStr">
        <is>
          <t>Books</t>
        </is>
      </c>
      <c r="F1079" t="inlineStr">
        <is>
          <t>Maria Nowak</t>
        </is>
      </c>
      <c r="G1079" t="inlineStr">
        <is>
          <t>Poland</t>
        </is>
      </c>
      <c r="H1079" t="inlineStr">
        <is>
          <t>Web Store</t>
        </is>
      </c>
      <c r="I1079" t="n">
        <v>4</v>
      </c>
      <c r="J1079" s="3" t="n">
        <v>488.32</v>
      </c>
      <c r="K1079" s="3" t="n">
        <v>0</v>
      </c>
      <c r="L1079" s="3" t="n">
        <v>488.32</v>
      </c>
      <c r="M1079" s="3" t="n">
        <v>316.4</v>
      </c>
      <c r="N1079" s="3" t="n">
        <v>171.92</v>
      </c>
      <c r="O1079">
        <f>TEXT(A1079,"yyyy-mm")</f>
        <v/>
      </c>
    </row>
    <row r="1080">
      <c r="A1080" s="2" t="n">
        <v>45702</v>
      </c>
      <c r="B1080" t="n">
        <v>2025</v>
      </c>
      <c r="C1080" t="inlineStr">
        <is>
          <t>February</t>
        </is>
      </c>
      <c r="D1080" t="inlineStr">
        <is>
          <t>Wireless Cookbook</t>
        </is>
      </c>
      <c r="E1080" t="inlineStr">
        <is>
          <t>Books</t>
        </is>
      </c>
      <c r="F1080" t="inlineStr">
        <is>
          <t>Mark Wilson</t>
        </is>
      </c>
      <c r="G1080" t="inlineStr">
        <is>
          <t>Italy</t>
        </is>
      </c>
      <c r="H1080" t="inlineStr">
        <is>
          <t>Web Store</t>
        </is>
      </c>
      <c r="I1080" t="n">
        <v>5</v>
      </c>
      <c r="J1080" s="3" t="n">
        <v>396.05</v>
      </c>
      <c r="K1080" s="3" t="n">
        <v>0</v>
      </c>
      <c r="L1080" s="3" t="n">
        <v>396.05</v>
      </c>
      <c r="M1080" s="3" t="n">
        <v>283.05</v>
      </c>
      <c r="N1080" s="3" t="n">
        <v>113</v>
      </c>
      <c r="O1080">
        <f>TEXT(A1080,"yyyy-mm")</f>
        <v/>
      </c>
    </row>
    <row r="1081">
      <c r="A1081" s="2" t="n">
        <v>45702</v>
      </c>
      <c r="B1081" t="n">
        <v>2025</v>
      </c>
      <c r="C1081" t="inlineStr">
        <is>
          <t>February</t>
        </is>
      </c>
      <c r="D1081" t="inlineStr">
        <is>
          <t>Smart Olive Oil</t>
        </is>
      </c>
      <c r="E1081" t="inlineStr">
        <is>
          <t>Grocery</t>
        </is>
      </c>
      <c r="F1081" t="inlineStr">
        <is>
          <t>Mark Wilson</t>
        </is>
      </c>
      <c r="G1081" t="inlineStr">
        <is>
          <t>Italy</t>
        </is>
      </c>
      <c r="H1081" t="inlineStr">
        <is>
          <t>Web Store</t>
        </is>
      </c>
      <c r="I1081" t="n">
        <v>2</v>
      </c>
      <c r="J1081" s="3" t="n">
        <v>340.3</v>
      </c>
      <c r="K1081" s="3" t="n">
        <v>68.06</v>
      </c>
      <c r="L1081" s="3" t="n">
        <v>272.24</v>
      </c>
      <c r="M1081" s="3" t="n">
        <v>220.04</v>
      </c>
      <c r="N1081" s="3" t="n">
        <v>52.2</v>
      </c>
      <c r="O1081">
        <f>TEXT(A1081,"yyyy-mm")</f>
        <v/>
      </c>
    </row>
    <row r="1082">
      <c r="A1082" s="2" t="n">
        <v>45702</v>
      </c>
      <c r="B1082" t="n">
        <v>2025</v>
      </c>
      <c r="C1082" t="inlineStr">
        <is>
          <t>February</t>
        </is>
      </c>
      <c r="D1082" t="inlineStr">
        <is>
          <t>Eco Planter</t>
        </is>
      </c>
      <c r="E1082" t="inlineStr">
        <is>
          <t>Home &amp; Garden</t>
        </is>
      </c>
      <c r="F1082" t="inlineStr">
        <is>
          <t>Mark Wilson</t>
        </is>
      </c>
      <c r="G1082" t="inlineStr">
        <is>
          <t>Italy</t>
        </is>
      </c>
      <c r="H1082" t="inlineStr">
        <is>
          <t>Web Store</t>
        </is>
      </c>
      <c r="I1082" t="n">
        <v>5</v>
      </c>
      <c r="J1082" s="3" t="n">
        <v>938.15</v>
      </c>
      <c r="K1082" s="3" t="n">
        <v>46.91</v>
      </c>
      <c r="L1082" s="3" t="n">
        <v>891.24</v>
      </c>
      <c r="M1082" s="3" t="n">
        <v>562.05</v>
      </c>
      <c r="N1082" s="3" t="n">
        <v>329.19</v>
      </c>
      <c r="O1082">
        <f>TEXT(A1082,"yyyy-mm")</f>
        <v/>
      </c>
    </row>
    <row r="1083">
      <c r="A1083" s="2" t="n">
        <v>45702</v>
      </c>
      <c r="B1083" t="n">
        <v>2025</v>
      </c>
      <c r="C1083" t="inlineStr">
        <is>
          <t>February</t>
        </is>
      </c>
      <c r="D1083" t="inlineStr">
        <is>
          <t>Eco Tent</t>
        </is>
      </c>
      <c r="E1083" t="inlineStr">
        <is>
          <t>Sports &amp; Outdoors</t>
        </is>
      </c>
      <c r="F1083" t="inlineStr">
        <is>
          <t>Mark Wilson</t>
        </is>
      </c>
      <c r="G1083" t="inlineStr">
        <is>
          <t>Italy</t>
        </is>
      </c>
      <c r="H1083" t="inlineStr">
        <is>
          <t>Web Store</t>
        </is>
      </c>
      <c r="I1083" t="n">
        <v>3</v>
      </c>
      <c r="J1083" s="3" t="n">
        <v>717.78</v>
      </c>
      <c r="K1083" s="3" t="n">
        <v>0</v>
      </c>
      <c r="L1083" s="3" t="n">
        <v>717.78</v>
      </c>
      <c r="M1083" s="3" t="n">
        <v>405.09</v>
      </c>
      <c r="N1083" s="3" t="n">
        <v>312.69</v>
      </c>
      <c r="O1083">
        <f>TEXT(A1083,"yyyy-mm")</f>
        <v/>
      </c>
    </row>
    <row r="1084">
      <c r="A1084" s="2" t="n">
        <v>45702</v>
      </c>
      <c r="B1084" t="n">
        <v>2025</v>
      </c>
      <c r="C1084" t="inlineStr">
        <is>
          <t>February</t>
        </is>
      </c>
      <c r="D1084" t="inlineStr">
        <is>
          <t>Portable Tea Set</t>
        </is>
      </c>
      <c r="E1084" t="inlineStr">
        <is>
          <t>Grocery</t>
        </is>
      </c>
      <c r="F1084" t="inlineStr">
        <is>
          <t>Maria Nowak</t>
        </is>
      </c>
      <c r="G1084" t="inlineStr">
        <is>
          <t>Poland</t>
        </is>
      </c>
      <c r="H1084" t="inlineStr">
        <is>
          <t>Web Store</t>
        </is>
      </c>
      <c r="I1084" t="n">
        <v>4</v>
      </c>
      <c r="J1084" s="3" t="n">
        <v>1117.92</v>
      </c>
      <c r="K1084" s="3" t="n">
        <v>111.79</v>
      </c>
      <c r="L1084" s="3" t="n">
        <v>1006.13</v>
      </c>
      <c r="M1084" s="3" t="n">
        <v>752.48</v>
      </c>
      <c r="N1084" s="3" t="n">
        <v>253.65</v>
      </c>
      <c r="O1084">
        <f>TEXT(A1084,"yyyy-mm")</f>
        <v/>
      </c>
    </row>
    <row r="1085">
      <c r="A1085" s="2" t="n">
        <v>45702</v>
      </c>
      <c r="B1085" t="n">
        <v>2025</v>
      </c>
      <c r="C1085" t="inlineStr">
        <is>
          <t>February</t>
        </is>
      </c>
      <c r="D1085" t="inlineStr">
        <is>
          <t>Deluxe Scarf</t>
        </is>
      </c>
      <c r="E1085" t="inlineStr">
        <is>
          <t>Clothing</t>
        </is>
      </c>
      <c r="F1085" t="inlineStr">
        <is>
          <t>Maria Nowak</t>
        </is>
      </c>
      <c r="G1085" t="inlineStr">
        <is>
          <t>Poland</t>
        </is>
      </c>
      <c r="H1085" t="inlineStr">
        <is>
          <t>Web Store</t>
        </is>
      </c>
      <c r="I1085" t="n">
        <v>4</v>
      </c>
      <c r="J1085" s="3" t="n">
        <v>771.5599999999999</v>
      </c>
      <c r="K1085" s="3" t="n">
        <v>0</v>
      </c>
      <c r="L1085" s="3" t="n">
        <v>771.5599999999999</v>
      </c>
      <c r="M1085" s="3" t="n">
        <v>434.08</v>
      </c>
      <c r="N1085" s="3" t="n">
        <v>337.48</v>
      </c>
      <c r="O1085">
        <f>TEXT(A1085,"yyyy-mm")</f>
        <v/>
      </c>
    </row>
    <row r="1086">
      <c r="A1086" s="2" t="n">
        <v>45702</v>
      </c>
      <c r="B1086" t="n">
        <v>2025</v>
      </c>
      <c r="C1086" t="inlineStr">
        <is>
          <t>February</t>
        </is>
      </c>
      <c r="D1086" t="inlineStr">
        <is>
          <t>Premium Tent</t>
        </is>
      </c>
      <c r="E1086" t="inlineStr">
        <is>
          <t>Sports &amp; Outdoors</t>
        </is>
      </c>
      <c r="F1086" t="inlineStr">
        <is>
          <t>Maria Nowak</t>
        </is>
      </c>
      <c r="G1086" t="inlineStr">
        <is>
          <t>Poland</t>
        </is>
      </c>
      <c r="H1086" t="inlineStr">
        <is>
          <t>Web Store</t>
        </is>
      </c>
      <c r="I1086" t="n">
        <v>5</v>
      </c>
      <c r="J1086" s="3" t="n">
        <v>1261.25</v>
      </c>
      <c r="K1086" s="3" t="n">
        <v>0</v>
      </c>
      <c r="L1086" s="3" t="n">
        <v>1261.25</v>
      </c>
      <c r="M1086" s="3" t="n">
        <v>826.55</v>
      </c>
      <c r="N1086" s="3" t="n">
        <v>434.7</v>
      </c>
      <c r="O1086">
        <f>TEXT(A1086,"yyyy-mm")</f>
        <v/>
      </c>
    </row>
    <row r="1087">
      <c r="A1087" s="2" t="n">
        <v>45703</v>
      </c>
      <c r="B1087" t="n">
        <v>2025</v>
      </c>
      <c r="C1087" t="inlineStr">
        <is>
          <t>February</t>
        </is>
      </c>
      <c r="D1087" t="inlineStr">
        <is>
          <t>Essential Lamp</t>
        </is>
      </c>
      <c r="E1087" t="inlineStr">
        <is>
          <t>Home &amp; Garden</t>
        </is>
      </c>
      <c r="F1087" t="inlineStr">
        <is>
          <t>Thomas Lopez</t>
        </is>
      </c>
      <c r="G1087" t="inlineStr">
        <is>
          <t>United States</t>
        </is>
      </c>
      <c r="H1087" t="inlineStr">
        <is>
          <t>Retail Store</t>
        </is>
      </c>
      <c r="I1087" t="n">
        <v>4</v>
      </c>
      <c r="J1087" s="3" t="n">
        <v>247.76</v>
      </c>
      <c r="K1087" s="3" t="n">
        <v>0</v>
      </c>
      <c r="L1087" s="3" t="n">
        <v>247.76</v>
      </c>
      <c r="M1087" s="3" t="n">
        <v>181.6</v>
      </c>
      <c r="N1087" s="3" t="n">
        <v>66.16</v>
      </c>
      <c r="O1087">
        <f>TEXT(A1087,"yyyy-mm")</f>
        <v/>
      </c>
    </row>
    <row r="1088">
      <c r="A1088" s="2" t="n">
        <v>45703</v>
      </c>
      <c r="B1088" t="n">
        <v>2025</v>
      </c>
      <c r="C1088" t="inlineStr">
        <is>
          <t>February</t>
        </is>
      </c>
      <c r="D1088" t="inlineStr">
        <is>
          <t>Portable Puzzle</t>
        </is>
      </c>
      <c r="E1088" t="inlineStr">
        <is>
          <t>Toys &amp; Games</t>
        </is>
      </c>
      <c r="F1088" t="inlineStr">
        <is>
          <t>Thomas Lopez</t>
        </is>
      </c>
      <c r="G1088" t="inlineStr">
        <is>
          <t>United States</t>
        </is>
      </c>
      <c r="H1088" t="inlineStr">
        <is>
          <t>Retail Store</t>
        </is>
      </c>
      <c r="I1088" t="n">
        <v>2</v>
      </c>
      <c r="J1088" s="3" t="n">
        <v>652.7</v>
      </c>
      <c r="K1088" s="3" t="n">
        <v>65.27</v>
      </c>
      <c r="L1088" s="3" t="n">
        <v>587.4299999999999</v>
      </c>
      <c r="M1088" s="3" t="n">
        <v>347.32</v>
      </c>
      <c r="N1088" s="3" t="n">
        <v>240.11</v>
      </c>
      <c r="O1088">
        <f>TEXT(A1088,"yyyy-mm")</f>
        <v/>
      </c>
    </row>
    <row r="1089">
      <c r="A1089" s="2" t="n">
        <v>45703</v>
      </c>
      <c r="B1089" t="n">
        <v>2025</v>
      </c>
      <c r="C1089" t="inlineStr">
        <is>
          <t>February</t>
        </is>
      </c>
      <c r="D1089" t="inlineStr">
        <is>
          <t>Smart Coffee Beans</t>
        </is>
      </c>
      <c r="E1089" t="inlineStr">
        <is>
          <t>Grocery</t>
        </is>
      </c>
      <c r="F1089" t="inlineStr">
        <is>
          <t>Emma Rossi</t>
        </is>
      </c>
      <c r="G1089" t="inlineStr">
        <is>
          <t>France</t>
        </is>
      </c>
      <c r="H1089" t="inlineStr">
        <is>
          <t>Web Store</t>
        </is>
      </c>
      <c r="I1089" t="n">
        <v>3</v>
      </c>
      <c r="J1089" s="3" t="n">
        <v>326.52</v>
      </c>
      <c r="K1089" s="3" t="n">
        <v>48.98</v>
      </c>
      <c r="L1089" s="3" t="n">
        <v>277.54</v>
      </c>
      <c r="M1089" s="3" t="n">
        <v>218.55</v>
      </c>
      <c r="N1089" s="3" t="n">
        <v>58.99</v>
      </c>
      <c r="O1089">
        <f>TEXT(A1089,"yyyy-mm")</f>
        <v/>
      </c>
    </row>
    <row r="1090">
      <c r="A1090" s="2" t="n">
        <v>45707</v>
      </c>
      <c r="B1090" t="n">
        <v>2025</v>
      </c>
      <c r="C1090" t="inlineStr">
        <is>
          <t>February</t>
        </is>
      </c>
      <c r="D1090" t="inlineStr">
        <is>
          <t>Essential Rug</t>
        </is>
      </c>
      <c r="E1090" t="inlineStr">
        <is>
          <t>Home &amp; Garden</t>
        </is>
      </c>
      <c r="F1090" t="inlineStr">
        <is>
          <t>Maria Smith</t>
        </is>
      </c>
      <c r="G1090" t="inlineStr">
        <is>
          <t>Poland</t>
        </is>
      </c>
      <c r="H1090" t="inlineStr">
        <is>
          <t>Retail Store</t>
        </is>
      </c>
      <c r="I1090" t="n">
        <v>4</v>
      </c>
      <c r="J1090" s="3" t="n">
        <v>543.28</v>
      </c>
      <c r="K1090" s="3" t="n">
        <v>0</v>
      </c>
      <c r="L1090" s="3" t="n">
        <v>543.28</v>
      </c>
      <c r="M1090" s="3" t="n">
        <v>305.32</v>
      </c>
      <c r="N1090" s="3" t="n">
        <v>237.96</v>
      </c>
      <c r="O1090">
        <f>TEXT(A1090,"yyyy-mm")</f>
        <v/>
      </c>
    </row>
    <row r="1091">
      <c r="A1091" s="2" t="n">
        <v>45707</v>
      </c>
      <c r="B1091" t="n">
        <v>2025</v>
      </c>
      <c r="C1091" t="inlineStr">
        <is>
          <t>February</t>
        </is>
      </c>
      <c r="D1091" t="inlineStr">
        <is>
          <t>Smart Charger</t>
        </is>
      </c>
      <c r="E1091" t="inlineStr">
        <is>
          <t>Electronics</t>
        </is>
      </c>
      <c r="F1091" t="inlineStr">
        <is>
          <t>Olivia Smith</t>
        </is>
      </c>
      <c r="G1091" t="inlineStr">
        <is>
          <t>Italy</t>
        </is>
      </c>
      <c r="H1091" t="inlineStr">
        <is>
          <t>Retail Store</t>
        </is>
      </c>
      <c r="I1091" t="n">
        <v>5</v>
      </c>
      <c r="J1091" s="3" t="n">
        <v>203.5</v>
      </c>
      <c r="K1091" s="3" t="n">
        <v>0</v>
      </c>
      <c r="L1091" s="3" t="n">
        <v>203.5</v>
      </c>
      <c r="M1091" s="3" t="n">
        <v>138.2</v>
      </c>
      <c r="N1091" s="3" t="n">
        <v>65.3</v>
      </c>
      <c r="O1091">
        <f>TEXT(A1091,"yyyy-mm")</f>
        <v/>
      </c>
    </row>
    <row r="1092">
      <c r="A1092" s="2" t="n">
        <v>45707</v>
      </c>
      <c r="B1092" t="n">
        <v>2025</v>
      </c>
      <c r="C1092" t="inlineStr">
        <is>
          <t>February</t>
        </is>
      </c>
      <c r="D1092" t="inlineStr">
        <is>
          <t>Eco Planter</t>
        </is>
      </c>
      <c r="E1092" t="inlineStr">
        <is>
          <t>Home &amp; Garden</t>
        </is>
      </c>
      <c r="F1092" t="inlineStr">
        <is>
          <t>Maria Smith</t>
        </is>
      </c>
      <c r="G1092" t="inlineStr">
        <is>
          <t>Poland</t>
        </is>
      </c>
      <c r="H1092" t="inlineStr">
        <is>
          <t>Retail Store</t>
        </is>
      </c>
      <c r="I1092" t="n">
        <v>1</v>
      </c>
      <c r="J1092" s="3" t="n">
        <v>188.12</v>
      </c>
      <c r="K1092" s="3" t="n">
        <v>18.81</v>
      </c>
      <c r="L1092" s="3" t="n">
        <v>169.31</v>
      </c>
      <c r="M1092" s="3" t="n">
        <v>112.41</v>
      </c>
      <c r="N1092" s="3" t="n">
        <v>56.9</v>
      </c>
      <c r="O1092">
        <f>TEXT(A1092,"yyyy-mm")</f>
        <v/>
      </c>
    </row>
    <row r="1093">
      <c r="A1093" s="2" t="n">
        <v>45707</v>
      </c>
      <c r="B1093" t="n">
        <v>2025</v>
      </c>
      <c r="C1093" t="inlineStr">
        <is>
          <t>February</t>
        </is>
      </c>
      <c r="D1093" t="inlineStr">
        <is>
          <t>Smart Face Cream</t>
        </is>
      </c>
      <c r="E1093" t="inlineStr">
        <is>
          <t>Beauty &amp; Health</t>
        </is>
      </c>
      <c r="F1093" t="inlineStr">
        <is>
          <t>Maria Smith</t>
        </is>
      </c>
      <c r="G1093" t="inlineStr">
        <is>
          <t>Poland</t>
        </is>
      </c>
      <c r="H1093" t="inlineStr">
        <is>
          <t>Retail Store</t>
        </is>
      </c>
      <c r="I1093" t="n">
        <v>1</v>
      </c>
      <c r="J1093" s="3" t="n">
        <v>268.6</v>
      </c>
      <c r="K1093" s="3" t="n">
        <v>0</v>
      </c>
      <c r="L1093" s="3" t="n">
        <v>268.6</v>
      </c>
      <c r="M1093" s="3" t="n">
        <v>193.14</v>
      </c>
      <c r="N1093" s="3" t="n">
        <v>75.45999999999999</v>
      </c>
      <c r="O1093">
        <f>TEXT(A1093,"yyyy-mm")</f>
        <v/>
      </c>
    </row>
    <row r="1094">
      <c r="A1094" s="2" t="n">
        <v>45707</v>
      </c>
      <c r="B1094" t="n">
        <v>2025</v>
      </c>
      <c r="C1094" t="inlineStr">
        <is>
          <t>February</t>
        </is>
      </c>
      <c r="D1094" t="inlineStr">
        <is>
          <t>Portable Tea Set</t>
        </is>
      </c>
      <c r="E1094" t="inlineStr">
        <is>
          <t>Grocery</t>
        </is>
      </c>
      <c r="F1094" t="inlineStr">
        <is>
          <t>Maria Smith</t>
        </is>
      </c>
      <c r="G1094" t="inlineStr">
        <is>
          <t>Poland</t>
        </is>
      </c>
      <c r="H1094" t="inlineStr">
        <is>
          <t>Retail Store</t>
        </is>
      </c>
      <c r="I1094" t="n">
        <v>3</v>
      </c>
      <c r="J1094" s="3" t="n">
        <v>809.1900000000001</v>
      </c>
      <c r="K1094" s="3" t="n">
        <v>121.38</v>
      </c>
      <c r="L1094" s="3" t="n">
        <v>687.8099999999999</v>
      </c>
      <c r="M1094" s="3" t="n">
        <v>564.36</v>
      </c>
      <c r="N1094" s="3" t="n">
        <v>123.45</v>
      </c>
      <c r="O1094">
        <f>TEXT(A1094,"yyyy-mm")</f>
        <v/>
      </c>
    </row>
    <row r="1095">
      <c r="A1095" s="2" t="n">
        <v>45708</v>
      </c>
      <c r="B1095" t="n">
        <v>2025</v>
      </c>
      <c r="C1095" t="inlineStr">
        <is>
          <t>February</t>
        </is>
      </c>
      <c r="D1095" t="inlineStr">
        <is>
          <t>Portable Notebook</t>
        </is>
      </c>
      <c r="E1095" t="inlineStr">
        <is>
          <t>Books</t>
        </is>
      </c>
      <c r="F1095" t="inlineStr">
        <is>
          <t>David Dubois</t>
        </is>
      </c>
      <c r="G1095" t="inlineStr">
        <is>
          <t>United Kingdom</t>
        </is>
      </c>
      <c r="H1095" t="inlineStr">
        <is>
          <t>Mobile App</t>
        </is>
      </c>
      <c r="I1095" t="n">
        <v>1</v>
      </c>
      <c r="J1095" s="3" t="n">
        <v>122.34</v>
      </c>
      <c r="K1095" s="3" t="n">
        <v>0</v>
      </c>
      <c r="L1095" s="3" t="n">
        <v>122.34</v>
      </c>
      <c r="M1095" s="3" t="n">
        <v>71.28</v>
      </c>
      <c r="N1095" s="3" t="n">
        <v>51.06</v>
      </c>
      <c r="O1095">
        <f>TEXT(A1095,"yyyy-mm")</f>
        <v/>
      </c>
    </row>
    <row r="1096">
      <c r="A1096" s="2" t="n">
        <v>45708</v>
      </c>
      <c r="B1096" t="n">
        <v>2025</v>
      </c>
      <c r="C1096" t="inlineStr">
        <is>
          <t>February</t>
        </is>
      </c>
      <c r="D1096" t="inlineStr">
        <is>
          <t>Ultra Toolset</t>
        </is>
      </c>
      <c r="E1096" t="inlineStr">
        <is>
          <t>Home &amp; Garden</t>
        </is>
      </c>
      <c r="F1096" t="inlineStr">
        <is>
          <t>David Dubois</t>
        </is>
      </c>
      <c r="G1096" t="inlineStr">
        <is>
          <t>United Kingdom</t>
        </is>
      </c>
      <c r="H1096" t="inlineStr">
        <is>
          <t>Mobile App</t>
        </is>
      </c>
      <c r="I1096" t="n">
        <v>5</v>
      </c>
      <c r="J1096" s="3" t="n">
        <v>1721.4</v>
      </c>
      <c r="K1096" s="3" t="n">
        <v>344.28</v>
      </c>
      <c r="L1096" s="3" t="n">
        <v>1377.12</v>
      </c>
      <c r="M1096" s="3" t="n">
        <v>952</v>
      </c>
      <c r="N1096" s="3" t="n">
        <v>425.12</v>
      </c>
      <c r="O1096">
        <f>TEXT(A1096,"yyyy-mm")</f>
        <v/>
      </c>
    </row>
    <row r="1097">
      <c r="A1097" s="2" t="n">
        <v>45708</v>
      </c>
      <c r="B1097" t="n">
        <v>2025</v>
      </c>
      <c r="C1097" t="inlineStr">
        <is>
          <t>February</t>
        </is>
      </c>
      <c r="D1097" t="inlineStr">
        <is>
          <t>Ultra Vitamins</t>
        </is>
      </c>
      <c r="E1097" t="inlineStr">
        <is>
          <t>Beauty &amp; Health</t>
        </is>
      </c>
      <c r="F1097" t="inlineStr">
        <is>
          <t>David Dubois</t>
        </is>
      </c>
      <c r="G1097" t="inlineStr">
        <is>
          <t>United Kingdom</t>
        </is>
      </c>
      <c r="H1097" t="inlineStr">
        <is>
          <t>Mobile App</t>
        </is>
      </c>
      <c r="I1097" t="n">
        <v>5</v>
      </c>
      <c r="J1097" s="3" t="n">
        <v>1060.2</v>
      </c>
      <c r="K1097" s="3" t="n">
        <v>53.01</v>
      </c>
      <c r="L1097" s="3" t="n">
        <v>1007.19</v>
      </c>
      <c r="M1097" s="3" t="n">
        <v>630.5</v>
      </c>
      <c r="N1097" s="3" t="n">
        <v>376.69</v>
      </c>
      <c r="O1097">
        <f>TEXT(A1097,"yyyy-mm")</f>
        <v/>
      </c>
    </row>
    <row r="1098">
      <c r="A1098" s="2" t="n">
        <v>45708</v>
      </c>
      <c r="B1098" t="n">
        <v>2025</v>
      </c>
      <c r="C1098" t="inlineStr">
        <is>
          <t>February</t>
        </is>
      </c>
      <c r="D1098" t="inlineStr">
        <is>
          <t>Smart Drone</t>
        </is>
      </c>
      <c r="E1098" t="inlineStr">
        <is>
          <t>Toys &amp; Games</t>
        </is>
      </c>
      <c r="F1098" t="inlineStr">
        <is>
          <t>David Dubois</t>
        </is>
      </c>
      <c r="G1098" t="inlineStr">
        <is>
          <t>United Kingdom</t>
        </is>
      </c>
      <c r="H1098" t="inlineStr">
        <is>
          <t>Mobile App</t>
        </is>
      </c>
      <c r="I1098" t="n">
        <v>4</v>
      </c>
      <c r="J1098" s="3" t="n">
        <v>863.8</v>
      </c>
      <c r="K1098" s="3" t="n">
        <v>172.76</v>
      </c>
      <c r="L1098" s="3" t="n">
        <v>691.04</v>
      </c>
      <c r="M1098" s="3" t="n">
        <v>507.8</v>
      </c>
      <c r="N1098" s="3" t="n">
        <v>183.24</v>
      </c>
      <c r="O1098">
        <f>TEXT(A1098,"yyyy-mm")</f>
        <v/>
      </c>
    </row>
    <row r="1099">
      <c r="A1099" s="2" t="n">
        <v>45709</v>
      </c>
      <c r="B1099" t="n">
        <v>2025</v>
      </c>
      <c r="C1099" t="inlineStr">
        <is>
          <t>February</t>
        </is>
      </c>
      <c r="D1099" t="inlineStr">
        <is>
          <t>Essential Toolset</t>
        </is>
      </c>
      <c r="E1099" t="inlineStr">
        <is>
          <t>Home &amp; Garden</t>
        </is>
      </c>
      <c r="F1099" t="inlineStr">
        <is>
          <t>Thomas Lopez</t>
        </is>
      </c>
      <c r="G1099" t="inlineStr">
        <is>
          <t>Spain</t>
        </is>
      </c>
      <c r="H1099" t="inlineStr">
        <is>
          <t>Web Store</t>
        </is>
      </c>
      <c r="I1099" t="n">
        <v>3</v>
      </c>
      <c r="J1099" s="3" t="n">
        <v>619.02</v>
      </c>
      <c r="K1099" s="3" t="n">
        <v>92.84999999999999</v>
      </c>
      <c r="L1099" s="3" t="n">
        <v>526.17</v>
      </c>
      <c r="M1099" s="3" t="n">
        <v>451.59</v>
      </c>
      <c r="N1099" s="3" t="n">
        <v>74.58</v>
      </c>
      <c r="O1099">
        <f>TEXT(A1099,"yyyy-mm")</f>
        <v/>
      </c>
    </row>
    <row r="1100">
      <c r="A1100" s="2" t="n">
        <v>45709</v>
      </c>
      <c r="B1100" t="n">
        <v>2025</v>
      </c>
      <c r="C1100" t="inlineStr">
        <is>
          <t>February</t>
        </is>
      </c>
      <c r="D1100" t="inlineStr">
        <is>
          <t>Portable Pasta</t>
        </is>
      </c>
      <c r="E1100" t="inlineStr">
        <is>
          <t>Grocery</t>
        </is>
      </c>
      <c r="F1100" t="inlineStr">
        <is>
          <t>Thomas Lopez</t>
        </is>
      </c>
      <c r="G1100" t="inlineStr">
        <is>
          <t>Spain</t>
        </is>
      </c>
      <c r="H1100" t="inlineStr">
        <is>
          <t>Web Store</t>
        </is>
      </c>
      <c r="I1100" t="n">
        <v>1</v>
      </c>
      <c r="J1100" s="3" t="n">
        <v>36.33</v>
      </c>
      <c r="K1100" s="3" t="n">
        <v>0</v>
      </c>
      <c r="L1100" s="3" t="n">
        <v>36.33</v>
      </c>
      <c r="M1100" s="3" t="n">
        <v>27.75</v>
      </c>
      <c r="N1100" s="3" t="n">
        <v>8.58</v>
      </c>
      <c r="O1100">
        <f>TEXT(A1100,"yyyy-mm")</f>
        <v/>
      </c>
    </row>
    <row r="1101">
      <c r="A1101" s="2" t="n">
        <v>45710</v>
      </c>
      <c r="B1101" t="n">
        <v>2025</v>
      </c>
      <c r="C1101" t="inlineStr">
        <is>
          <t>February</t>
        </is>
      </c>
      <c r="D1101" t="inlineStr">
        <is>
          <t>Wireless Honey</t>
        </is>
      </c>
      <c r="E1101" t="inlineStr">
        <is>
          <t>Grocery</t>
        </is>
      </c>
      <c r="F1101" t="inlineStr">
        <is>
          <t>Laura Muller</t>
        </is>
      </c>
      <c r="G1101" t="inlineStr">
        <is>
          <t>Italy</t>
        </is>
      </c>
      <c r="H1101" t="inlineStr">
        <is>
          <t>Mobile App</t>
        </is>
      </c>
      <c r="I1101" t="n">
        <v>5</v>
      </c>
      <c r="J1101" s="3" t="n">
        <v>659.3</v>
      </c>
      <c r="K1101" s="3" t="n">
        <v>0</v>
      </c>
      <c r="L1101" s="3" t="n">
        <v>659.3</v>
      </c>
      <c r="M1101" s="3" t="n">
        <v>470.35</v>
      </c>
      <c r="N1101" s="3" t="n">
        <v>188.95</v>
      </c>
      <c r="O1101">
        <f>TEXT(A1101,"yyyy-mm")</f>
        <v/>
      </c>
    </row>
    <row r="1102">
      <c r="A1102" s="2" t="n">
        <v>45710</v>
      </c>
      <c r="B1102" t="n">
        <v>2025</v>
      </c>
      <c r="C1102" t="inlineStr">
        <is>
          <t>February</t>
        </is>
      </c>
      <c r="D1102" t="inlineStr">
        <is>
          <t>Smart Honey</t>
        </is>
      </c>
      <c r="E1102" t="inlineStr">
        <is>
          <t>Grocery</t>
        </is>
      </c>
      <c r="F1102" t="inlineStr">
        <is>
          <t>Anna Smith</t>
        </is>
      </c>
      <c r="G1102" t="inlineStr">
        <is>
          <t>Germany</t>
        </is>
      </c>
      <c r="H1102" t="inlineStr">
        <is>
          <t>Mobile App</t>
        </is>
      </c>
      <c r="I1102" t="n">
        <v>2</v>
      </c>
      <c r="J1102" s="3" t="n">
        <v>268.32</v>
      </c>
      <c r="K1102" s="3" t="n">
        <v>0</v>
      </c>
      <c r="L1102" s="3" t="n">
        <v>268.32</v>
      </c>
      <c r="M1102" s="3" t="n">
        <v>142.88</v>
      </c>
      <c r="N1102" s="3" t="n">
        <v>125.44</v>
      </c>
      <c r="O1102">
        <f>TEXT(A1102,"yyyy-mm")</f>
        <v/>
      </c>
    </row>
    <row r="1103">
      <c r="A1103" s="2" t="n">
        <v>45710</v>
      </c>
      <c r="B1103" t="n">
        <v>2025</v>
      </c>
      <c r="C1103" t="inlineStr">
        <is>
          <t>February</t>
        </is>
      </c>
      <c r="D1103" t="inlineStr">
        <is>
          <t>Eco Tent</t>
        </is>
      </c>
      <c r="E1103" t="inlineStr">
        <is>
          <t>Sports &amp; Outdoors</t>
        </is>
      </c>
      <c r="F1103" t="inlineStr">
        <is>
          <t>Anna Smith</t>
        </is>
      </c>
      <c r="G1103" t="inlineStr">
        <is>
          <t>Germany</t>
        </is>
      </c>
      <c r="H1103" t="inlineStr">
        <is>
          <t>Mobile App</t>
        </is>
      </c>
      <c r="I1103" t="n">
        <v>5</v>
      </c>
      <c r="J1103" s="3" t="n">
        <v>348.25</v>
      </c>
      <c r="K1103" s="3" t="n">
        <v>34.83</v>
      </c>
      <c r="L1103" s="3" t="n">
        <v>313.42</v>
      </c>
      <c r="M1103" s="3" t="n">
        <v>219.25</v>
      </c>
      <c r="N1103" s="3" t="n">
        <v>94.18000000000001</v>
      </c>
      <c r="O1103">
        <f>TEXT(A1103,"yyyy-mm")</f>
        <v/>
      </c>
    </row>
    <row r="1104">
      <c r="A1104" s="2" t="n">
        <v>45710</v>
      </c>
      <c r="B1104" t="n">
        <v>2025</v>
      </c>
      <c r="C1104" t="inlineStr">
        <is>
          <t>February</t>
        </is>
      </c>
      <c r="D1104" t="inlineStr">
        <is>
          <t>Smart Camera</t>
        </is>
      </c>
      <c r="E1104" t="inlineStr">
        <is>
          <t>Electronics</t>
        </is>
      </c>
      <c r="F1104" t="inlineStr">
        <is>
          <t>Laura Muller</t>
        </is>
      </c>
      <c r="G1104" t="inlineStr">
        <is>
          <t>Italy</t>
        </is>
      </c>
      <c r="H1104" t="inlineStr">
        <is>
          <t>Mobile App</t>
        </is>
      </c>
      <c r="I1104" t="n">
        <v>5</v>
      </c>
      <c r="J1104" s="3" t="n">
        <v>1493.8</v>
      </c>
      <c r="K1104" s="3" t="n">
        <v>149.38</v>
      </c>
      <c r="L1104" s="3" t="n">
        <v>1344.42</v>
      </c>
      <c r="M1104" s="3" t="n">
        <v>837</v>
      </c>
      <c r="N1104" s="3" t="n">
        <v>507.42</v>
      </c>
      <c r="O1104">
        <f>TEXT(A1104,"yyyy-mm")</f>
        <v/>
      </c>
    </row>
    <row r="1105">
      <c r="A1105" s="2" t="n">
        <v>45711</v>
      </c>
      <c r="B1105" t="n">
        <v>2025</v>
      </c>
      <c r="C1105" t="inlineStr">
        <is>
          <t>February</t>
        </is>
      </c>
      <c r="D1105" t="inlineStr">
        <is>
          <t>Smart Tea Set</t>
        </is>
      </c>
      <c r="E1105" t="inlineStr">
        <is>
          <t>Grocery</t>
        </is>
      </c>
      <c r="F1105" t="inlineStr">
        <is>
          <t>Peter Schmidt</t>
        </is>
      </c>
      <c r="G1105" t="inlineStr">
        <is>
          <t>United Kingdom</t>
        </is>
      </c>
      <c r="H1105" t="inlineStr">
        <is>
          <t>Marketplace</t>
        </is>
      </c>
      <c r="I1105" t="n">
        <v>3</v>
      </c>
      <c r="J1105" s="3" t="n">
        <v>277.44</v>
      </c>
      <c r="K1105" s="3" t="n">
        <v>0</v>
      </c>
      <c r="L1105" s="3" t="n">
        <v>277.44</v>
      </c>
      <c r="M1105" s="3" t="n">
        <v>185.4</v>
      </c>
      <c r="N1105" s="3" t="n">
        <v>92.04000000000001</v>
      </c>
      <c r="O1105">
        <f>TEXT(A1105,"yyyy-mm")</f>
        <v/>
      </c>
    </row>
    <row r="1106">
      <c r="A1106" s="2" t="n">
        <v>45711</v>
      </c>
      <c r="B1106" t="n">
        <v>2025</v>
      </c>
      <c r="C1106" t="inlineStr">
        <is>
          <t>February</t>
        </is>
      </c>
      <c r="D1106" t="inlineStr">
        <is>
          <t>Portable Puzzle</t>
        </is>
      </c>
      <c r="E1106" t="inlineStr">
        <is>
          <t>Toys &amp; Games</t>
        </is>
      </c>
      <c r="F1106" t="inlineStr">
        <is>
          <t>Peter Schmidt</t>
        </is>
      </c>
      <c r="G1106" t="inlineStr">
        <is>
          <t>United Kingdom</t>
        </is>
      </c>
      <c r="H1106" t="inlineStr">
        <is>
          <t>Marketplace</t>
        </is>
      </c>
      <c r="I1106" t="n">
        <v>1</v>
      </c>
      <c r="J1106" s="3" t="n">
        <v>316.89</v>
      </c>
      <c r="K1106" s="3" t="n">
        <v>15.84</v>
      </c>
      <c r="L1106" s="3" t="n">
        <v>301.05</v>
      </c>
      <c r="M1106" s="3" t="n">
        <v>173.66</v>
      </c>
      <c r="N1106" s="3" t="n">
        <v>127.39</v>
      </c>
      <c r="O1106">
        <f>TEXT(A1106,"yyyy-mm")</f>
        <v/>
      </c>
    </row>
    <row r="1107">
      <c r="A1107" s="2" t="n">
        <v>45711</v>
      </c>
      <c r="B1107" t="n">
        <v>2025</v>
      </c>
      <c r="C1107" t="inlineStr">
        <is>
          <t>February</t>
        </is>
      </c>
      <c r="D1107" t="inlineStr">
        <is>
          <t>Smart Drone</t>
        </is>
      </c>
      <c r="E1107" t="inlineStr">
        <is>
          <t>Toys &amp; Games</t>
        </is>
      </c>
      <c r="F1107" t="inlineStr">
        <is>
          <t>Peter Schmidt</t>
        </is>
      </c>
      <c r="G1107" t="inlineStr">
        <is>
          <t>United Kingdom</t>
        </is>
      </c>
      <c r="H1107" t="inlineStr">
        <is>
          <t>Marketplace</t>
        </is>
      </c>
      <c r="I1107" t="n">
        <v>3</v>
      </c>
      <c r="J1107" s="3" t="n">
        <v>636.72</v>
      </c>
      <c r="K1107" s="3" t="n">
        <v>0</v>
      </c>
      <c r="L1107" s="3" t="n">
        <v>636.72</v>
      </c>
      <c r="M1107" s="3" t="n">
        <v>380.85</v>
      </c>
      <c r="N1107" s="3" t="n">
        <v>255.87</v>
      </c>
      <c r="O1107">
        <f>TEXT(A1107,"yyyy-mm")</f>
        <v/>
      </c>
    </row>
    <row r="1108">
      <c r="A1108" s="2" t="n">
        <v>45711</v>
      </c>
      <c r="B1108" t="n">
        <v>2025</v>
      </c>
      <c r="C1108" t="inlineStr">
        <is>
          <t>February</t>
        </is>
      </c>
      <c r="D1108" t="inlineStr">
        <is>
          <t>Essential Rug</t>
        </is>
      </c>
      <c r="E1108" t="inlineStr">
        <is>
          <t>Home &amp; Garden</t>
        </is>
      </c>
      <c r="F1108" t="inlineStr">
        <is>
          <t>Olivia Weber</t>
        </is>
      </c>
      <c r="G1108" t="inlineStr">
        <is>
          <t>United States</t>
        </is>
      </c>
      <c r="H1108" t="inlineStr">
        <is>
          <t>Mobile App</t>
        </is>
      </c>
      <c r="I1108" t="n">
        <v>5</v>
      </c>
      <c r="J1108" s="3" t="n">
        <v>709.7</v>
      </c>
      <c r="K1108" s="3" t="n">
        <v>35.49</v>
      </c>
      <c r="L1108" s="3" t="n">
        <v>674.22</v>
      </c>
      <c r="M1108" s="3" t="n">
        <v>381.65</v>
      </c>
      <c r="N1108" s="3" t="n">
        <v>292.57</v>
      </c>
      <c r="O1108">
        <f>TEXT(A1108,"yyyy-mm")</f>
        <v/>
      </c>
    </row>
    <row r="1109">
      <c r="A1109" s="2" t="n">
        <v>45711</v>
      </c>
      <c r="B1109" t="n">
        <v>2025</v>
      </c>
      <c r="C1109" t="inlineStr">
        <is>
          <t>February</t>
        </is>
      </c>
      <c r="D1109" t="inlineStr">
        <is>
          <t>Smart Charger</t>
        </is>
      </c>
      <c r="E1109" t="inlineStr">
        <is>
          <t>Electronics</t>
        </is>
      </c>
      <c r="F1109" t="inlineStr">
        <is>
          <t>Olivia Weber</t>
        </is>
      </c>
      <c r="G1109" t="inlineStr">
        <is>
          <t>United States</t>
        </is>
      </c>
      <c r="H1109" t="inlineStr">
        <is>
          <t>Mobile App</t>
        </is>
      </c>
      <c r="I1109" t="n">
        <v>4</v>
      </c>
      <c r="J1109" s="3" t="n">
        <v>995</v>
      </c>
      <c r="K1109" s="3" t="n">
        <v>0</v>
      </c>
      <c r="L1109" s="3" t="n">
        <v>995</v>
      </c>
      <c r="M1109" s="3" t="n">
        <v>570.08</v>
      </c>
      <c r="N1109" s="3" t="n">
        <v>424.92</v>
      </c>
      <c r="O1109">
        <f>TEXT(A1109,"yyyy-mm")</f>
        <v/>
      </c>
    </row>
    <row r="1110">
      <c r="A1110" s="2" t="n">
        <v>45712</v>
      </c>
      <c r="B1110" t="n">
        <v>2025</v>
      </c>
      <c r="C1110" t="inlineStr">
        <is>
          <t>February</t>
        </is>
      </c>
      <c r="D1110" t="inlineStr">
        <is>
          <t>Smart Sweater</t>
        </is>
      </c>
      <c r="E1110" t="inlineStr">
        <is>
          <t>Clothing</t>
        </is>
      </c>
      <c r="F1110" t="inlineStr">
        <is>
          <t>Sophie Wilson</t>
        </is>
      </c>
      <c r="G1110" t="inlineStr">
        <is>
          <t>Netherlands</t>
        </is>
      </c>
      <c r="H1110" t="inlineStr">
        <is>
          <t>Retail Store</t>
        </is>
      </c>
      <c r="I1110" t="n">
        <v>4</v>
      </c>
      <c r="J1110" s="3" t="n">
        <v>581.88</v>
      </c>
      <c r="K1110" s="3" t="n">
        <v>0</v>
      </c>
      <c r="L1110" s="3" t="n">
        <v>581.88</v>
      </c>
      <c r="M1110" s="3" t="n">
        <v>309.4</v>
      </c>
      <c r="N1110" s="3" t="n">
        <v>272.48</v>
      </c>
      <c r="O1110">
        <f>TEXT(A1110,"yyyy-mm")</f>
        <v/>
      </c>
    </row>
    <row r="1111">
      <c r="A1111" s="2" t="n">
        <v>45712</v>
      </c>
      <c r="B1111" t="n">
        <v>2025</v>
      </c>
      <c r="C1111" t="inlineStr">
        <is>
          <t>February</t>
        </is>
      </c>
      <c r="D1111" t="inlineStr">
        <is>
          <t>Deluxe Notebook</t>
        </is>
      </c>
      <c r="E1111" t="inlineStr">
        <is>
          <t>Books</t>
        </is>
      </c>
      <c r="F1111" t="inlineStr">
        <is>
          <t>Thomas Kowalski</t>
        </is>
      </c>
      <c r="G1111" t="inlineStr">
        <is>
          <t>Poland</t>
        </is>
      </c>
      <c r="H1111" t="inlineStr">
        <is>
          <t>Web Store</t>
        </is>
      </c>
      <c r="I1111" t="n">
        <v>1</v>
      </c>
      <c r="J1111" s="3" t="n">
        <v>202.05</v>
      </c>
      <c r="K1111" s="3" t="n">
        <v>40.41</v>
      </c>
      <c r="L1111" s="3" t="n">
        <v>161.64</v>
      </c>
      <c r="M1111" s="3" t="n">
        <v>150.76</v>
      </c>
      <c r="N1111" s="3" t="n">
        <v>10.88</v>
      </c>
      <c r="O1111">
        <f>TEXT(A1111,"yyyy-mm")</f>
        <v/>
      </c>
    </row>
    <row r="1112">
      <c r="A1112" s="2" t="n">
        <v>45712</v>
      </c>
      <c r="B1112" t="n">
        <v>2025</v>
      </c>
      <c r="C1112" t="inlineStr">
        <is>
          <t>February</t>
        </is>
      </c>
      <c r="D1112" t="inlineStr">
        <is>
          <t>Portable Tea Set</t>
        </is>
      </c>
      <c r="E1112" t="inlineStr">
        <is>
          <t>Grocery</t>
        </is>
      </c>
      <c r="F1112" t="inlineStr">
        <is>
          <t>Thomas Kowalski</t>
        </is>
      </c>
      <c r="G1112" t="inlineStr">
        <is>
          <t>Poland</t>
        </is>
      </c>
      <c r="H1112" t="inlineStr">
        <is>
          <t>Web Store</t>
        </is>
      </c>
      <c r="I1112" t="n">
        <v>4</v>
      </c>
      <c r="J1112" s="3" t="n">
        <v>1084.24</v>
      </c>
      <c r="K1112" s="3" t="n">
        <v>0</v>
      </c>
      <c r="L1112" s="3" t="n">
        <v>1084.24</v>
      </c>
      <c r="M1112" s="3" t="n">
        <v>752.48</v>
      </c>
      <c r="N1112" s="3" t="n">
        <v>331.76</v>
      </c>
      <c r="O1112">
        <f>TEXT(A1112,"yyyy-mm")</f>
        <v/>
      </c>
    </row>
    <row r="1113">
      <c r="A1113" s="2" t="n">
        <v>45712</v>
      </c>
      <c r="B1113" t="n">
        <v>2025</v>
      </c>
      <c r="C1113" t="inlineStr">
        <is>
          <t>February</t>
        </is>
      </c>
      <c r="D1113" t="inlineStr">
        <is>
          <t>Portable Toolset</t>
        </is>
      </c>
      <c r="E1113" t="inlineStr">
        <is>
          <t>Home &amp; Garden</t>
        </is>
      </c>
      <c r="F1113" t="inlineStr">
        <is>
          <t>Nina Fischer</t>
        </is>
      </c>
      <c r="G1113" t="inlineStr">
        <is>
          <t>Netherlands</t>
        </is>
      </c>
      <c r="H1113" t="inlineStr">
        <is>
          <t>Web Store</t>
        </is>
      </c>
      <c r="I1113" t="n">
        <v>2</v>
      </c>
      <c r="J1113" s="3" t="n">
        <v>287.78</v>
      </c>
      <c r="K1113" s="3" t="n">
        <v>14.39</v>
      </c>
      <c r="L1113" s="3" t="n">
        <v>273.39</v>
      </c>
      <c r="M1113" s="3" t="n">
        <v>185.7</v>
      </c>
      <c r="N1113" s="3" t="n">
        <v>87.69</v>
      </c>
      <c r="O1113">
        <f>TEXT(A1113,"yyyy-mm")</f>
        <v/>
      </c>
    </row>
    <row r="1114">
      <c r="A1114" s="2" t="n">
        <v>45712</v>
      </c>
      <c r="B1114" t="n">
        <v>2025</v>
      </c>
      <c r="C1114" t="inlineStr">
        <is>
          <t>February</t>
        </is>
      </c>
      <c r="D1114" t="inlineStr">
        <is>
          <t>Smart Face Cream</t>
        </is>
      </c>
      <c r="E1114" t="inlineStr">
        <is>
          <t>Beauty &amp; Health</t>
        </is>
      </c>
      <c r="F1114" t="inlineStr">
        <is>
          <t>Daniel Wilson</t>
        </is>
      </c>
      <c r="G1114" t="inlineStr">
        <is>
          <t>Italy</t>
        </is>
      </c>
      <c r="H1114" t="inlineStr">
        <is>
          <t>Mobile App</t>
        </is>
      </c>
      <c r="I1114" t="n">
        <v>1</v>
      </c>
      <c r="J1114" s="3" t="n">
        <v>267.05</v>
      </c>
      <c r="K1114" s="3" t="n">
        <v>0</v>
      </c>
      <c r="L1114" s="3" t="n">
        <v>267.05</v>
      </c>
      <c r="M1114" s="3" t="n">
        <v>193.14</v>
      </c>
      <c r="N1114" s="3" t="n">
        <v>73.91</v>
      </c>
      <c r="O1114">
        <f>TEXT(A1114,"yyyy-mm")</f>
        <v/>
      </c>
    </row>
    <row r="1115">
      <c r="A1115" s="2" t="n">
        <v>45712</v>
      </c>
      <c r="B1115" t="n">
        <v>2025</v>
      </c>
      <c r="C1115" t="inlineStr">
        <is>
          <t>February</t>
        </is>
      </c>
      <c r="D1115" t="inlineStr">
        <is>
          <t>Wireless Honey</t>
        </is>
      </c>
      <c r="E1115" t="inlineStr">
        <is>
          <t>Grocery</t>
        </is>
      </c>
      <c r="F1115" t="inlineStr">
        <is>
          <t>Daniel Wilson</t>
        </is>
      </c>
      <c r="G1115" t="inlineStr">
        <is>
          <t>Italy</t>
        </is>
      </c>
      <c r="H1115" t="inlineStr">
        <is>
          <t>Mobile App</t>
        </is>
      </c>
      <c r="I1115" t="n">
        <v>5</v>
      </c>
      <c r="J1115" s="3" t="n">
        <v>642.4</v>
      </c>
      <c r="K1115" s="3" t="n">
        <v>0</v>
      </c>
      <c r="L1115" s="3" t="n">
        <v>642.4</v>
      </c>
      <c r="M1115" s="3" t="n">
        <v>470.35</v>
      </c>
      <c r="N1115" s="3" t="n">
        <v>172.05</v>
      </c>
      <c r="O1115">
        <f>TEXT(A1115,"yyyy-mm")</f>
        <v/>
      </c>
    </row>
    <row r="1116">
      <c r="A1116" s="2" t="n">
        <v>45712</v>
      </c>
      <c r="B1116" t="n">
        <v>2025</v>
      </c>
      <c r="C1116" t="inlineStr">
        <is>
          <t>February</t>
        </is>
      </c>
      <c r="D1116" t="inlineStr">
        <is>
          <t>Classic Yoga Mat</t>
        </is>
      </c>
      <c r="E1116" t="inlineStr">
        <is>
          <t>Sports &amp; Outdoors</t>
        </is>
      </c>
      <c r="F1116" t="inlineStr">
        <is>
          <t>Daniel Wilson</t>
        </is>
      </c>
      <c r="G1116" t="inlineStr">
        <is>
          <t>Italy</t>
        </is>
      </c>
      <c r="H1116" t="inlineStr">
        <is>
          <t>Mobile App</t>
        </is>
      </c>
      <c r="I1116" t="n">
        <v>1</v>
      </c>
      <c r="J1116" s="3" t="n">
        <v>330.77</v>
      </c>
      <c r="K1116" s="3" t="n">
        <v>0</v>
      </c>
      <c r="L1116" s="3" t="n">
        <v>330.77</v>
      </c>
      <c r="M1116" s="3" t="n">
        <v>195.7</v>
      </c>
      <c r="N1116" s="3" t="n">
        <v>135.07</v>
      </c>
      <c r="O1116">
        <f>TEXT(A1116,"yyyy-mm")</f>
        <v/>
      </c>
    </row>
    <row r="1117">
      <c r="A1117" s="2" t="n">
        <v>45712</v>
      </c>
      <c r="B1117" t="n">
        <v>2025</v>
      </c>
      <c r="C1117" t="inlineStr">
        <is>
          <t>February</t>
        </is>
      </c>
      <c r="D1117" t="inlineStr">
        <is>
          <t>Classic Charger</t>
        </is>
      </c>
      <c r="E1117" t="inlineStr">
        <is>
          <t>Electronics</t>
        </is>
      </c>
      <c r="F1117" t="inlineStr">
        <is>
          <t>Daniel Wilson</t>
        </is>
      </c>
      <c r="G1117" t="inlineStr">
        <is>
          <t>Italy</t>
        </is>
      </c>
      <c r="H1117" t="inlineStr">
        <is>
          <t>Mobile App</t>
        </is>
      </c>
      <c r="I1117" t="n">
        <v>1</v>
      </c>
      <c r="J1117" s="3" t="n">
        <v>95.97</v>
      </c>
      <c r="K1117" s="3" t="n">
        <v>19.19</v>
      </c>
      <c r="L1117" s="3" t="n">
        <v>76.78</v>
      </c>
      <c r="M1117" s="3" t="n">
        <v>62.21</v>
      </c>
      <c r="N1117" s="3" t="n">
        <v>14.57</v>
      </c>
      <c r="O1117">
        <f>TEXT(A1117,"yyyy-mm")</f>
        <v/>
      </c>
    </row>
    <row r="1118">
      <c r="A1118" s="2" t="n">
        <v>45713</v>
      </c>
      <c r="B1118" t="n">
        <v>2025</v>
      </c>
      <c r="C1118" t="inlineStr">
        <is>
          <t>February</t>
        </is>
      </c>
      <c r="D1118" t="inlineStr">
        <is>
          <t>Ultra Vitamins</t>
        </is>
      </c>
      <c r="E1118" t="inlineStr">
        <is>
          <t>Beauty &amp; Health</t>
        </is>
      </c>
      <c r="F1118" t="inlineStr">
        <is>
          <t>Clara Nowak</t>
        </is>
      </c>
      <c r="G1118" t="inlineStr">
        <is>
          <t>Italy</t>
        </is>
      </c>
      <c r="H1118" t="inlineStr">
        <is>
          <t>Marketplace</t>
        </is>
      </c>
      <c r="I1118" t="n">
        <v>5</v>
      </c>
      <c r="J1118" s="3" t="n">
        <v>1040.7</v>
      </c>
      <c r="K1118" s="3" t="n">
        <v>156.1</v>
      </c>
      <c r="L1118" s="3" t="n">
        <v>884.59</v>
      </c>
      <c r="M1118" s="3" t="n">
        <v>630.5</v>
      </c>
      <c r="N1118" s="3" t="n">
        <v>254.09</v>
      </c>
      <c r="O1118">
        <f>TEXT(A1118,"yyyy-mm")</f>
        <v/>
      </c>
    </row>
    <row r="1119">
      <c r="A1119" s="2" t="n">
        <v>45713</v>
      </c>
      <c r="B1119" t="n">
        <v>2025</v>
      </c>
      <c r="C1119" t="inlineStr">
        <is>
          <t>February</t>
        </is>
      </c>
      <c r="D1119" t="inlineStr">
        <is>
          <t>Portable Toolset</t>
        </is>
      </c>
      <c r="E1119" t="inlineStr">
        <is>
          <t>Home &amp; Garden</t>
        </is>
      </c>
      <c r="F1119" t="inlineStr">
        <is>
          <t>Clara Nowak</t>
        </is>
      </c>
      <c r="G1119" t="inlineStr">
        <is>
          <t>Italy</t>
        </is>
      </c>
      <c r="H1119" t="inlineStr">
        <is>
          <t>Marketplace</t>
        </is>
      </c>
      <c r="I1119" t="n">
        <v>1</v>
      </c>
      <c r="J1119" s="3" t="n">
        <v>87.54000000000001</v>
      </c>
      <c r="K1119" s="3" t="n">
        <v>8.75</v>
      </c>
      <c r="L1119" s="3" t="n">
        <v>78.79000000000001</v>
      </c>
      <c r="M1119" s="3" t="n">
        <v>50.54</v>
      </c>
      <c r="N1119" s="3" t="n">
        <v>28.25</v>
      </c>
      <c r="O1119">
        <f>TEXT(A1119,"yyyy-mm")</f>
        <v/>
      </c>
    </row>
    <row r="1120">
      <c r="A1120" s="2" t="n">
        <v>45713</v>
      </c>
      <c r="B1120" t="n">
        <v>2025</v>
      </c>
      <c r="C1120" t="inlineStr">
        <is>
          <t>February</t>
        </is>
      </c>
      <c r="D1120" t="inlineStr">
        <is>
          <t>Wireless Coffee Beans</t>
        </is>
      </c>
      <c r="E1120" t="inlineStr">
        <is>
          <t>Grocery</t>
        </is>
      </c>
      <c r="F1120" t="inlineStr">
        <is>
          <t>Clara Nowak</t>
        </is>
      </c>
      <c r="G1120" t="inlineStr">
        <is>
          <t>Italy</t>
        </is>
      </c>
      <c r="H1120" t="inlineStr">
        <is>
          <t>Marketplace</t>
        </is>
      </c>
      <c r="I1120" t="n">
        <v>3</v>
      </c>
      <c r="J1120" s="3" t="n">
        <v>622.62</v>
      </c>
      <c r="K1120" s="3" t="n">
        <v>31.13</v>
      </c>
      <c r="L1120" s="3" t="n">
        <v>591.49</v>
      </c>
      <c r="M1120" s="3" t="n">
        <v>390.39</v>
      </c>
      <c r="N1120" s="3" t="n">
        <v>201.1</v>
      </c>
      <c r="O1120">
        <f>TEXT(A1120,"yyyy-mm")</f>
        <v/>
      </c>
    </row>
    <row r="1121">
      <c r="A1121" s="2" t="n">
        <v>45713</v>
      </c>
      <c r="B1121" t="n">
        <v>2025</v>
      </c>
      <c r="C1121" t="inlineStr">
        <is>
          <t>February</t>
        </is>
      </c>
      <c r="D1121" t="inlineStr">
        <is>
          <t>Classic Coffee Beans</t>
        </is>
      </c>
      <c r="E1121" t="inlineStr">
        <is>
          <t>Grocery</t>
        </is>
      </c>
      <c r="F1121" t="inlineStr">
        <is>
          <t>Clara Nowak</t>
        </is>
      </c>
      <c r="G1121" t="inlineStr">
        <is>
          <t>Italy</t>
        </is>
      </c>
      <c r="H1121" t="inlineStr">
        <is>
          <t>Marketplace</t>
        </is>
      </c>
      <c r="I1121" t="n">
        <v>5</v>
      </c>
      <c r="J1121" s="3" t="n">
        <v>1676.2</v>
      </c>
      <c r="K1121" s="3" t="n">
        <v>0</v>
      </c>
      <c r="L1121" s="3" t="n">
        <v>1676.2</v>
      </c>
      <c r="M1121" s="3" t="n">
        <v>973.8</v>
      </c>
      <c r="N1121" s="3" t="n">
        <v>702.4</v>
      </c>
      <c r="O1121">
        <f>TEXT(A1121,"yyyy-mm")</f>
        <v/>
      </c>
    </row>
    <row r="1122">
      <c r="A1122" s="2" t="n">
        <v>45714</v>
      </c>
      <c r="B1122" t="n">
        <v>2025</v>
      </c>
      <c r="C1122" t="inlineStr">
        <is>
          <t>February</t>
        </is>
      </c>
      <c r="D1122" t="inlineStr">
        <is>
          <t>Essential Toolset</t>
        </is>
      </c>
      <c r="E1122" t="inlineStr">
        <is>
          <t>Home &amp; Garden</t>
        </is>
      </c>
      <c r="F1122" t="inlineStr">
        <is>
          <t>Emma Rossi</t>
        </is>
      </c>
      <c r="G1122" t="inlineStr">
        <is>
          <t>France</t>
        </is>
      </c>
      <c r="H1122" t="inlineStr">
        <is>
          <t>Retail Store</t>
        </is>
      </c>
      <c r="I1122" t="n">
        <v>3</v>
      </c>
      <c r="J1122" s="3" t="n">
        <v>643.17</v>
      </c>
      <c r="K1122" s="3" t="n">
        <v>96.48</v>
      </c>
      <c r="L1122" s="3" t="n">
        <v>546.6900000000001</v>
      </c>
      <c r="M1122" s="3" t="n">
        <v>451.59</v>
      </c>
      <c r="N1122" s="3" t="n">
        <v>95.09999999999999</v>
      </c>
      <c r="O1122">
        <f>TEXT(A1122,"yyyy-mm")</f>
        <v/>
      </c>
    </row>
    <row r="1123">
      <c r="A1123" s="2" t="n">
        <v>45714</v>
      </c>
      <c r="B1123" t="n">
        <v>2025</v>
      </c>
      <c r="C1123" t="inlineStr">
        <is>
          <t>February</t>
        </is>
      </c>
      <c r="D1123" t="inlineStr">
        <is>
          <t>Deluxe Puzzle</t>
        </is>
      </c>
      <c r="E1123" t="inlineStr">
        <is>
          <t>Toys &amp; Games</t>
        </is>
      </c>
      <c r="F1123" t="inlineStr">
        <is>
          <t>Emma Rossi</t>
        </is>
      </c>
      <c r="G1123" t="inlineStr">
        <is>
          <t>France</t>
        </is>
      </c>
      <c r="H1123" t="inlineStr">
        <is>
          <t>Retail Store</t>
        </is>
      </c>
      <c r="I1123" t="n">
        <v>3</v>
      </c>
      <c r="J1123" s="3" t="n">
        <v>655.29</v>
      </c>
      <c r="K1123" s="3" t="n">
        <v>0</v>
      </c>
      <c r="L1123" s="3" t="n">
        <v>655.29</v>
      </c>
      <c r="M1123" s="3" t="n">
        <v>333.51</v>
      </c>
      <c r="N1123" s="3" t="n">
        <v>321.78</v>
      </c>
      <c r="O1123">
        <f>TEXT(A1123,"yyyy-mm")</f>
        <v/>
      </c>
    </row>
    <row r="1124">
      <c r="A1124" s="2" t="n">
        <v>45714</v>
      </c>
      <c r="B1124" t="n">
        <v>2025</v>
      </c>
      <c r="C1124" t="inlineStr">
        <is>
          <t>February</t>
        </is>
      </c>
      <c r="D1124" t="inlineStr">
        <is>
          <t>Essential Toolset</t>
        </is>
      </c>
      <c r="E1124" t="inlineStr">
        <is>
          <t>Home &amp; Garden</t>
        </is>
      </c>
      <c r="F1124" t="inlineStr">
        <is>
          <t>Mark Conti</t>
        </is>
      </c>
      <c r="G1124" t="inlineStr">
        <is>
          <t>Poland</t>
        </is>
      </c>
      <c r="H1124" t="inlineStr">
        <is>
          <t>Mobile App</t>
        </is>
      </c>
      <c r="I1124" t="n">
        <v>1</v>
      </c>
      <c r="J1124" s="3" t="n">
        <v>206.49</v>
      </c>
      <c r="K1124" s="3" t="n">
        <v>10.32</v>
      </c>
      <c r="L1124" s="3" t="n">
        <v>196.17</v>
      </c>
      <c r="M1124" s="3" t="n">
        <v>150.53</v>
      </c>
      <c r="N1124" s="3" t="n">
        <v>45.64</v>
      </c>
      <c r="O1124">
        <f>TEXT(A1124,"yyyy-mm")</f>
        <v/>
      </c>
    </row>
    <row r="1125">
      <c r="A1125" s="2" t="n">
        <v>45714</v>
      </c>
      <c r="B1125" t="n">
        <v>2025</v>
      </c>
      <c r="C1125" t="inlineStr">
        <is>
          <t>February</t>
        </is>
      </c>
      <c r="D1125" t="inlineStr">
        <is>
          <t>Essential Rug</t>
        </is>
      </c>
      <c r="E1125" t="inlineStr">
        <is>
          <t>Home &amp; Garden</t>
        </is>
      </c>
      <c r="F1125" t="inlineStr">
        <is>
          <t>Mark Conti</t>
        </is>
      </c>
      <c r="G1125" t="inlineStr">
        <is>
          <t>Poland</t>
        </is>
      </c>
      <c r="H1125" t="inlineStr">
        <is>
          <t>Mobile App</t>
        </is>
      </c>
      <c r="I1125" t="n">
        <v>3</v>
      </c>
      <c r="J1125" s="3" t="n">
        <v>392.67</v>
      </c>
      <c r="K1125" s="3" t="n">
        <v>0</v>
      </c>
      <c r="L1125" s="3" t="n">
        <v>392.67</v>
      </c>
      <c r="M1125" s="3" t="n">
        <v>228.99</v>
      </c>
      <c r="N1125" s="3" t="n">
        <v>163.68</v>
      </c>
      <c r="O1125">
        <f>TEXT(A1125,"yyyy-mm")</f>
        <v/>
      </c>
    </row>
    <row r="1126">
      <c r="A1126" s="2" t="n">
        <v>45714</v>
      </c>
      <c r="B1126" t="n">
        <v>2025</v>
      </c>
      <c r="C1126" t="inlineStr">
        <is>
          <t>February</t>
        </is>
      </c>
      <c r="D1126" t="inlineStr">
        <is>
          <t>Compact Jacket</t>
        </is>
      </c>
      <c r="E1126" t="inlineStr">
        <is>
          <t>Clothing</t>
        </is>
      </c>
      <c r="F1126" t="inlineStr">
        <is>
          <t>Paul Brown</t>
        </is>
      </c>
      <c r="G1126" t="inlineStr">
        <is>
          <t>United Kingdom</t>
        </is>
      </c>
      <c r="H1126" t="inlineStr">
        <is>
          <t>Mobile App</t>
        </is>
      </c>
      <c r="I1126" t="n">
        <v>1</v>
      </c>
      <c r="J1126" s="3" t="n">
        <v>38.82</v>
      </c>
      <c r="K1126" s="3" t="n">
        <v>0</v>
      </c>
      <c r="L1126" s="3" t="n">
        <v>38.82</v>
      </c>
      <c r="M1126" s="3" t="n">
        <v>20.4</v>
      </c>
      <c r="N1126" s="3" t="n">
        <v>18.42</v>
      </c>
      <c r="O1126">
        <f>TEXT(A1126,"yyyy-mm")</f>
        <v/>
      </c>
    </row>
    <row r="1127">
      <c r="A1127" s="2" t="n">
        <v>45714</v>
      </c>
      <c r="B1127" t="n">
        <v>2025</v>
      </c>
      <c r="C1127" t="inlineStr">
        <is>
          <t>February</t>
        </is>
      </c>
      <c r="D1127" t="inlineStr">
        <is>
          <t>Eco Planter</t>
        </is>
      </c>
      <c r="E1127" t="inlineStr">
        <is>
          <t>Home &amp; Garden</t>
        </is>
      </c>
      <c r="F1127" t="inlineStr">
        <is>
          <t>Paul Brown</t>
        </is>
      </c>
      <c r="G1127" t="inlineStr">
        <is>
          <t>United Kingdom</t>
        </is>
      </c>
      <c r="H1127" t="inlineStr">
        <is>
          <t>Mobile App</t>
        </is>
      </c>
      <c r="I1127" t="n">
        <v>2</v>
      </c>
      <c r="J1127" s="3" t="n">
        <v>375.36</v>
      </c>
      <c r="K1127" s="3" t="n">
        <v>37.54</v>
      </c>
      <c r="L1127" s="3" t="n">
        <v>337.82</v>
      </c>
      <c r="M1127" s="3" t="n">
        <v>224.82</v>
      </c>
      <c r="N1127" s="3" t="n">
        <v>113</v>
      </c>
      <c r="O1127">
        <f>TEXT(A1127,"yyyy-mm")</f>
        <v/>
      </c>
    </row>
    <row r="1128">
      <c r="A1128" s="2" t="n">
        <v>45714</v>
      </c>
      <c r="B1128" t="n">
        <v>2025</v>
      </c>
      <c r="C1128" t="inlineStr">
        <is>
          <t>February</t>
        </is>
      </c>
      <c r="D1128" t="inlineStr">
        <is>
          <t>Essential Planter</t>
        </is>
      </c>
      <c r="E1128" t="inlineStr">
        <is>
          <t>Home &amp; Garden</t>
        </is>
      </c>
      <c r="F1128" t="inlineStr">
        <is>
          <t>Paul Brown</t>
        </is>
      </c>
      <c r="G1128" t="inlineStr">
        <is>
          <t>United Kingdom</t>
        </is>
      </c>
      <c r="H1128" t="inlineStr">
        <is>
          <t>Mobile App</t>
        </is>
      </c>
      <c r="I1128" t="n">
        <v>3</v>
      </c>
      <c r="J1128" s="3" t="n">
        <v>79.11</v>
      </c>
      <c r="K1128" s="3" t="n">
        <v>0</v>
      </c>
      <c r="L1128" s="3" t="n">
        <v>79.11</v>
      </c>
      <c r="M1128" s="3" t="n">
        <v>58.92</v>
      </c>
      <c r="N1128" s="3" t="n">
        <v>20.19</v>
      </c>
      <c r="O1128">
        <f>TEXT(A1128,"yyyy-mm")</f>
        <v/>
      </c>
    </row>
    <row r="1129">
      <c r="A1129" s="2" t="n">
        <v>45715</v>
      </c>
      <c r="B1129" t="n">
        <v>2025</v>
      </c>
      <c r="C1129" t="inlineStr">
        <is>
          <t>February</t>
        </is>
      </c>
      <c r="D1129" t="inlineStr">
        <is>
          <t>Wireless Cookbook</t>
        </is>
      </c>
      <c r="E1129" t="inlineStr">
        <is>
          <t>Books</t>
        </is>
      </c>
      <c r="F1129" t="inlineStr">
        <is>
          <t>Michael Conti</t>
        </is>
      </c>
      <c r="G1129" t="inlineStr">
        <is>
          <t>Germany</t>
        </is>
      </c>
      <c r="H1129" t="inlineStr">
        <is>
          <t>Marketplace</t>
        </is>
      </c>
      <c r="I1129" t="n">
        <v>5</v>
      </c>
      <c r="J1129" s="3" t="n">
        <v>367</v>
      </c>
      <c r="K1129" s="3" t="n">
        <v>0</v>
      </c>
      <c r="L1129" s="3" t="n">
        <v>367</v>
      </c>
      <c r="M1129" s="3" t="n">
        <v>283.05</v>
      </c>
      <c r="N1129" s="3" t="n">
        <v>83.95</v>
      </c>
      <c r="O1129">
        <f>TEXT(A1129,"yyyy-mm")</f>
        <v/>
      </c>
    </row>
    <row r="1130">
      <c r="A1130" s="2" t="n">
        <v>45715</v>
      </c>
      <c r="B1130" t="n">
        <v>2025</v>
      </c>
      <c r="C1130" t="inlineStr">
        <is>
          <t>February</t>
        </is>
      </c>
      <c r="D1130" t="inlineStr">
        <is>
          <t>Classic Bike Helmet</t>
        </is>
      </c>
      <c r="E1130" t="inlineStr">
        <is>
          <t>Sports &amp; Outdoors</t>
        </is>
      </c>
      <c r="F1130" t="inlineStr">
        <is>
          <t>Michael Conti</t>
        </is>
      </c>
      <c r="G1130" t="inlineStr">
        <is>
          <t>Germany</t>
        </is>
      </c>
      <c r="H1130" t="inlineStr">
        <is>
          <t>Marketplace</t>
        </is>
      </c>
      <c r="I1130" t="n">
        <v>4</v>
      </c>
      <c r="J1130" s="3" t="n">
        <v>860</v>
      </c>
      <c r="K1130" s="3" t="n">
        <v>0</v>
      </c>
      <c r="L1130" s="3" t="n">
        <v>860</v>
      </c>
      <c r="M1130" s="3" t="n">
        <v>615.24</v>
      </c>
      <c r="N1130" s="3" t="n">
        <v>244.76</v>
      </c>
      <c r="O1130">
        <f>TEXT(A1130,"yyyy-mm")</f>
        <v/>
      </c>
    </row>
    <row r="1131">
      <c r="A1131" s="2" t="n">
        <v>45715</v>
      </c>
      <c r="B1131" t="n">
        <v>2025</v>
      </c>
      <c r="C1131" t="inlineStr">
        <is>
          <t>February</t>
        </is>
      </c>
      <c r="D1131" t="inlineStr">
        <is>
          <t>Wireless Coffee Beans</t>
        </is>
      </c>
      <c r="E1131" t="inlineStr">
        <is>
          <t>Grocery</t>
        </is>
      </c>
      <c r="F1131" t="inlineStr">
        <is>
          <t>Michael Conti</t>
        </is>
      </c>
      <c r="G1131" t="inlineStr">
        <is>
          <t>Germany</t>
        </is>
      </c>
      <c r="H1131" t="inlineStr">
        <is>
          <t>Marketplace</t>
        </is>
      </c>
      <c r="I1131" t="n">
        <v>5</v>
      </c>
      <c r="J1131" s="3" t="n">
        <v>607.05</v>
      </c>
      <c r="K1131" s="3" t="n">
        <v>30.35</v>
      </c>
      <c r="L1131" s="3" t="n">
        <v>576.7</v>
      </c>
      <c r="M1131" s="3" t="n">
        <v>396.85</v>
      </c>
      <c r="N1131" s="3" t="n">
        <v>179.85</v>
      </c>
      <c r="O1131">
        <f>TEXT(A1131,"yyyy-mm")</f>
        <v/>
      </c>
    </row>
    <row r="1132">
      <c r="A1132" s="2" t="n">
        <v>45715</v>
      </c>
      <c r="B1132" t="n">
        <v>2025</v>
      </c>
      <c r="C1132" t="inlineStr">
        <is>
          <t>February</t>
        </is>
      </c>
      <c r="D1132" t="inlineStr">
        <is>
          <t>Compact Jacket</t>
        </is>
      </c>
      <c r="E1132" t="inlineStr">
        <is>
          <t>Clothing</t>
        </is>
      </c>
      <c r="F1132" t="inlineStr">
        <is>
          <t>David Johnson</t>
        </is>
      </c>
      <c r="G1132" t="inlineStr">
        <is>
          <t>Poland</t>
        </is>
      </c>
      <c r="H1132" t="inlineStr">
        <is>
          <t>Web Store</t>
        </is>
      </c>
      <c r="I1132" t="n">
        <v>2</v>
      </c>
      <c r="J1132" s="3" t="n">
        <v>72.84</v>
      </c>
      <c r="K1132" s="3" t="n">
        <v>0</v>
      </c>
      <c r="L1132" s="3" t="n">
        <v>72.84</v>
      </c>
      <c r="M1132" s="3" t="n">
        <v>40.8</v>
      </c>
      <c r="N1132" s="3" t="n">
        <v>32.04</v>
      </c>
      <c r="O1132">
        <f>TEXT(A1132,"yyyy-mm")</f>
        <v/>
      </c>
    </row>
    <row r="1133">
      <c r="A1133" s="2" t="n">
        <v>45715</v>
      </c>
      <c r="B1133" t="n">
        <v>2025</v>
      </c>
      <c r="C1133" t="inlineStr">
        <is>
          <t>February</t>
        </is>
      </c>
      <c r="D1133" t="inlineStr">
        <is>
          <t>Compact Pasta</t>
        </is>
      </c>
      <c r="E1133" t="inlineStr">
        <is>
          <t>Grocery</t>
        </is>
      </c>
      <c r="F1133" t="inlineStr">
        <is>
          <t>Daniel Wilson</t>
        </is>
      </c>
      <c r="G1133" t="inlineStr">
        <is>
          <t>Italy</t>
        </is>
      </c>
      <c r="H1133" t="inlineStr">
        <is>
          <t>Mobile App</t>
        </is>
      </c>
      <c r="I1133" t="n">
        <v>2</v>
      </c>
      <c r="J1133" s="3" t="n">
        <v>652.8200000000001</v>
      </c>
      <c r="K1133" s="3" t="n">
        <v>97.92</v>
      </c>
      <c r="L1133" s="3" t="n">
        <v>554.9</v>
      </c>
      <c r="M1133" s="3" t="n">
        <v>398.8</v>
      </c>
      <c r="N1133" s="3" t="n">
        <v>156.1</v>
      </c>
      <c r="O1133">
        <f>TEXT(A1133,"yyyy-mm")</f>
        <v/>
      </c>
    </row>
    <row r="1134">
      <c r="A1134" s="2" t="n">
        <v>45715</v>
      </c>
      <c r="B1134" t="n">
        <v>2025</v>
      </c>
      <c r="C1134" t="inlineStr">
        <is>
          <t>February</t>
        </is>
      </c>
      <c r="D1134" t="inlineStr">
        <is>
          <t>Essential Jacket</t>
        </is>
      </c>
      <c r="E1134" t="inlineStr">
        <is>
          <t>Clothing</t>
        </is>
      </c>
      <c r="F1134" t="inlineStr">
        <is>
          <t>Daniel Wilson</t>
        </is>
      </c>
      <c r="G1134" t="inlineStr">
        <is>
          <t>Italy</t>
        </is>
      </c>
      <c r="H1134" t="inlineStr">
        <is>
          <t>Mobile App</t>
        </is>
      </c>
      <c r="I1134" t="n">
        <v>1</v>
      </c>
      <c r="J1134" s="3" t="n">
        <v>139.81</v>
      </c>
      <c r="K1134" s="3" t="n">
        <v>13.98</v>
      </c>
      <c r="L1134" s="3" t="n">
        <v>125.83</v>
      </c>
      <c r="M1134" s="3" t="n">
        <v>85.34999999999999</v>
      </c>
      <c r="N1134" s="3" t="n">
        <v>40.48</v>
      </c>
      <c r="O1134">
        <f>TEXT(A1134,"yyyy-mm")</f>
        <v/>
      </c>
    </row>
    <row r="1135">
      <c r="A1135" s="2" t="n">
        <v>45715</v>
      </c>
      <c r="B1135" t="n">
        <v>2025</v>
      </c>
      <c r="C1135" t="inlineStr">
        <is>
          <t>February</t>
        </is>
      </c>
      <c r="D1135" t="inlineStr">
        <is>
          <t>Smart Sweater</t>
        </is>
      </c>
      <c r="E1135" t="inlineStr">
        <is>
          <t>Clothing</t>
        </is>
      </c>
      <c r="F1135" t="inlineStr">
        <is>
          <t>Daniel Wilson</t>
        </is>
      </c>
      <c r="G1135" t="inlineStr">
        <is>
          <t>Italy</t>
        </is>
      </c>
      <c r="H1135" t="inlineStr">
        <is>
          <t>Mobile App</t>
        </is>
      </c>
      <c r="I1135" t="n">
        <v>3</v>
      </c>
      <c r="J1135" s="3" t="n">
        <v>415.77</v>
      </c>
      <c r="K1135" s="3" t="n">
        <v>20.79</v>
      </c>
      <c r="L1135" s="3" t="n">
        <v>394.98</v>
      </c>
      <c r="M1135" s="3" t="n">
        <v>232.05</v>
      </c>
      <c r="N1135" s="3" t="n">
        <v>162.93</v>
      </c>
      <c r="O1135">
        <f>TEXT(A1135,"yyyy-mm")</f>
        <v/>
      </c>
    </row>
    <row r="1136">
      <c r="A1136" s="2" t="n">
        <v>45716</v>
      </c>
      <c r="B1136" t="n">
        <v>2025</v>
      </c>
      <c r="C1136" t="inlineStr">
        <is>
          <t>February</t>
        </is>
      </c>
      <c r="D1136" t="inlineStr">
        <is>
          <t>Essential Toolset</t>
        </is>
      </c>
      <c r="E1136" t="inlineStr">
        <is>
          <t>Home &amp; Garden</t>
        </is>
      </c>
      <c r="F1136" t="inlineStr">
        <is>
          <t>Anna Nowak</t>
        </is>
      </c>
      <c r="G1136" t="inlineStr">
        <is>
          <t>Poland</t>
        </is>
      </c>
      <c r="H1136" t="inlineStr">
        <is>
          <t>Retail Store</t>
        </is>
      </c>
      <c r="I1136" t="n">
        <v>5</v>
      </c>
      <c r="J1136" s="3" t="n">
        <v>1077.75</v>
      </c>
      <c r="K1136" s="3" t="n">
        <v>0</v>
      </c>
      <c r="L1136" s="3" t="n">
        <v>1077.75</v>
      </c>
      <c r="M1136" s="3" t="n">
        <v>752.65</v>
      </c>
      <c r="N1136" s="3" t="n">
        <v>325.1</v>
      </c>
      <c r="O1136">
        <f>TEXT(A1136,"yyyy-mm")</f>
        <v/>
      </c>
    </row>
    <row r="1137">
      <c r="A1137" s="2" t="n">
        <v>45716</v>
      </c>
      <c r="B1137" t="n">
        <v>2025</v>
      </c>
      <c r="C1137" t="inlineStr">
        <is>
          <t>February</t>
        </is>
      </c>
      <c r="D1137" t="inlineStr">
        <is>
          <t>Smart Jeans</t>
        </is>
      </c>
      <c r="E1137" t="inlineStr">
        <is>
          <t>Clothing</t>
        </is>
      </c>
      <c r="F1137" t="inlineStr">
        <is>
          <t>Anna Nowak</t>
        </is>
      </c>
      <c r="G1137" t="inlineStr">
        <is>
          <t>Poland</t>
        </is>
      </c>
      <c r="H1137" t="inlineStr">
        <is>
          <t>Retail Store</t>
        </is>
      </c>
      <c r="I1137" t="n">
        <v>1</v>
      </c>
      <c r="J1137" s="3" t="n">
        <v>299.39</v>
      </c>
      <c r="K1137" s="3" t="n">
        <v>29.94</v>
      </c>
      <c r="L1137" s="3" t="n">
        <v>269.45</v>
      </c>
      <c r="M1137" s="3" t="n">
        <v>193.64</v>
      </c>
      <c r="N1137" s="3" t="n">
        <v>75.81</v>
      </c>
      <c r="O1137">
        <f>TEXT(A1137,"yyyy-mm")</f>
        <v/>
      </c>
    </row>
    <row r="1138">
      <c r="A1138" s="2" t="n">
        <v>45716</v>
      </c>
      <c r="B1138" t="n">
        <v>2025</v>
      </c>
      <c r="C1138" t="inlineStr">
        <is>
          <t>February</t>
        </is>
      </c>
      <c r="D1138" t="inlineStr">
        <is>
          <t>Smart Drone</t>
        </is>
      </c>
      <c r="E1138" t="inlineStr">
        <is>
          <t>Toys &amp; Games</t>
        </is>
      </c>
      <c r="F1138" t="inlineStr">
        <is>
          <t>Anna Nowak</t>
        </is>
      </c>
      <c r="G1138" t="inlineStr">
        <is>
          <t>Poland</t>
        </is>
      </c>
      <c r="H1138" t="inlineStr">
        <is>
          <t>Retail Store</t>
        </is>
      </c>
      <c r="I1138" t="n">
        <v>2</v>
      </c>
      <c r="J1138" s="3" t="n">
        <v>460.9</v>
      </c>
      <c r="K1138" s="3" t="n">
        <v>92.18000000000001</v>
      </c>
      <c r="L1138" s="3" t="n">
        <v>368.72</v>
      </c>
      <c r="M1138" s="3" t="n">
        <v>253.9</v>
      </c>
      <c r="N1138" s="3" t="n">
        <v>114.82</v>
      </c>
      <c r="O1138">
        <f>TEXT(A1138,"yyyy-mm")</f>
        <v/>
      </c>
    </row>
    <row r="1139">
      <c r="A1139" s="2" t="n">
        <v>45716</v>
      </c>
      <c r="B1139" t="n">
        <v>2025</v>
      </c>
      <c r="C1139" t="inlineStr">
        <is>
          <t>February</t>
        </is>
      </c>
      <c r="D1139" t="inlineStr">
        <is>
          <t>Deluxe Puzzle</t>
        </is>
      </c>
      <c r="E1139" t="inlineStr">
        <is>
          <t>Toys &amp; Games</t>
        </is>
      </c>
      <c r="F1139" t="inlineStr">
        <is>
          <t>Robert Moreau</t>
        </is>
      </c>
      <c r="G1139" t="inlineStr">
        <is>
          <t>Spain</t>
        </is>
      </c>
      <c r="H1139" t="inlineStr">
        <is>
          <t>Web Store</t>
        </is>
      </c>
      <c r="I1139" t="n">
        <v>5</v>
      </c>
      <c r="J1139" s="3" t="n">
        <v>1032.9</v>
      </c>
      <c r="K1139" s="3" t="n">
        <v>103.29</v>
      </c>
      <c r="L1139" s="3" t="n">
        <v>929.61</v>
      </c>
      <c r="M1139" s="3" t="n">
        <v>555.85</v>
      </c>
      <c r="N1139" s="3" t="n">
        <v>373.76</v>
      </c>
      <c r="O1139">
        <f>TEXT(A1139,"yyyy-mm")</f>
        <v/>
      </c>
    </row>
    <row r="1140">
      <c r="A1140" s="2" t="n">
        <v>45716</v>
      </c>
      <c r="B1140" t="n">
        <v>2025</v>
      </c>
      <c r="C1140" t="inlineStr">
        <is>
          <t>February</t>
        </is>
      </c>
      <c r="D1140" t="inlineStr">
        <is>
          <t>Smart Jeans</t>
        </is>
      </c>
      <c r="E1140" t="inlineStr">
        <is>
          <t>Clothing</t>
        </is>
      </c>
      <c r="F1140" t="inlineStr">
        <is>
          <t>Robert Moreau</t>
        </is>
      </c>
      <c r="G1140" t="inlineStr">
        <is>
          <t>Spain</t>
        </is>
      </c>
      <c r="H1140" t="inlineStr">
        <is>
          <t>Web Store</t>
        </is>
      </c>
      <c r="I1140" t="n">
        <v>3</v>
      </c>
      <c r="J1140" s="3" t="n">
        <v>862.47</v>
      </c>
      <c r="K1140" s="3" t="n">
        <v>86.25</v>
      </c>
      <c r="L1140" s="3" t="n">
        <v>776.22</v>
      </c>
      <c r="M1140" s="3" t="n">
        <v>580.92</v>
      </c>
      <c r="N1140" s="3" t="n">
        <v>195.3</v>
      </c>
      <c r="O1140">
        <f>TEXT(A1140,"yyyy-mm")</f>
        <v/>
      </c>
    </row>
    <row r="1141">
      <c r="A1141" s="2" t="n">
        <v>45716</v>
      </c>
      <c r="B1141" t="n">
        <v>2025</v>
      </c>
      <c r="C1141" t="inlineStr">
        <is>
          <t>February</t>
        </is>
      </c>
      <c r="D1141" t="inlineStr">
        <is>
          <t>Premium Tent</t>
        </is>
      </c>
      <c r="E1141" t="inlineStr">
        <is>
          <t>Sports &amp; Outdoors</t>
        </is>
      </c>
      <c r="F1141" t="inlineStr">
        <is>
          <t>Robert Moreau</t>
        </is>
      </c>
      <c r="G1141" t="inlineStr">
        <is>
          <t>Spain</t>
        </is>
      </c>
      <c r="H1141" t="inlineStr">
        <is>
          <t>Web Store</t>
        </is>
      </c>
      <c r="I1141" t="n">
        <v>1</v>
      </c>
      <c r="J1141" s="3" t="n">
        <v>148.58</v>
      </c>
      <c r="K1141" s="3" t="n">
        <v>0</v>
      </c>
      <c r="L1141" s="3" t="n">
        <v>148.58</v>
      </c>
      <c r="M1141" s="3" t="n">
        <v>96.40000000000001</v>
      </c>
      <c r="N1141" s="3" t="n">
        <v>52.18</v>
      </c>
      <c r="O1141">
        <f>TEXT(A1141,"yyyy-mm")</f>
        <v/>
      </c>
    </row>
    <row r="1142">
      <c r="A1142" s="2" t="n">
        <v>45716</v>
      </c>
      <c r="B1142" t="n">
        <v>2025</v>
      </c>
      <c r="C1142" t="inlineStr">
        <is>
          <t>February</t>
        </is>
      </c>
      <c r="D1142" t="inlineStr">
        <is>
          <t>Wireless Drone</t>
        </is>
      </c>
      <c r="E1142" t="inlineStr">
        <is>
          <t>Toys &amp; Games</t>
        </is>
      </c>
      <c r="F1142" t="inlineStr">
        <is>
          <t>Clara Martin</t>
        </is>
      </c>
      <c r="G1142" t="inlineStr">
        <is>
          <t>United States</t>
        </is>
      </c>
      <c r="H1142" t="inlineStr">
        <is>
          <t>Retail Store</t>
        </is>
      </c>
      <c r="I1142" t="n">
        <v>1</v>
      </c>
      <c r="J1142" s="3" t="n">
        <v>212.48</v>
      </c>
      <c r="K1142" s="3" t="n">
        <v>0</v>
      </c>
      <c r="L1142" s="3" t="n">
        <v>212.48</v>
      </c>
      <c r="M1142" s="3" t="n">
        <v>131.29</v>
      </c>
      <c r="N1142" s="3" t="n">
        <v>81.19</v>
      </c>
      <c r="O1142">
        <f>TEXT(A1142,"yyyy-mm")</f>
        <v/>
      </c>
    </row>
    <row r="1143">
      <c r="A1143" s="2" t="n">
        <v>45716</v>
      </c>
      <c r="B1143" t="n">
        <v>2025</v>
      </c>
      <c r="C1143" t="inlineStr">
        <is>
          <t>February</t>
        </is>
      </c>
      <c r="D1143" t="inlineStr">
        <is>
          <t>Portable Speaker</t>
        </is>
      </c>
      <c r="E1143" t="inlineStr">
        <is>
          <t>Electronics</t>
        </is>
      </c>
      <c r="F1143" t="inlineStr">
        <is>
          <t>Olivia Muller</t>
        </is>
      </c>
      <c r="G1143" t="inlineStr">
        <is>
          <t>United Kingdom</t>
        </is>
      </c>
      <c r="H1143" t="inlineStr">
        <is>
          <t>Mobile App</t>
        </is>
      </c>
      <c r="I1143" t="n">
        <v>3</v>
      </c>
      <c r="J1143" s="3" t="n">
        <v>965.67</v>
      </c>
      <c r="K1143" s="3" t="n">
        <v>144.85</v>
      </c>
      <c r="L1143" s="3" t="n">
        <v>820.8200000000001</v>
      </c>
      <c r="M1143" s="3" t="n">
        <v>524.49</v>
      </c>
      <c r="N1143" s="3" t="n">
        <v>296.33</v>
      </c>
      <c r="O1143">
        <f>TEXT(A1143,"yyyy-mm")</f>
        <v/>
      </c>
    </row>
    <row r="1144">
      <c r="A1144" s="2" t="n">
        <v>45716</v>
      </c>
      <c r="B1144" t="n">
        <v>2025</v>
      </c>
      <c r="C1144" t="inlineStr">
        <is>
          <t>February</t>
        </is>
      </c>
      <c r="D1144" t="inlineStr">
        <is>
          <t>Premium Tent</t>
        </is>
      </c>
      <c r="E1144" t="inlineStr">
        <is>
          <t>Sports &amp; Outdoors</t>
        </is>
      </c>
      <c r="F1144" t="inlineStr">
        <is>
          <t>Olivia Muller</t>
        </is>
      </c>
      <c r="G1144" t="inlineStr">
        <is>
          <t>United Kingdom</t>
        </is>
      </c>
      <c r="H1144" t="inlineStr">
        <is>
          <t>Mobile App</t>
        </is>
      </c>
      <c r="I1144" t="n">
        <v>1</v>
      </c>
      <c r="J1144" s="3" t="n">
        <v>269.03</v>
      </c>
      <c r="K1144" s="3" t="n">
        <v>13.45</v>
      </c>
      <c r="L1144" s="3" t="n">
        <v>255.58</v>
      </c>
      <c r="M1144" s="3" t="n">
        <v>139.04</v>
      </c>
      <c r="N1144" s="3" t="n">
        <v>116.54</v>
      </c>
      <c r="O1144">
        <f>TEXT(A1144,"yyyy-mm")</f>
        <v/>
      </c>
    </row>
    <row r="1145">
      <c r="A1145" s="2" t="n">
        <v>45716</v>
      </c>
      <c r="B1145" t="n">
        <v>2025</v>
      </c>
      <c r="C1145" t="inlineStr">
        <is>
          <t>February</t>
        </is>
      </c>
      <c r="D1145" t="inlineStr">
        <is>
          <t>Smart Honey</t>
        </is>
      </c>
      <c r="E1145" t="inlineStr">
        <is>
          <t>Grocery</t>
        </is>
      </c>
      <c r="F1145" t="inlineStr">
        <is>
          <t>Olivia Muller</t>
        </is>
      </c>
      <c r="G1145" t="inlineStr">
        <is>
          <t>United Kingdom</t>
        </is>
      </c>
      <c r="H1145" t="inlineStr">
        <is>
          <t>Mobile App</t>
        </is>
      </c>
      <c r="I1145" t="n">
        <v>5</v>
      </c>
      <c r="J1145" s="3" t="n">
        <v>674.15</v>
      </c>
      <c r="K1145" s="3" t="n">
        <v>101.12</v>
      </c>
      <c r="L1145" s="3" t="n">
        <v>573.03</v>
      </c>
      <c r="M1145" s="3" t="n">
        <v>357.2</v>
      </c>
      <c r="N1145" s="3" t="n">
        <v>215.83</v>
      </c>
      <c r="O1145">
        <f>TEXT(A1145,"yyyy-mm")</f>
        <v/>
      </c>
    </row>
    <row r="1146">
      <c r="A1146" s="2" t="n">
        <v>45716</v>
      </c>
      <c r="B1146" t="n">
        <v>2025</v>
      </c>
      <c r="C1146" t="inlineStr">
        <is>
          <t>February</t>
        </is>
      </c>
      <c r="D1146" t="inlineStr">
        <is>
          <t>Compact Pasta</t>
        </is>
      </c>
      <c r="E1146" t="inlineStr">
        <is>
          <t>Grocery</t>
        </is>
      </c>
      <c r="F1146" t="inlineStr">
        <is>
          <t>Olivia Muller</t>
        </is>
      </c>
      <c r="G1146" t="inlineStr">
        <is>
          <t>United Kingdom</t>
        </is>
      </c>
      <c r="H1146" t="inlineStr">
        <is>
          <t>Mobile App</t>
        </is>
      </c>
      <c r="I1146" t="n">
        <v>5</v>
      </c>
      <c r="J1146" s="3" t="n">
        <v>1521.95</v>
      </c>
      <c r="K1146" s="3" t="n">
        <v>152.2</v>
      </c>
      <c r="L1146" s="3" t="n">
        <v>1369.76</v>
      </c>
      <c r="M1146" s="3" t="n">
        <v>997</v>
      </c>
      <c r="N1146" s="3" t="n">
        <v>372.75</v>
      </c>
      <c r="O1146">
        <f>TEXT(A1146,"yyyy-mm")</f>
        <v/>
      </c>
    </row>
    <row r="1147">
      <c r="A1147" s="2" t="n">
        <v>45718</v>
      </c>
      <c r="B1147" t="n">
        <v>2025</v>
      </c>
      <c r="C1147" t="inlineStr">
        <is>
          <t>March</t>
        </is>
      </c>
      <c r="D1147" t="inlineStr">
        <is>
          <t>Premium Water Bottle</t>
        </is>
      </c>
      <c r="E1147" t="inlineStr">
        <is>
          <t>Sports &amp; Outdoors</t>
        </is>
      </c>
      <c r="F1147" t="inlineStr">
        <is>
          <t>Mark Smith</t>
        </is>
      </c>
      <c r="G1147" t="inlineStr">
        <is>
          <t>United States</t>
        </is>
      </c>
      <c r="H1147" t="inlineStr">
        <is>
          <t>Web Store</t>
        </is>
      </c>
      <c r="I1147" t="n">
        <v>1</v>
      </c>
      <c r="J1147" s="3" t="n">
        <v>127.71</v>
      </c>
      <c r="K1147" s="3" t="n">
        <v>0</v>
      </c>
      <c r="L1147" s="3" t="n">
        <v>127.71</v>
      </c>
      <c r="M1147" s="3" t="n">
        <v>89.62</v>
      </c>
      <c r="N1147" s="3" t="n">
        <v>38.09</v>
      </c>
      <c r="O1147">
        <f>TEXT(A1147,"yyyy-mm")</f>
        <v/>
      </c>
    </row>
    <row r="1148">
      <c r="A1148" s="2" t="n">
        <v>45718</v>
      </c>
      <c r="B1148" t="n">
        <v>2025</v>
      </c>
      <c r="C1148" t="inlineStr">
        <is>
          <t>March</t>
        </is>
      </c>
      <c r="D1148" t="inlineStr">
        <is>
          <t>Essential Pasta</t>
        </is>
      </c>
      <c r="E1148" t="inlineStr">
        <is>
          <t>Grocery</t>
        </is>
      </c>
      <c r="F1148" t="inlineStr">
        <is>
          <t>Michael Brown</t>
        </is>
      </c>
      <c r="G1148" t="inlineStr">
        <is>
          <t>Spain</t>
        </is>
      </c>
      <c r="H1148" t="inlineStr">
        <is>
          <t>Retail Store</t>
        </is>
      </c>
      <c r="I1148" t="n">
        <v>3</v>
      </c>
      <c r="J1148" s="3" t="n">
        <v>169.77</v>
      </c>
      <c r="K1148" s="3" t="n">
        <v>0</v>
      </c>
      <c r="L1148" s="3" t="n">
        <v>169.77</v>
      </c>
      <c r="M1148" s="3" t="n">
        <v>107.43</v>
      </c>
      <c r="N1148" s="3" t="n">
        <v>62.34</v>
      </c>
      <c r="O1148">
        <f>TEXT(A1148,"yyyy-mm")</f>
        <v/>
      </c>
    </row>
    <row r="1149">
      <c r="A1149" s="2" t="n">
        <v>45718</v>
      </c>
      <c r="B1149" t="n">
        <v>2025</v>
      </c>
      <c r="C1149" t="inlineStr">
        <is>
          <t>March</t>
        </is>
      </c>
      <c r="D1149" t="inlineStr">
        <is>
          <t>Deluxe Smartwatch</t>
        </is>
      </c>
      <c r="E1149" t="inlineStr">
        <is>
          <t>Electronics</t>
        </is>
      </c>
      <c r="F1149" t="inlineStr">
        <is>
          <t>Laura Schmidt</t>
        </is>
      </c>
      <c r="G1149" t="inlineStr">
        <is>
          <t>United States</t>
        </is>
      </c>
      <c r="H1149" t="inlineStr">
        <is>
          <t>Retail Store</t>
        </is>
      </c>
      <c r="I1149" t="n">
        <v>1</v>
      </c>
      <c r="J1149" s="3" t="n">
        <v>153.48</v>
      </c>
      <c r="K1149" s="3" t="n">
        <v>0</v>
      </c>
      <c r="L1149" s="3" t="n">
        <v>153.48</v>
      </c>
      <c r="M1149" s="3" t="n">
        <v>122.72</v>
      </c>
      <c r="N1149" s="3" t="n">
        <v>30.76</v>
      </c>
      <c r="O1149">
        <f>TEXT(A1149,"yyyy-mm")</f>
        <v/>
      </c>
    </row>
    <row r="1150">
      <c r="A1150" s="2" t="n">
        <v>45718</v>
      </c>
      <c r="B1150" t="n">
        <v>2025</v>
      </c>
      <c r="C1150" t="inlineStr">
        <is>
          <t>March</t>
        </is>
      </c>
      <c r="D1150" t="inlineStr">
        <is>
          <t>Premium Water Bottle</t>
        </is>
      </c>
      <c r="E1150" t="inlineStr">
        <is>
          <t>Sports &amp; Outdoors</t>
        </is>
      </c>
      <c r="F1150" t="inlineStr">
        <is>
          <t>Robert Dubois</t>
        </is>
      </c>
      <c r="G1150" t="inlineStr">
        <is>
          <t>France</t>
        </is>
      </c>
      <c r="H1150" t="inlineStr">
        <is>
          <t>Web Store</t>
        </is>
      </c>
      <c r="I1150" t="n">
        <v>5</v>
      </c>
      <c r="J1150" s="3" t="n">
        <v>152.05</v>
      </c>
      <c r="K1150" s="3" t="n">
        <v>22.81</v>
      </c>
      <c r="L1150" s="3" t="n">
        <v>129.24</v>
      </c>
      <c r="M1150" s="3" t="n">
        <v>83.15000000000001</v>
      </c>
      <c r="N1150" s="3" t="n">
        <v>46.09</v>
      </c>
      <c r="O1150">
        <f>TEXT(A1150,"yyyy-mm")</f>
        <v/>
      </c>
    </row>
    <row r="1151">
      <c r="A1151" s="2" t="n">
        <v>45718</v>
      </c>
      <c r="B1151" t="n">
        <v>2025</v>
      </c>
      <c r="C1151" t="inlineStr">
        <is>
          <t>March</t>
        </is>
      </c>
      <c r="D1151" t="inlineStr">
        <is>
          <t>Classic Tea Set</t>
        </is>
      </c>
      <c r="E1151" t="inlineStr">
        <is>
          <t>Grocery</t>
        </is>
      </c>
      <c r="F1151" t="inlineStr">
        <is>
          <t>Laura Schmidt</t>
        </is>
      </c>
      <c r="G1151" t="inlineStr">
        <is>
          <t>United States</t>
        </is>
      </c>
      <c r="H1151" t="inlineStr">
        <is>
          <t>Retail Store</t>
        </is>
      </c>
      <c r="I1151" t="n">
        <v>4</v>
      </c>
      <c r="J1151" s="3" t="n">
        <v>691.6799999999999</v>
      </c>
      <c r="K1151" s="3" t="n">
        <v>34.58</v>
      </c>
      <c r="L1151" s="3" t="n">
        <v>657.1</v>
      </c>
      <c r="M1151" s="3" t="n">
        <v>501.6</v>
      </c>
      <c r="N1151" s="3" t="n">
        <v>155.5</v>
      </c>
      <c r="O1151">
        <f>TEXT(A1151,"yyyy-mm")</f>
        <v/>
      </c>
    </row>
    <row r="1152">
      <c r="A1152" s="2" t="n">
        <v>45718</v>
      </c>
      <c r="B1152" t="n">
        <v>2025</v>
      </c>
      <c r="C1152" t="inlineStr">
        <is>
          <t>March</t>
        </is>
      </c>
      <c r="D1152" t="inlineStr">
        <is>
          <t>Premium Tent</t>
        </is>
      </c>
      <c r="E1152" t="inlineStr">
        <is>
          <t>Sports &amp; Outdoors</t>
        </is>
      </c>
      <c r="F1152" t="inlineStr">
        <is>
          <t>Robert Dubois</t>
        </is>
      </c>
      <c r="G1152" t="inlineStr">
        <is>
          <t>France</t>
        </is>
      </c>
      <c r="H1152" t="inlineStr">
        <is>
          <t>Web Store</t>
        </is>
      </c>
      <c r="I1152" t="n">
        <v>5</v>
      </c>
      <c r="J1152" s="3" t="n">
        <v>737.1</v>
      </c>
      <c r="K1152" s="3" t="n">
        <v>0</v>
      </c>
      <c r="L1152" s="3" t="n">
        <v>737.1</v>
      </c>
      <c r="M1152" s="3" t="n">
        <v>482</v>
      </c>
      <c r="N1152" s="3" t="n">
        <v>255.1</v>
      </c>
      <c r="O1152">
        <f>TEXT(A1152,"yyyy-mm")</f>
        <v/>
      </c>
    </row>
    <row r="1153">
      <c r="A1153" s="2" t="n">
        <v>45718</v>
      </c>
      <c r="B1153" t="n">
        <v>2025</v>
      </c>
      <c r="C1153" t="inlineStr">
        <is>
          <t>March</t>
        </is>
      </c>
      <c r="D1153" t="inlineStr">
        <is>
          <t>Compact Jacket</t>
        </is>
      </c>
      <c r="E1153" t="inlineStr">
        <is>
          <t>Clothing</t>
        </is>
      </c>
      <c r="F1153" t="inlineStr">
        <is>
          <t>Robert Dubois</t>
        </is>
      </c>
      <c r="G1153" t="inlineStr">
        <is>
          <t>France</t>
        </is>
      </c>
      <c r="H1153" t="inlineStr">
        <is>
          <t>Web Store</t>
        </is>
      </c>
      <c r="I1153" t="n">
        <v>4</v>
      </c>
      <c r="J1153" s="3" t="n">
        <v>156.04</v>
      </c>
      <c r="K1153" s="3" t="n">
        <v>0</v>
      </c>
      <c r="L1153" s="3" t="n">
        <v>156.04</v>
      </c>
      <c r="M1153" s="3" t="n">
        <v>81.59999999999999</v>
      </c>
      <c r="N1153" s="3" t="n">
        <v>74.44</v>
      </c>
      <c r="O1153">
        <f>TEXT(A1153,"yyyy-mm")</f>
        <v/>
      </c>
    </row>
    <row r="1154">
      <c r="A1154" s="2" t="n">
        <v>45718</v>
      </c>
      <c r="B1154" t="n">
        <v>2025</v>
      </c>
      <c r="C1154" t="inlineStr">
        <is>
          <t>March</t>
        </is>
      </c>
      <c r="D1154" t="inlineStr">
        <is>
          <t>Essential Rug</t>
        </is>
      </c>
      <c r="E1154" t="inlineStr">
        <is>
          <t>Home &amp; Garden</t>
        </is>
      </c>
      <c r="F1154" t="inlineStr">
        <is>
          <t>Laura Schmidt</t>
        </is>
      </c>
      <c r="G1154" t="inlineStr">
        <is>
          <t>United States</t>
        </is>
      </c>
      <c r="H1154" t="inlineStr">
        <is>
          <t>Retail Store</t>
        </is>
      </c>
      <c r="I1154" t="n">
        <v>2</v>
      </c>
      <c r="J1154" s="3" t="n">
        <v>263.96</v>
      </c>
      <c r="K1154" s="3" t="n">
        <v>39.59</v>
      </c>
      <c r="L1154" s="3" t="n">
        <v>224.37</v>
      </c>
      <c r="M1154" s="3" t="n">
        <v>152.66</v>
      </c>
      <c r="N1154" s="3" t="n">
        <v>71.70999999999999</v>
      </c>
      <c r="O1154">
        <f>TEXT(A1154,"yyyy-mm")</f>
        <v/>
      </c>
    </row>
    <row r="1155">
      <c r="A1155" s="2" t="n">
        <v>45718</v>
      </c>
      <c r="B1155" t="n">
        <v>2025</v>
      </c>
      <c r="C1155" t="inlineStr">
        <is>
          <t>March</t>
        </is>
      </c>
      <c r="D1155" t="inlineStr">
        <is>
          <t>Wireless Coffee Beans</t>
        </is>
      </c>
      <c r="E1155" t="inlineStr">
        <is>
          <t>Grocery</t>
        </is>
      </c>
      <c r="F1155" t="inlineStr">
        <is>
          <t>Laura Schmidt</t>
        </is>
      </c>
      <c r="G1155" t="inlineStr">
        <is>
          <t>United States</t>
        </is>
      </c>
      <c r="H1155" t="inlineStr">
        <is>
          <t>Retail Store</t>
        </is>
      </c>
      <c r="I1155" t="n">
        <v>4</v>
      </c>
      <c r="J1155" s="3" t="n">
        <v>894.84</v>
      </c>
      <c r="K1155" s="3" t="n">
        <v>44.74</v>
      </c>
      <c r="L1155" s="3" t="n">
        <v>850.1</v>
      </c>
      <c r="M1155" s="3" t="n">
        <v>520.52</v>
      </c>
      <c r="N1155" s="3" t="n">
        <v>329.58</v>
      </c>
      <c r="O1155">
        <f>TEXT(A1155,"yyyy-mm")</f>
        <v/>
      </c>
    </row>
    <row r="1156">
      <c r="A1156" s="2" t="n">
        <v>45719</v>
      </c>
      <c r="B1156" t="n">
        <v>2025</v>
      </c>
      <c r="C1156" t="inlineStr">
        <is>
          <t>March</t>
        </is>
      </c>
      <c r="D1156" t="inlineStr">
        <is>
          <t>Eco Drone</t>
        </is>
      </c>
      <c r="E1156" t="inlineStr">
        <is>
          <t>Toys &amp; Games</t>
        </is>
      </c>
      <c r="F1156" t="inlineStr">
        <is>
          <t>David Johnson</t>
        </is>
      </c>
      <c r="G1156" t="inlineStr">
        <is>
          <t>Spain</t>
        </is>
      </c>
      <c r="H1156" t="inlineStr">
        <is>
          <t>Mobile App</t>
        </is>
      </c>
      <c r="I1156" t="n">
        <v>2</v>
      </c>
      <c r="J1156" s="3" t="n">
        <v>415.86</v>
      </c>
      <c r="K1156" s="3" t="n">
        <v>41.59</v>
      </c>
      <c r="L1156" s="3" t="n">
        <v>374.27</v>
      </c>
      <c r="M1156" s="3" t="n">
        <v>259.18</v>
      </c>
      <c r="N1156" s="3" t="n">
        <v>115.09</v>
      </c>
      <c r="O1156">
        <f>TEXT(A1156,"yyyy-mm")</f>
        <v/>
      </c>
    </row>
    <row r="1157">
      <c r="A1157" s="2" t="n">
        <v>45719</v>
      </c>
      <c r="B1157" t="n">
        <v>2025</v>
      </c>
      <c r="C1157" t="inlineStr">
        <is>
          <t>March</t>
        </is>
      </c>
      <c r="D1157" t="inlineStr">
        <is>
          <t>Essential Planter</t>
        </is>
      </c>
      <c r="E1157" t="inlineStr">
        <is>
          <t>Home &amp; Garden</t>
        </is>
      </c>
      <c r="F1157" t="inlineStr">
        <is>
          <t>David Johnson</t>
        </is>
      </c>
      <c r="G1157" t="inlineStr">
        <is>
          <t>Spain</t>
        </is>
      </c>
      <c r="H1157" t="inlineStr">
        <is>
          <t>Mobile App</t>
        </is>
      </c>
      <c r="I1157" t="n">
        <v>3</v>
      </c>
      <c r="J1157" s="3" t="n">
        <v>74.45999999999999</v>
      </c>
      <c r="K1157" s="3" t="n">
        <v>11.17</v>
      </c>
      <c r="L1157" s="3" t="n">
        <v>63.29</v>
      </c>
      <c r="M1157" s="3" t="n">
        <v>58.92</v>
      </c>
      <c r="N1157" s="3" t="n">
        <v>4.37</v>
      </c>
      <c r="O1157">
        <f>TEXT(A1157,"yyyy-mm")</f>
        <v/>
      </c>
    </row>
    <row r="1158">
      <c r="A1158" s="2" t="n">
        <v>45719</v>
      </c>
      <c r="B1158" t="n">
        <v>2025</v>
      </c>
      <c r="C1158" t="inlineStr">
        <is>
          <t>March</t>
        </is>
      </c>
      <c r="D1158" t="inlineStr">
        <is>
          <t>Ultra Rug</t>
        </is>
      </c>
      <c r="E1158" t="inlineStr">
        <is>
          <t>Home &amp; Garden</t>
        </is>
      </c>
      <c r="F1158" t="inlineStr">
        <is>
          <t>David Johnson</t>
        </is>
      </c>
      <c r="G1158" t="inlineStr">
        <is>
          <t>Spain</t>
        </is>
      </c>
      <c r="H1158" t="inlineStr">
        <is>
          <t>Mobile App</t>
        </is>
      </c>
      <c r="I1158" t="n">
        <v>1</v>
      </c>
      <c r="J1158" s="3" t="n">
        <v>53.97</v>
      </c>
      <c r="K1158" s="3" t="n">
        <v>0</v>
      </c>
      <c r="L1158" s="3" t="n">
        <v>53.97</v>
      </c>
      <c r="M1158" s="3" t="n">
        <v>32.91</v>
      </c>
      <c r="N1158" s="3" t="n">
        <v>21.06</v>
      </c>
      <c r="O1158">
        <f>TEXT(A1158,"yyyy-mm")</f>
        <v/>
      </c>
    </row>
    <row r="1159">
      <c r="A1159" s="2" t="n">
        <v>45720</v>
      </c>
      <c r="B1159" t="n">
        <v>2025</v>
      </c>
      <c r="C1159" t="inlineStr">
        <is>
          <t>March</t>
        </is>
      </c>
      <c r="D1159" t="inlineStr">
        <is>
          <t>Wireless Coffee Beans</t>
        </is>
      </c>
      <c r="E1159" t="inlineStr">
        <is>
          <t>Grocery</t>
        </is>
      </c>
      <c r="F1159" t="inlineStr">
        <is>
          <t>Maria Smith</t>
        </is>
      </c>
      <c r="G1159" t="inlineStr">
        <is>
          <t>Poland</t>
        </is>
      </c>
      <c r="H1159" t="inlineStr">
        <is>
          <t>Mobile App</t>
        </is>
      </c>
      <c r="I1159" t="n">
        <v>3</v>
      </c>
      <c r="J1159" s="3" t="n">
        <v>353.97</v>
      </c>
      <c r="K1159" s="3" t="n">
        <v>70.79000000000001</v>
      </c>
      <c r="L1159" s="3" t="n">
        <v>283.18</v>
      </c>
      <c r="M1159" s="3" t="n">
        <v>238.11</v>
      </c>
      <c r="N1159" s="3" t="n">
        <v>45.07</v>
      </c>
      <c r="O1159">
        <f>TEXT(A1159,"yyyy-mm")</f>
        <v/>
      </c>
    </row>
    <row r="1160">
      <c r="A1160" s="2" t="n">
        <v>45720</v>
      </c>
      <c r="B1160" t="n">
        <v>2025</v>
      </c>
      <c r="C1160" t="inlineStr">
        <is>
          <t>March</t>
        </is>
      </c>
      <c r="D1160" t="inlineStr">
        <is>
          <t>Premium Tent</t>
        </is>
      </c>
      <c r="E1160" t="inlineStr">
        <is>
          <t>Sports &amp; Outdoors</t>
        </is>
      </c>
      <c r="F1160" t="inlineStr">
        <is>
          <t>Daniel Garcia</t>
        </is>
      </c>
      <c r="G1160" t="inlineStr">
        <is>
          <t>France</t>
        </is>
      </c>
      <c r="H1160" t="inlineStr">
        <is>
          <t>Marketplace</t>
        </is>
      </c>
      <c r="I1160" t="n">
        <v>1</v>
      </c>
      <c r="J1160" s="3" t="n">
        <v>243.26</v>
      </c>
      <c r="K1160" s="3" t="n">
        <v>0</v>
      </c>
      <c r="L1160" s="3" t="n">
        <v>243.26</v>
      </c>
      <c r="M1160" s="3" t="n">
        <v>165.31</v>
      </c>
      <c r="N1160" s="3" t="n">
        <v>77.95</v>
      </c>
      <c r="O1160">
        <f>TEXT(A1160,"yyyy-mm")</f>
        <v/>
      </c>
    </row>
    <row r="1161">
      <c r="A1161" s="2" t="n">
        <v>45720</v>
      </c>
      <c r="B1161" t="n">
        <v>2025</v>
      </c>
      <c r="C1161" t="inlineStr">
        <is>
          <t>March</t>
        </is>
      </c>
      <c r="D1161" t="inlineStr">
        <is>
          <t>Eco Drone</t>
        </is>
      </c>
      <c r="E1161" t="inlineStr">
        <is>
          <t>Toys &amp; Games</t>
        </is>
      </c>
      <c r="F1161" t="inlineStr">
        <is>
          <t>Daniel Garcia</t>
        </is>
      </c>
      <c r="G1161" t="inlineStr">
        <is>
          <t>France</t>
        </is>
      </c>
      <c r="H1161" t="inlineStr">
        <is>
          <t>Marketplace</t>
        </is>
      </c>
      <c r="I1161" t="n">
        <v>1</v>
      </c>
      <c r="J1161" s="3" t="n">
        <v>195.11</v>
      </c>
      <c r="K1161" s="3" t="n">
        <v>19.51</v>
      </c>
      <c r="L1161" s="3" t="n">
        <v>175.6</v>
      </c>
      <c r="M1161" s="3" t="n">
        <v>129.59</v>
      </c>
      <c r="N1161" s="3" t="n">
        <v>46.01</v>
      </c>
      <c r="O1161">
        <f>TEXT(A1161,"yyyy-mm")</f>
        <v/>
      </c>
    </row>
    <row r="1162">
      <c r="A1162" s="2" t="n">
        <v>45720</v>
      </c>
      <c r="B1162" t="n">
        <v>2025</v>
      </c>
      <c r="C1162" t="inlineStr">
        <is>
          <t>March</t>
        </is>
      </c>
      <c r="D1162" t="inlineStr">
        <is>
          <t>Ultra Vitamins</t>
        </is>
      </c>
      <c r="E1162" t="inlineStr">
        <is>
          <t>Beauty &amp; Health</t>
        </is>
      </c>
      <c r="F1162" t="inlineStr">
        <is>
          <t>Peter Muller</t>
        </is>
      </c>
      <c r="G1162" t="inlineStr">
        <is>
          <t>Poland</t>
        </is>
      </c>
      <c r="H1162" t="inlineStr">
        <is>
          <t>Marketplace</t>
        </is>
      </c>
      <c r="I1162" t="n">
        <v>1</v>
      </c>
      <c r="J1162" s="3" t="n">
        <v>200.94</v>
      </c>
      <c r="K1162" s="3" t="n">
        <v>10.05</v>
      </c>
      <c r="L1162" s="3" t="n">
        <v>190.89</v>
      </c>
      <c r="M1162" s="3" t="n">
        <v>126.1</v>
      </c>
      <c r="N1162" s="3" t="n">
        <v>64.79000000000001</v>
      </c>
      <c r="O1162">
        <f>TEXT(A1162,"yyyy-mm")</f>
        <v/>
      </c>
    </row>
    <row r="1163">
      <c r="A1163" s="2" t="n">
        <v>45720</v>
      </c>
      <c r="B1163" t="n">
        <v>2025</v>
      </c>
      <c r="C1163" t="inlineStr">
        <is>
          <t>March</t>
        </is>
      </c>
      <c r="D1163" t="inlineStr">
        <is>
          <t>Eco Drone</t>
        </is>
      </c>
      <c r="E1163" t="inlineStr">
        <is>
          <t>Toys &amp; Games</t>
        </is>
      </c>
      <c r="F1163" t="inlineStr">
        <is>
          <t>Peter Muller</t>
        </is>
      </c>
      <c r="G1163" t="inlineStr">
        <is>
          <t>Poland</t>
        </is>
      </c>
      <c r="H1163" t="inlineStr">
        <is>
          <t>Marketplace</t>
        </is>
      </c>
      <c r="I1163" t="n">
        <v>3</v>
      </c>
      <c r="J1163" s="3" t="n">
        <v>625.89</v>
      </c>
      <c r="K1163" s="3" t="n">
        <v>31.29</v>
      </c>
      <c r="L1163" s="3" t="n">
        <v>594.6</v>
      </c>
      <c r="M1163" s="3" t="n">
        <v>388.77</v>
      </c>
      <c r="N1163" s="3" t="n">
        <v>205.83</v>
      </c>
      <c r="O1163">
        <f>TEXT(A1163,"yyyy-mm")</f>
        <v/>
      </c>
    </row>
    <row r="1164">
      <c r="A1164" s="2" t="n">
        <v>45720</v>
      </c>
      <c r="B1164" t="n">
        <v>2025</v>
      </c>
      <c r="C1164" t="inlineStr">
        <is>
          <t>March</t>
        </is>
      </c>
      <c r="D1164" t="inlineStr">
        <is>
          <t>Eco Biography</t>
        </is>
      </c>
      <c r="E1164" t="inlineStr">
        <is>
          <t>Books</t>
        </is>
      </c>
      <c r="F1164" t="inlineStr">
        <is>
          <t>Peter Muller</t>
        </is>
      </c>
      <c r="G1164" t="inlineStr">
        <is>
          <t>Poland</t>
        </is>
      </c>
      <c r="H1164" t="inlineStr">
        <is>
          <t>Marketplace</t>
        </is>
      </c>
      <c r="I1164" t="n">
        <v>1</v>
      </c>
      <c r="J1164" s="3" t="n">
        <v>124.51</v>
      </c>
      <c r="K1164" s="3" t="n">
        <v>6.23</v>
      </c>
      <c r="L1164" s="3" t="n">
        <v>118.28</v>
      </c>
      <c r="M1164" s="3" t="n">
        <v>71.02</v>
      </c>
      <c r="N1164" s="3" t="n">
        <v>47.26</v>
      </c>
      <c r="O1164">
        <f>TEXT(A1164,"yyyy-mm")</f>
        <v/>
      </c>
    </row>
    <row r="1165">
      <c r="A1165" s="2" t="n">
        <v>45720</v>
      </c>
      <c r="B1165" t="n">
        <v>2025</v>
      </c>
      <c r="C1165" t="inlineStr">
        <is>
          <t>March</t>
        </is>
      </c>
      <c r="D1165" t="inlineStr">
        <is>
          <t>Premium Water Bottle</t>
        </is>
      </c>
      <c r="E1165" t="inlineStr">
        <is>
          <t>Sports &amp; Outdoors</t>
        </is>
      </c>
      <c r="F1165" t="inlineStr">
        <is>
          <t>Sophie Zielinski</t>
        </is>
      </c>
      <c r="G1165" t="inlineStr">
        <is>
          <t>Spain</t>
        </is>
      </c>
      <c r="H1165" t="inlineStr">
        <is>
          <t>Mobile App</t>
        </is>
      </c>
      <c r="I1165" t="n">
        <v>3</v>
      </c>
      <c r="J1165" s="3" t="n">
        <v>377.37</v>
      </c>
      <c r="K1165" s="3" t="n">
        <v>18.87</v>
      </c>
      <c r="L1165" s="3" t="n">
        <v>358.5</v>
      </c>
      <c r="M1165" s="3" t="n">
        <v>268.86</v>
      </c>
      <c r="N1165" s="3" t="n">
        <v>89.64</v>
      </c>
      <c r="O1165">
        <f>TEXT(A1165,"yyyy-mm")</f>
        <v/>
      </c>
    </row>
    <row r="1166">
      <c r="A1166" s="2" t="n">
        <v>45720</v>
      </c>
      <c r="B1166" t="n">
        <v>2025</v>
      </c>
      <c r="C1166" t="inlineStr">
        <is>
          <t>March</t>
        </is>
      </c>
      <c r="D1166" t="inlineStr">
        <is>
          <t>Deluxe Cookbook</t>
        </is>
      </c>
      <c r="E1166" t="inlineStr">
        <is>
          <t>Books</t>
        </is>
      </c>
      <c r="F1166" t="inlineStr">
        <is>
          <t>Sophie Zielinski</t>
        </is>
      </c>
      <c r="G1166" t="inlineStr">
        <is>
          <t>Spain</t>
        </is>
      </c>
      <c r="H1166" t="inlineStr">
        <is>
          <t>Mobile App</t>
        </is>
      </c>
      <c r="I1166" t="n">
        <v>1</v>
      </c>
      <c r="J1166" s="3" t="n">
        <v>129.4</v>
      </c>
      <c r="K1166" s="3" t="n">
        <v>0</v>
      </c>
      <c r="L1166" s="3" t="n">
        <v>129.4</v>
      </c>
      <c r="M1166" s="3" t="n">
        <v>85.27</v>
      </c>
      <c r="N1166" s="3" t="n">
        <v>44.13</v>
      </c>
      <c r="O1166">
        <f>TEXT(A1166,"yyyy-mm")</f>
        <v/>
      </c>
    </row>
    <row r="1167">
      <c r="A1167" s="2" t="n">
        <v>45720</v>
      </c>
      <c r="B1167" t="n">
        <v>2025</v>
      </c>
      <c r="C1167" t="inlineStr">
        <is>
          <t>March</t>
        </is>
      </c>
      <c r="D1167" t="inlineStr">
        <is>
          <t>Ultra Vitamins</t>
        </is>
      </c>
      <c r="E1167" t="inlineStr">
        <is>
          <t>Beauty &amp; Health</t>
        </is>
      </c>
      <c r="F1167" t="inlineStr">
        <is>
          <t>Laura Conti</t>
        </is>
      </c>
      <c r="G1167" t="inlineStr">
        <is>
          <t>United Kingdom</t>
        </is>
      </c>
      <c r="H1167" t="inlineStr">
        <is>
          <t>Web Store</t>
        </is>
      </c>
      <c r="I1167" t="n">
        <v>3</v>
      </c>
      <c r="J1167" s="3" t="n">
        <v>605.88</v>
      </c>
      <c r="K1167" s="3" t="n">
        <v>0</v>
      </c>
      <c r="L1167" s="3" t="n">
        <v>605.88</v>
      </c>
      <c r="M1167" s="3" t="n">
        <v>378.3</v>
      </c>
      <c r="N1167" s="3" t="n">
        <v>227.58</v>
      </c>
      <c r="O1167">
        <f>TEXT(A1167,"yyyy-mm")</f>
        <v/>
      </c>
    </row>
    <row r="1168">
      <c r="A1168" s="2" t="n">
        <v>45720</v>
      </c>
      <c r="B1168" t="n">
        <v>2025</v>
      </c>
      <c r="C1168" t="inlineStr">
        <is>
          <t>March</t>
        </is>
      </c>
      <c r="D1168" t="inlineStr">
        <is>
          <t>Ultra Backpack</t>
        </is>
      </c>
      <c r="E1168" t="inlineStr">
        <is>
          <t>Sports &amp; Outdoors</t>
        </is>
      </c>
      <c r="F1168" t="inlineStr">
        <is>
          <t>Laura Conti</t>
        </is>
      </c>
      <c r="G1168" t="inlineStr">
        <is>
          <t>United Kingdom</t>
        </is>
      </c>
      <c r="H1168" t="inlineStr">
        <is>
          <t>Web Store</t>
        </is>
      </c>
      <c r="I1168" t="n">
        <v>1</v>
      </c>
      <c r="J1168" s="3" t="n">
        <v>312.5</v>
      </c>
      <c r="K1168" s="3" t="n">
        <v>31.25</v>
      </c>
      <c r="L1168" s="3" t="n">
        <v>281.25</v>
      </c>
      <c r="M1168" s="3" t="n">
        <v>173.69</v>
      </c>
      <c r="N1168" s="3" t="n">
        <v>107.56</v>
      </c>
      <c r="O1168">
        <f>TEXT(A1168,"yyyy-mm")</f>
        <v/>
      </c>
    </row>
    <row r="1169">
      <c r="A1169" s="2" t="n">
        <v>45720</v>
      </c>
      <c r="B1169" t="n">
        <v>2025</v>
      </c>
      <c r="C1169" t="inlineStr">
        <is>
          <t>March</t>
        </is>
      </c>
      <c r="D1169" t="inlineStr">
        <is>
          <t>Deluxe Scarf</t>
        </is>
      </c>
      <c r="E1169" t="inlineStr">
        <is>
          <t>Clothing</t>
        </is>
      </c>
      <c r="F1169" t="inlineStr">
        <is>
          <t>Laura Conti</t>
        </is>
      </c>
      <c r="G1169" t="inlineStr">
        <is>
          <t>United Kingdom</t>
        </is>
      </c>
      <c r="H1169" t="inlineStr">
        <is>
          <t>Web Store</t>
        </is>
      </c>
      <c r="I1169" t="n">
        <v>5</v>
      </c>
      <c r="J1169" s="3" t="n">
        <v>978.9</v>
      </c>
      <c r="K1169" s="3" t="n">
        <v>48.94</v>
      </c>
      <c r="L1169" s="3" t="n">
        <v>929.96</v>
      </c>
      <c r="M1169" s="3" t="n">
        <v>542.6</v>
      </c>
      <c r="N1169" s="3" t="n">
        <v>387.35</v>
      </c>
      <c r="O1169">
        <f>TEXT(A1169,"yyyy-mm")</f>
        <v/>
      </c>
    </row>
    <row r="1170">
      <c r="A1170" s="2" t="n">
        <v>45720</v>
      </c>
      <c r="B1170" t="n">
        <v>2025</v>
      </c>
      <c r="C1170" t="inlineStr">
        <is>
          <t>March</t>
        </is>
      </c>
      <c r="D1170" t="inlineStr">
        <is>
          <t>Wireless Drone</t>
        </is>
      </c>
      <c r="E1170" t="inlineStr">
        <is>
          <t>Toys &amp; Games</t>
        </is>
      </c>
      <c r="F1170" t="inlineStr">
        <is>
          <t>Laura Conti</t>
        </is>
      </c>
      <c r="G1170" t="inlineStr">
        <is>
          <t>United Kingdom</t>
        </is>
      </c>
      <c r="H1170" t="inlineStr">
        <is>
          <t>Web Store</t>
        </is>
      </c>
      <c r="I1170" t="n">
        <v>4</v>
      </c>
      <c r="J1170" s="3" t="n">
        <v>888.72</v>
      </c>
      <c r="K1170" s="3" t="n">
        <v>44.44</v>
      </c>
      <c r="L1170" s="3" t="n">
        <v>844.28</v>
      </c>
      <c r="M1170" s="3" t="n">
        <v>525.16</v>
      </c>
      <c r="N1170" s="3" t="n">
        <v>319.12</v>
      </c>
      <c r="O1170">
        <f>TEXT(A1170,"yyyy-mm")</f>
        <v/>
      </c>
    </row>
    <row r="1171">
      <c r="A1171" s="2" t="n">
        <v>45721</v>
      </c>
      <c r="B1171" t="n">
        <v>2025</v>
      </c>
      <c r="C1171" t="inlineStr">
        <is>
          <t>March</t>
        </is>
      </c>
      <c r="D1171" t="inlineStr">
        <is>
          <t>Ultra Rug</t>
        </is>
      </c>
      <c r="E1171" t="inlineStr">
        <is>
          <t>Home &amp; Garden</t>
        </is>
      </c>
      <c r="F1171" t="inlineStr">
        <is>
          <t>Mark Conti</t>
        </is>
      </c>
      <c r="G1171" t="inlineStr">
        <is>
          <t>Poland</t>
        </is>
      </c>
      <c r="H1171" t="inlineStr">
        <is>
          <t>Retail Store</t>
        </is>
      </c>
      <c r="I1171" t="n">
        <v>1</v>
      </c>
      <c r="J1171" s="3" t="n">
        <v>51.74</v>
      </c>
      <c r="K1171" s="3" t="n">
        <v>0</v>
      </c>
      <c r="L1171" s="3" t="n">
        <v>51.74</v>
      </c>
      <c r="M1171" s="3" t="n">
        <v>32.91</v>
      </c>
      <c r="N1171" s="3" t="n">
        <v>18.83</v>
      </c>
      <c r="O1171">
        <f>TEXT(A1171,"yyyy-mm")</f>
        <v/>
      </c>
    </row>
    <row r="1172">
      <c r="A1172" s="2" t="n">
        <v>45721</v>
      </c>
      <c r="B1172" t="n">
        <v>2025</v>
      </c>
      <c r="C1172" t="inlineStr">
        <is>
          <t>March</t>
        </is>
      </c>
      <c r="D1172" t="inlineStr">
        <is>
          <t>Portable Notebook</t>
        </is>
      </c>
      <c r="E1172" t="inlineStr">
        <is>
          <t>Books</t>
        </is>
      </c>
      <c r="F1172" t="inlineStr">
        <is>
          <t>Mark Conti</t>
        </is>
      </c>
      <c r="G1172" t="inlineStr">
        <is>
          <t>Poland</t>
        </is>
      </c>
      <c r="H1172" t="inlineStr">
        <is>
          <t>Retail Store</t>
        </is>
      </c>
      <c r="I1172" t="n">
        <v>3</v>
      </c>
      <c r="J1172" s="3" t="n">
        <v>381.3</v>
      </c>
      <c r="K1172" s="3" t="n">
        <v>38.13</v>
      </c>
      <c r="L1172" s="3" t="n">
        <v>343.17</v>
      </c>
      <c r="M1172" s="3" t="n">
        <v>213.84</v>
      </c>
      <c r="N1172" s="3" t="n">
        <v>129.33</v>
      </c>
      <c r="O1172">
        <f>TEXT(A1172,"yyyy-mm")</f>
        <v/>
      </c>
    </row>
    <row r="1173">
      <c r="A1173" s="2" t="n">
        <v>45721</v>
      </c>
      <c r="B1173" t="n">
        <v>2025</v>
      </c>
      <c r="C1173" t="inlineStr">
        <is>
          <t>March</t>
        </is>
      </c>
      <c r="D1173" t="inlineStr">
        <is>
          <t>Essential Charger</t>
        </is>
      </c>
      <c r="E1173" t="inlineStr">
        <is>
          <t>Electronics</t>
        </is>
      </c>
      <c r="F1173" t="inlineStr">
        <is>
          <t>Mark Conti</t>
        </is>
      </c>
      <c r="G1173" t="inlineStr">
        <is>
          <t>Poland</t>
        </is>
      </c>
      <c r="H1173" t="inlineStr">
        <is>
          <t>Retail Store</t>
        </is>
      </c>
      <c r="I1173" t="n">
        <v>3</v>
      </c>
      <c r="J1173" s="3" t="n">
        <v>127.74</v>
      </c>
      <c r="K1173" s="3" t="n">
        <v>0</v>
      </c>
      <c r="L1173" s="3" t="n">
        <v>127.74</v>
      </c>
      <c r="M1173" s="3" t="n">
        <v>87.3</v>
      </c>
      <c r="N1173" s="3" t="n">
        <v>40.44</v>
      </c>
      <c r="O1173">
        <f>TEXT(A1173,"yyyy-mm")</f>
        <v/>
      </c>
    </row>
    <row r="1174">
      <c r="A1174" s="2" t="n">
        <v>45721</v>
      </c>
      <c r="B1174" t="n">
        <v>2025</v>
      </c>
      <c r="C1174" t="inlineStr">
        <is>
          <t>March</t>
        </is>
      </c>
      <c r="D1174" t="inlineStr">
        <is>
          <t>Classic Bike Helmet</t>
        </is>
      </c>
      <c r="E1174" t="inlineStr">
        <is>
          <t>Sports &amp; Outdoors</t>
        </is>
      </c>
      <c r="F1174" t="inlineStr">
        <is>
          <t>Nina Fischer</t>
        </is>
      </c>
      <c r="G1174" t="inlineStr">
        <is>
          <t>Poland</t>
        </is>
      </c>
      <c r="H1174" t="inlineStr">
        <is>
          <t>Mobile App</t>
        </is>
      </c>
      <c r="I1174" t="n">
        <v>4</v>
      </c>
      <c r="J1174" s="3" t="n">
        <v>906.3200000000001</v>
      </c>
      <c r="K1174" s="3" t="n">
        <v>135.95</v>
      </c>
      <c r="L1174" s="3" t="n">
        <v>770.37</v>
      </c>
      <c r="M1174" s="3" t="n">
        <v>615.24</v>
      </c>
      <c r="N1174" s="3" t="n">
        <v>155.13</v>
      </c>
      <c r="O1174">
        <f>TEXT(A1174,"yyyy-mm")</f>
        <v/>
      </c>
    </row>
    <row r="1175">
      <c r="A1175" s="2" t="n">
        <v>45721</v>
      </c>
      <c r="B1175" t="n">
        <v>2025</v>
      </c>
      <c r="C1175" t="inlineStr">
        <is>
          <t>March</t>
        </is>
      </c>
      <c r="D1175" t="inlineStr">
        <is>
          <t>Eco Tent</t>
        </is>
      </c>
      <c r="E1175" t="inlineStr">
        <is>
          <t>Sports &amp; Outdoors</t>
        </is>
      </c>
      <c r="F1175" t="inlineStr">
        <is>
          <t>Nina Fischer</t>
        </is>
      </c>
      <c r="G1175" t="inlineStr">
        <is>
          <t>Poland</t>
        </is>
      </c>
      <c r="H1175" t="inlineStr">
        <is>
          <t>Mobile App</t>
        </is>
      </c>
      <c r="I1175" t="n">
        <v>1</v>
      </c>
      <c r="J1175" s="3" t="n">
        <v>69.56</v>
      </c>
      <c r="K1175" s="3" t="n">
        <v>0</v>
      </c>
      <c r="L1175" s="3" t="n">
        <v>69.56</v>
      </c>
      <c r="M1175" s="3" t="n">
        <v>43.85</v>
      </c>
      <c r="N1175" s="3" t="n">
        <v>25.71</v>
      </c>
      <c r="O1175">
        <f>TEXT(A1175,"yyyy-mm")</f>
        <v/>
      </c>
    </row>
    <row r="1176">
      <c r="A1176" s="2" t="n">
        <v>45721</v>
      </c>
      <c r="B1176" t="n">
        <v>2025</v>
      </c>
      <c r="C1176" t="inlineStr">
        <is>
          <t>March</t>
        </is>
      </c>
      <c r="D1176" t="inlineStr">
        <is>
          <t>Portable Puzzle</t>
        </is>
      </c>
      <c r="E1176" t="inlineStr">
        <is>
          <t>Toys &amp; Games</t>
        </is>
      </c>
      <c r="F1176" t="inlineStr">
        <is>
          <t>Mark Conti</t>
        </is>
      </c>
      <c r="G1176" t="inlineStr">
        <is>
          <t>Poland</t>
        </is>
      </c>
      <c r="H1176" t="inlineStr">
        <is>
          <t>Retail Store</t>
        </is>
      </c>
      <c r="I1176" t="n">
        <v>1</v>
      </c>
      <c r="J1176" s="3" t="n">
        <v>298.55</v>
      </c>
      <c r="K1176" s="3" t="n">
        <v>14.93</v>
      </c>
      <c r="L1176" s="3" t="n">
        <v>283.62</v>
      </c>
      <c r="M1176" s="3" t="n">
        <v>173.66</v>
      </c>
      <c r="N1176" s="3" t="n">
        <v>109.96</v>
      </c>
      <c r="O1176">
        <f>TEXT(A1176,"yyyy-mm")</f>
        <v/>
      </c>
    </row>
    <row r="1177">
      <c r="A1177" s="2" t="n">
        <v>45722</v>
      </c>
      <c r="B1177" t="n">
        <v>2025</v>
      </c>
      <c r="C1177" t="inlineStr">
        <is>
          <t>March</t>
        </is>
      </c>
      <c r="D1177" t="inlineStr">
        <is>
          <t>Ultra Toolset</t>
        </is>
      </c>
      <c r="E1177" t="inlineStr">
        <is>
          <t>Home &amp; Garden</t>
        </is>
      </c>
      <c r="F1177" t="inlineStr">
        <is>
          <t>Thomas Nowak</t>
        </is>
      </c>
      <c r="G1177" t="inlineStr">
        <is>
          <t>United States</t>
        </is>
      </c>
      <c r="H1177" t="inlineStr">
        <is>
          <t>Web Store</t>
        </is>
      </c>
      <c r="I1177" t="n">
        <v>5</v>
      </c>
      <c r="J1177" s="3" t="n">
        <v>1848.65</v>
      </c>
      <c r="K1177" s="3" t="n">
        <v>92.43000000000001</v>
      </c>
      <c r="L1177" s="3" t="n">
        <v>1756.22</v>
      </c>
      <c r="M1177" s="3" t="n">
        <v>952</v>
      </c>
      <c r="N1177" s="3" t="n">
        <v>804.22</v>
      </c>
      <c r="O1177">
        <f>TEXT(A1177,"yyyy-mm")</f>
        <v/>
      </c>
    </row>
    <row r="1178">
      <c r="A1178" s="2" t="n">
        <v>45724</v>
      </c>
      <c r="B1178" t="n">
        <v>2025</v>
      </c>
      <c r="C1178" t="inlineStr">
        <is>
          <t>March</t>
        </is>
      </c>
      <c r="D1178" t="inlineStr">
        <is>
          <t>Essential Cushion</t>
        </is>
      </c>
      <c r="E1178" t="inlineStr">
        <is>
          <t>Home &amp; Garden</t>
        </is>
      </c>
      <c r="F1178" t="inlineStr">
        <is>
          <t>David Weber</t>
        </is>
      </c>
      <c r="G1178" t="inlineStr">
        <is>
          <t>Germany</t>
        </is>
      </c>
      <c r="H1178" t="inlineStr">
        <is>
          <t>Marketplace</t>
        </is>
      </c>
      <c r="I1178" t="n">
        <v>2</v>
      </c>
      <c r="J1178" s="3" t="n">
        <v>92.90000000000001</v>
      </c>
      <c r="K1178" s="3" t="n">
        <v>9.289999999999999</v>
      </c>
      <c r="L1178" s="3" t="n">
        <v>83.61</v>
      </c>
      <c r="M1178" s="3" t="n">
        <v>61.1</v>
      </c>
      <c r="N1178" s="3" t="n">
        <v>22.51</v>
      </c>
      <c r="O1178">
        <f>TEXT(A1178,"yyyy-mm")</f>
        <v/>
      </c>
    </row>
    <row r="1179">
      <c r="A1179" s="2" t="n">
        <v>45724</v>
      </c>
      <c r="B1179" t="n">
        <v>2025</v>
      </c>
      <c r="C1179" t="inlineStr">
        <is>
          <t>March</t>
        </is>
      </c>
      <c r="D1179" t="inlineStr">
        <is>
          <t>Portable Notebook</t>
        </is>
      </c>
      <c r="E1179" t="inlineStr">
        <is>
          <t>Books</t>
        </is>
      </c>
      <c r="F1179" t="inlineStr">
        <is>
          <t>James Dubois</t>
        </is>
      </c>
      <c r="G1179" t="inlineStr">
        <is>
          <t>Poland</t>
        </is>
      </c>
      <c r="H1179" t="inlineStr">
        <is>
          <t>Retail Store</t>
        </is>
      </c>
      <c r="I1179" t="n">
        <v>5</v>
      </c>
      <c r="J1179" s="3" t="n">
        <v>607.05</v>
      </c>
      <c r="K1179" s="3" t="n">
        <v>0</v>
      </c>
      <c r="L1179" s="3" t="n">
        <v>607.05</v>
      </c>
      <c r="M1179" s="3" t="n">
        <v>356.4</v>
      </c>
      <c r="N1179" s="3" t="n">
        <v>250.65</v>
      </c>
      <c r="O1179">
        <f>TEXT(A1179,"yyyy-mm")</f>
        <v/>
      </c>
    </row>
    <row r="1180">
      <c r="A1180" s="2" t="n">
        <v>45724</v>
      </c>
      <c r="B1180" t="n">
        <v>2025</v>
      </c>
      <c r="C1180" t="inlineStr">
        <is>
          <t>March</t>
        </is>
      </c>
      <c r="D1180" t="inlineStr">
        <is>
          <t>Classic Bike Helmet</t>
        </is>
      </c>
      <c r="E1180" t="inlineStr">
        <is>
          <t>Sports &amp; Outdoors</t>
        </is>
      </c>
      <c r="F1180" t="inlineStr">
        <is>
          <t>Anna Dubois</t>
        </is>
      </c>
      <c r="G1180" t="inlineStr">
        <is>
          <t>Poland</t>
        </is>
      </c>
      <c r="H1180" t="inlineStr">
        <is>
          <t>Mobile App</t>
        </is>
      </c>
      <c r="I1180" t="n">
        <v>4</v>
      </c>
      <c r="J1180" s="3" t="n">
        <v>893.3200000000001</v>
      </c>
      <c r="K1180" s="3" t="n">
        <v>134</v>
      </c>
      <c r="L1180" s="3" t="n">
        <v>759.3200000000001</v>
      </c>
      <c r="M1180" s="3" t="n">
        <v>615.24</v>
      </c>
      <c r="N1180" s="3" t="n">
        <v>144.08</v>
      </c>
      <c r="O1180">
        <f>TEXT(A1180,"yyyy-mm")</f>
        <v/>
      </c>
    </row>
    <row r="1181">
      <c r="A1181" s="2" t="n">
        <v>45724</v>
      </c>
      <c r="B1181" t="n">
        <v>2025</v>
      </c>
      <c r="C1181" t="inlineStr">
        <is>
          <t>March</t>
        </is>
      </c>
      <c r="D1181" t="inlineStr">
        <is>
          <t>Smart Coffee Beans</t>
        </is>
      </c>
      <c r="E1181" t="inlineStr">
        <is>
          <t>Grocery</t>
        </is>
      </c>
      <c r="F1181" t="inlineStr">
        <is>
          <t>Anna Dubois</t>
        </is>
      </c>
      <c r="G1181" t="inlineStr">
        <is>
          <t>Poland</t>
        </is>
      </c>
      <c r="H1181" t="inlineStr">
        <is>
          <t>Mobile App</t>
        </is>
      </c>
      <c r="I1181" t="n">
        <v>2</v>
      </c>
      <c r="J1181" s="3" t="n">
        <v>229.44</v>
      </c>
      <c r="K1181" s="3" t="n">
        <v>0</v>
      </c>
      <c r="L1181" s="3" t="n">
        <v>229.44</v>
      </c>
      <c r="M1181" s="3" t="n">
        <v>145.7</v>
      </c>
      <c r="N1181" s="3" t="n">
        <v>83.73999999999999</v>
      </c>
      <c r="O1181">
        <f>TEXT(A1181,"yyyy-mm")</f>
        <v/>
      </c>
    </row>
    <row r="1182">
      <c r="A1182" s="2" t="n">
        <v>45724</v>
      </c>
      <c r="B1182" t="n">
        <v>2025</v>
      </c>
      <c r="C1182" t="inlineStr">
        <is>
          <t>March</t>
        </is>
      </c>
      <c r="D1182" t="inlineStr">
        <is>
          <t>Eco Biography</t>
        </is>
      </c>
      <c r="E1182" t="inlineStr">
        <is>
          <t>Books</t>
        </is>
      </c>
      <c r="F1182" t="inlineStr">
        <is>
          <t>James Dubois</t>
        </is>
      </c>
      <c r="G1182" t="inlineStr">
        <is>
          <t>Poland</t>
        </is>
      </c>
      <c r="H1182" t="inlineStr">
        <is>
          <t>Retail Store</t>
        </is>
      </c>
      <c r="I1182" t="n">
        <v>1</v>
      </c>
      <c r="J1182" s="3" t="n">
        <v>124.17</v>
      </c>
      <c r="K1182" s="3" t="n">
        <v>0</v>
      </c>
      <c r="L1182" s="3" t="n">
        <v>124.17</v>
      </c>
      <c r="M1182" s="3" t="n">
        <v>71.02</v>
      </c>
      <c r="N1182" s="3" t="n">
        <v>53.15</v>
      </c>
      <c r="O1182">
        <f>TEXT(A1182,"yyyy-mm")</f>
        <v/>
      </c>
    </row>
    <row r="1183">
      <c r="A1183" s="2" t="n">
        <v>45724</v>
      </c>
      <c r="B1183" t="n">
        <v>2025</v>
      </c>
      <c r="C1183" t="inlineStr">
        <is>
          <t>March</t>
        </is>
      </c>
      <c r="D1183" t="inlineStr">
        <is>
          <t>Premium Tent</t>
        </is>
      </c>
      <c r="E1183" t="inlineStr">
        <is>
          <t>Sports &amp; Outdoors</t>
        </is>
      </c>
      <c r="F1183" t="inlineStr">
        <is>
          <t>Anna Dubois</t>
        </is>
      </c>
      <c r="G1183" t="inlineStr">
        <is>
          <t>Poland</t>
        </is>
      </c>
      <c r="H1183" t="inlineStr">
        <is>
          <t>Mobile App</t>
        </is>
      </c>
      <c r="I1183" t="n">
        <v>3</v>
      </c>
      <c r="J1183" s="3" t="n">
        <v>755.88</v>
      </c>
      <c r="K1183" s="3" t="n">
        <v>37.79</v>
      </c>
      <c r="L1183" s="3" t="n">
        <v>718.09</v>
      </c>
      <c r="M1183" s="3" t="n">
        <v>495.93</v>
      </c>
      <c r="N1183" s="3" t="n">
        <v>222.16</v>
      </c>
      <c r="O1183">
        <f>TEXT(A1183,"yyyy-mm")</f>
        <v/>
      </c>
    </row>
    <row r="1184">
      <c r="A1184" s="2" t="n">
        <v>45724</v>
      </c>
      <c r="B1184" t="n">
        <v>2025</v>
      </c>
      <c r="C1184" t="inlineStr">
        <is>
          <t>March</t>
        </is>
      </c>
      <c r="D1184" t="inlineStr">
        <is>
          <t>Compact Jacket</t>
        </is>
      </c>
      <c r="E1184" t="inlineStr">
        <is>
          <t>Clothing</t>
        </is>
      </c>
      <c r="F1184" t="inlineStr">
        <is>
          <t>James Dubois</t>
        </is>
      </c>
      <c r="G1184" t="inlineStr">
        <is>
          <t>Poland</t>
        </is>
      </c>
      <c r="H1184" t="inlineStr">
        <is>
          <t>Retail Store</t>
        </is>
      </c>
      <c r="I1184" t="n">
        <v>2</v>
      </c>
      <c r="J1184" s="3" t="n">
        <v>77.88</v>
      </c>
      <c r="K1184" s="3" t="n">
        <v>11.68</v>
      </c>
      <c r="L1184" s="3" t="n">
        <v>66.2</v>
      </c>
      <c r="M1184" s="3" t="n">
        <v>40.8</v>
      </c>
      <c r="N1184" s="3" t="n">
        <v>25.4</v>
      </c>
      <c r="O1184">
        <f>TEXT(A1184,"yyyy-mm")</f>
        <v/>
      </c>
    </row>
    <row r="1185">
      <c r="A1185" s="2" t="n">
        <v>45724</v>
      </c>
      <c r="B1185" t="n">
        <v>2025</v>
      </c>
      <c r="C1185" t="inlineStr">
        <is>
          <t>March</t>
        </is>
      </c>
      <c r="D1185" t="inlineStr">
        <is>
          <t>Compact Pasta</t>
        </is>
      </c>
      <c r="E1185" t="inlineStr">
        <is>
          <t>Grocery</t>
        </is>
      </c>
      <c r="F1185" t="inlineStr">
        <is>
          <t>David Weber</t>
        </is>
      </c>
      <c r="G1185" t="inlineStr">
        <is>
          <t>Germany</t>
        </is>
      </c>
      <c r="H1185" t="inlineStr">
        <is>
          <t>Marketplace</t>
        </is>
      </c>
      <c r="I1185" t="n">
        <v>3</v>
      </c>
      <c r="J1185" s="3" t="n">
        <v>939.27</v>
      </c>
      <c r="K1185" s="3" t="n">
        <v>93.93000000000001</v>
      </c>
      <c r="L1185" s="3" t="n">
        <v>845.34</v>
      </c>
      <c r="M1185" s="3" t="n">
        <v>598.2</v>
      </c>
      <c r="N1185" s="3" t="n">
        <v>247.14</v>
      </c>
      <c r="O1185">
        <f>TEXT(A1185,"yyyy-mm")</f>
        <v/>
      </c>
    </row>
    <row r="1186">
      <c r="A1186" s="2" t="n">
        <v>45725</v>
      </c>
      <c r="B1186" t="n">
        <v>2025</v>
      </c>
      <c r="C1186" t="inlineStr">
        <is>
          <t>March</t>
        </is>
      </c>
      <c r="D1186" t="inlineStr">
        <is>
          <t>Smart Jeans</t>
        </is>
      </c>
      <c r="E1186" t="inlineStr">
        <is>
          <t>Clothing</t>
        </is>
      </c>
      <c r="F1186" t="inlineStr">
        <is>
          <t>Nina Wojcik</t>
        </is>
      </c>
      <c r="G1186" t="inlineStr">
        <is>
          <t>Germany</t>
        </is>
      </c>
      <c r="H1186" t="inlineStr">
        <is>
          <t>Retail Store</t>
        </is>
      </c>
      <c r="I1186" t="n">
        <v>2</v>
      </c>
      <c r="J1186" s="3" t="n">
        <v>556.38</v>
      </c>
      <c r="K1186" s="3" t="n">
        <v>27.82</v>
      </c>
      <c r="L1186" s="3" t="n">
        <v>528.5599999999999</v>
      </c>
      <c r="M1186" s="3" t="n">
        <v>387.28</v>
      </c>
      <c r="N1186" s="3" t="n">
        <v>141.28</v>
      </c>
      <c r="O1186">
        <f>TEXT(A1186,"yyyy-mm")</f>
        <v/>
      </c>
    </row>
    <row r="1187">
      <c r="A1187" s="2" t="n">
        <v>45725</v>
      </c>
      <c r="B1187" t="n">
        <v>2025</v>
      </c>
      <c r="C1187" t="inlineStr">
        <is>
          <t>March</t>
        </is>
      </c>
      <c r="D1187" t="inlineStr">
        <is>
          <t>Deluxe Notebook</t>
        </is>
      </c>
      <c r="E1187" t="inlineStr">
        <is>
          <t>Books</t>
        </is>
      </c>
      <c r="F1187" t="inlineStr">
        <is>
          <t>Nina Wojcik</t>
        </is>
      </c>
      <c r="G1187" t="inlineStr">
        <is>
          <t>Germany</t>
        </is>
      </c>
      <c r="H1187" t="inlineStr">
        <is>
          <t>Retail Store</t>
        </is>
      </c>
      <c r="I1187" t="n">
        <v>1</v>
      </c>
      <c r="J1187" s="3" t="n">
        <v>220.89</v>
      </c>
      <c r="K1187" s="3" t="n">
        <v>11.04</v>
      </c>
      <c r="L1187" s="3" t="n">
        <v>209.85</v>
      </c>
      <c r="M1187" s="3" t="n">
        <v>150.76</v>
      </c>
      <c r="N1187" s="3" t="n">
        <v>59.09</v>
      </c>
      <c r="O1187">
        <f>TEXT(A1187,"yyyy-mm")</f>
        <v/>
      </c>
    </row>
    <row r="1188">
      <c r="A1188" s="2" t="n">
        <v>45725</v>
      </c>
      <c r="B1188" t="n">
        <v>2025</v>
      </c>
      <c r="C1188" t="inlineStr">
        <is>
          <t>March</t>
        </is>
      </c>
      <c r="D1188" t="inlineStr">
        <is>
          <t>Compact Pasta</t>
        </is>
      </c>
      <c r="E1188" t="inlineStr">
        <is>
          <t>Grocery</t>
        </is>
      </c>
      <c r="F1188" t="inlineStr">
        <is>
          <t>Nina Wojcik</t>
        </is>
      </c>
      <c r="G1188" t="inlineStr">
        <is>
          <t>Germany</t>
        </is>
      </c>
      <c r="H1188" t="inlineStr">
        <is>
          <t>Retail Store</t>
        </is>
      </c>
      <c r="I1188" t="n">
        <v>2</v>
      </c>
      <c r="J1188" s="3" t="n">
        <v>637.84</v>
      </c>
      <c r="K1188" s="3" t="n">
        <v>0</v>
      </c>
      <c r="L1188" s="3" t="n">
        <v>637.84</v>
      </c>
      <c r="M1188" s="3" t="n">
        <v>398.8</v>
      </c>
      <c r="N1188" s="3" t="n">
        <v>239.04</v>
      </c>
      <c r="O1188">
        <f>TEXT(A1188,"yyyy-mm")</f>
        <v/>
      </c>
    </row>
    <row r="1189">
      <c r="A1189" s="2" t="n">
        <v>45725</v>
      </c>
      <c r="B1189" t="n">
        <v>2025</v>
      </c>
      <c r="C1189" t="inlineStr">
        <is>
          <t>March</t>
        </is>
      </c>
      <c r="D1189" t="inlineStr">
        <is>
          <t>Classic Sunscreen</t>
        </is>
      </c>
      <c r="E1189" t="inlineStr">
        <is>
          <t>Beauty &amp; Health</t>
        </is>
      </c>
      <c r="F1189" t="inlineStr">
        <is>
          <t>Nina Wojcik</t>
        </is>
      </c>
      <c r="G1189" t="inlineStr">
        <is>
          <t>Germany</t>
        </is>
      </c>
      <c r="H1189" t="inlineStr">
        <is>
          <t>Retail Store</t>
        </is>
      </c>
      <c r="I1189" t="n">
        <v>2</v>
      </c>
      <c r="J1189" s="3" t="n">
        <v>266.86</v>
      </c>
      <c r="K1189" s="3" t="n">
        <v>13.34</v>
      </c>
      <c r="L1189" s="3" t="n">
        <v>253.52</v>
      </c>
      <c r="M1189" s="3" t="n">
        <v>187.38</v>
      </c>
      <c r="N1189" s="3" t="n">
        <v>66.14</v>
      </c>
      <c r="O1189">
        <f>TEXT(A1189,"yyyy-mm")</f>
        <v/>
      </c>
    </row>
    <row r="1190">
      <c r="A1190" s="2" t="n">
        <v>45726</v>
      </c>
      <c r="B1190" t="n">
        <v>2025</v>
      </c>
      <c r="C1190" t="inlineStr">
        <is>
          <t>March</t>
        </is>
      </c>
      <c r="D1190" t="inlineStr">
        <is>
          <t>Ultra Vitamins</t>
        </is>
      </c>
      <c r="E1190" t="inlineStr">
        <is>
          <t>Beauty &amp; Health</t>
        </is>
      </c>
      <c r="F1190" t="inlineStr">
        <is>
          <t>Thomas Zielinski</t>
        </is>
      </c>
      <c r="G1190" t="inlineStr">
        <is>
          <t>Netherlands</t>
        </is>
      </c>
      <c r="H1190" t="inlineStr">
        <is>
          <t>Retail Store</t>
        </is>
      </c>
      <c r="I1190" t="n">
        <v>4</v>
      </c>
      <c r="J1190" s="3" t="n">
        <v>865.8</v>
      </c>
      <c r="K1190" s="3" t="n">
        <v>129.87</v>
      </c>
      <c r="L1190" s="3" t="n">
        <v>735.9299999999999</v>
      </c>
      <c r="M1190" s="3" t="n">
        <v>504.4</v>
      </c>
      <c r="N1190" s="3" t="n">
        <v>231.53</v>
      </c>
      <c r="O1190">
        <f>TEXT(A1190,"yyyy-mm")</f>
        <v/>
      </c>
    </row>
    <row r="1191">
      <c r="A1191" s="2" t="n">
        <v>45726</v>
      </c>
      <c r="B1191" t="n">
        <v>2025</v>
      </c>
      <c r="C1191" t="inlineStr">
        <is>
          <t>March</t>
        </is>
      </c>
      <c r="D1191" t="inlineStr">
        <is>
          <t>Smart Olive Oil</t>
        </is>
      </c>
      <c r="E1191" t="inlineStr">
        <is>
          <t>Grocery</t>
        </is>
      </c>
      <c r="F1191" t="inlineStr">
        <is>
          <t>Olivia Bianchi</t>
        </is>
      </c>
      <c r="G1191" t="inlineStr">
        <is>
          <t>Spain</t>
        </is>
      </c>
      <c r="H1191" t="inlineStr">
        <is>
          <t>Retail Store</t>
        </is>
      </c>
      <c r="I1191" t="n">
        <v>4</v>
      </c>
      <c r="J1191" s="3" t="n">
        <v>690.16</v>
      </c>
      <c r="K1191" s="3" t="n">
        <v>138.03</v>
      </c>
      <c r="L1191" s="3" t="n">
        <v>552.13</v>
      </c>
      <c r="M1191" s="3" t="n">
        <v>440.08</v>
      </c>
      <c r="N1191" s="3" t="n">
        <v>112.05</v>
      </c>
      <c r="O1191">
        <f>TEXT(A1191,"yyyy-mm")</f>
        <v/>
      </c>
    </row>
    <row r="1192">
      <c r="A1192" s="2" t="n">
        <v>45726</v>
      </c>
      <c r="B1192" t="n">
        <v>2025</v>
      </c>
      <c r="C1192" t="inlineStr">
        <is>
          <t>March</t>
        </is>
      </c>
      <c r="D1192" t="inlineStr">
        <is>
          <t>Deluxe Cookbook</t>
        </is>
      </c>
      <c r="E1192" t="inlineStr">
        <is>
          <t>Books</t>
        </is>
      </c>
      <c r="F1192" t="inlineStr">
        <is>
          <t>Olivia Bianchi</t>
        </is>
      </c>
      <c r="G1192" t="inlineStr">
        <is>
          <t>Spain</t>
        </is>
      </c>
      <c r="H1192" t="inlineStr">
        <is>
          <t>Retail Store</t>
        </is>
      </c>
      <c r="I1192" t="n">
        <v>3</v>
      </c>
      <c r="J1192" s="3" t="n">
        <v>392.7</v>
      </c>
      <c r="K1192" s="3" t="n">
        <v>0</v>
      </c>
      <c r="L1192" s="3" t="n">
        <v>392.7</v>
      </c>
      <c r="M1192" s="3" t="n">
        <v>255.81</v>
      </c>
      <c r="N1192" s="3" t="n">
        <v>136.89</v>
      </c>
      <c r="O1192">
        <f>TEXT(A1192,"yyyy-mm")</f>
        <v/>
      </c>
    </row>
    <row r="1193">
      <c r="A1193" s="2" t="n">
        <v>45726</v>
      </c>
      <c r="B1193" t="n">
        <v>2025</v>
      </c>
      <c r="C1193" t="inlineStr">
        <is>
          <t>March</t>
        </is>
      </c>
      <c r="D1193" t="inlineStr">
        <is>
          <t>Smart Charger</t>
        </is>
      </c>
      <c r="E1193" t="inlineStr">
        <is>
          <t>Electronics</t>
        </is>
      </c>
      <c r="F1193" t="inlineStr">
        <is>
          <t>Olivia Bianchi</t>
        </is>
      </c>
      <c r="G1193" t="inlineStr">
        <is>
          <t>Spain</t>
        </is>
      </c>
      <c r="H1193" t="inlineStr">
        <is>
          <t>Retail Store</t>
        </is>
      </c>
      <c r="I1193" t="n">
        <v>5</v>
      </c>
      <c r="J1193" s="3" t="n">
        <v>196.45</v>
      </c>
      <c r="K1193" s="3" t="n">
        <v>0</v>
      </c>
      <c r="L1193" s="3" t="n">
        <v>196.45</v>
      </c>
      <c r="M1193" s="3" t="n">
        <v>138.2</v>
      </c>
      <c r="N1193" s="3" t="n">
        <v>58.25</v>
      </c>
      <c r="O1193">
        <f>TEXT(A1193,"yyyy-mm")</f>
        <v/>
      </c>
    </row>
    <row r="1194">
      <c r="A1194" s="2" t="n">
        <v>45726</v>
      </c>
      <c r="B1194" t="n">
        <v>2025</v>
      </c>
      <c r="C1194" t="inlineStr">
        <is>
          <t>March</t>
        </is>
      </c>
      <c r="D1194" t="inlineStr">
        <is>
          <t>Ultra Backpack</t>
        </is>
      </c>
      <c r="E1194" t="inlineStr">
        <is>
          <t>Sports &amp; Outdoors</t>
        </is>
      </c>
      <c r="F1194" t="inlineStr">
        <is>
          <t>Olivia Bianchi</t>
        </is>
      </c>
      <c r="G1194" t="inlineStr">
        <is>
          <t>Spain</t>
        </is>
      </c>
      <c r="H1194" t="inlineStr">
        <is>
          <t>Retail Store</t>
        </is>
      </c>
      <c r="I1194" t="n">
        <v>5</v>
      </c>
      <c r="J1194" s="3" t="n">
        <v>1487.35</v>
      </c>
      <c r="K1194" s="3" t="n">
        <v>223.1</v>
      </c>
      <c r="L1194" s="3" t="n">
        <v>1264.25</v>
      </c>
      <c r="M1194" s="3" t="n">
        <v>868.45</v>
      </c>
      <c r="N1194" s="3" t="n">
        <v>395.8</v>
      </c>
      <c r="O1194">
        <f>TEXT(A1194,"yyyy-mm")</f>
        <v/>
      </c>
    </row>
    <row r="1195">
      <c r="A1195" s="2" t="n">
        <v>45726</v>
      </c>
      <c r="B1195" t="n">
        <v>2025</v>
      </c>
      <c r="C1195" t="inlineStr">
        <is>
          <t>March</t>
        </is>
      </c>
      <c r="D1195" t="inlineStr">
        <is>
          <t>Wireless Backpack</t>
        </is>
      </c>
      <c r="E1195" t="inlineStr">
        <is>
          <t>Sports &amp; Outdoors</t>
        </is>
      </c>
      <c r="F1195" t="inlineStr">
        <is>
          <t>Maria Weber</t>
        </is>
      </c>
      <c r="G1195" t="inlineStr">
        <is>
          <t>Spain</t>
        </is>
      </c>
      <c r="H1195" t="inlineStr">
        <is>
          <t>Web Store</t>
        </is>
      </c>
      <c r="I1195" t="n">
        <v>1</v>
      </c>
      <c r="J1195" s="3" t="n">
        <v>48.6</v>
      </c>
      <c r="K1195" s="3" t="n">
        <v>2.43</v>
      </c>
      <c r="L1195" s="3" t="n">
        <v>46.17</v>
      </c>
      <c r="M1195" s="3" t="n">
        <v>28.1</v>
      </c>
      <c r="N1195" s="3" t="n">
        <v>18.07</v>
      </c>
      <c r="O1195">
        <f>TEXT(A1195,"yyyy-mm")</f>
        <v/>
      </c>
    </row>
    <row r="1196">
      <c r="A1196" s="2" t="n">
        <v>45726</v>
      </c>
      <c r="B1196" t="n">
        <v>2025</v>
      </c>
      <c r="C1196" t="inlineStr">
        <is>
          <t>March</t>
        </is>
      </c>
      <c r="D1196" t="inlineStr">
        <is>
          <t>Deluxe Puzzle</t>
        </is>
      </c>
      <c r="E1196" t="inlineStr">
        <is>
          <t>Toys &amp; Games</t>
        </is>
      </c>
      <c r="F1196" t="inlineStr">
        <is>
          <t>Maria Weber</t>
        </is>
      </c>
      <c r="G1196" t="inlineStr">
        <is>
          <t>Spain</t>
        </is>
      </c>
      <c r="H1196" t="inlineStr">
        <is>
          <t>Web Store</t>
        </is>
      </c>
      <c r="I1196" t="n">
        <v>1</v>
      </c>
      <c r="J1196" s="3" t="n">
        <v>210.79</v>
      </c>
      <c r="K1196" s="3" t="n">
        <v>42.16</v>
      </c>
      <c r="L1196" s="3" t="n">
        <v>168.63</v>
      </c>
      <c r="M1196" s="3" t="n">
        <v>111.17</v>
      </c>
      <c r="N1196" s="3" t="n">
        <v>57.46</v>
      </c>
      <c r="O1196">
        <f>TEXT(A1196,"yyyy-mm")</f>
        <v/>
      </c>
    </row>
    <row r="1197">
      <c r="A1197" s="2" t="n">
        <v>45727</v>
      </c>
      <c r="B1197" t="n">
        <v>2025</v>
      </c>
      <c r="C1197" t="inlineStr">
        <is>
          <t>March</t>
        </is>
      </c>
      <c r="D1197" t="inlineStr">
        <is>
          <t>Smart Charger</t>
        </is>
      </c>
      <c r="E1197" t="inlineStr">
        <is>
          <t>Electronics</t>
        </is>
      </c>
      <c r="F1197" t="inlineStr">
        <is>
          <t>Clara Moreau</t>
        </is>
      </c>
      <c r="G1197" t="inlineStr">
        <is>
          <t>Spain</t>
        </is>
      </c>
      <c r="H1197" t="inlineStr">
        <is>
          <t>Marketplace</t>
        </is>
      </c>
      <c r="I1197" t="n">
        <v>1</v>
      </c>
      <c r="J1197" s="3" t="n">
        <v>40.95</v>
      </c>
      <c r="K1197" s="3" t="n">
        <v>2.05</v>
      </c>
      <c r="L1197" s="3" t="n">
        <v>38.9</v>
      </c>
      <c r="M1197" s="3" t="n">
        <v>27.64</v>
      </c>
      <c r="N1197" s="3" t="n">
        <v>11.26</v>
      </c>
      <c r="O1197">
        <f>TEXT(A1197,"yyyy-mm")</f>
        <v/>
      </c>
    </row>
    <row r="1198">
      <c r="A1198" s="2" t="n">
        <v>45727</v>
      </c>
      <c r="B1198" t="n">
        <v>2025</v>
      </c>
      <c r="C1198" t="inlineStr">
        <is>
          <t>March</t>
        </is>
      </c>
      <c r="D1198" t="inlineStr">
        <is>
          <t>Premium Water Bottle</t>
        </is>
      </c>
      <c r="E1198" t="inlineStr">
        <is>
          <t>Sports &amp; Outdoors</t>
        </is>
      </c>
      <c r="F1198" t="inlineStr">
        <is>
          <t>Emma Schmidt</t>
        </is>
      </c>
      <c r="G1198" t="inlineStr">
        <is>
          <t>United States</t>
        </is>
      </c>
      <c r="H1198" t="inlineStr">
        <is>
          <t>Mobile App</t>
        </is>
      </c>
      <c r="I1198" t="n">
        <v>1</v>
      </c>
      <c r="J1198" s="3" t="n">
        <v>29.33</v>
      </c>
      <c r="K1198" s="3" t="n">
        <v>4.4</v>
      </c>
      <c r="L1198" s="3" t="n">
        <v>24.93</v>
      </c>
      <c r="M1198" s="3" t="n">
        <v>16.63</v>
      </c>
      <c r="N1198" s="3" t="n">
        <v>8.300000000000001</v>
      </c>
      <c r="O1198">
        <f>TEXT(A1198,"yyyy-mm")</f>
        <v/>
      </c>
    </row>
    <row r="1199">
      <c r="A1199" s="2" t="n">
        <v>45727</v>
      </c>
      <c r="B1199" t="n">
        <v>2025</v>
      </c>
      <c r="C1199" t="inlineStr">
        <is>
          <t>March</t>
        </is>
      </c>
      <c r="D1199" t="inlineStr">
        <is>
          <t>Classic Coffee Beans</t>
        </is>
      </c>
      <c r="E1199" t="inlineStr">
        <is>
          <t>Grocery</t>
        </is>
      </c>
      <c r="F1199" t="inlineStr">
        <is>
          <t>Maria Moreau</t>
        </is>
      </c>
      <c r="G1199" t="inlineStr">
        <is>
          <t>Germany</t>
        </is>
      </c>
      <c r="H1199" t="inlineStr">
        <is>
          <t>Marketplace</t>
        </is>
      </c>
      <c r="I1199" t="n">
        <v>4</v>
      </c>
      <c r="J1199" s="3" t="n">
        <v>1292.36</v>
      </c>
      <c r="K1199" s="3" t="n">
        <v>258.47</v>
      </c>
      <c r="L1199" s="3" t="n">
        <v>1033.89</v>
      </c>
      <c r="M1199" s="3" t="n">
        <v>779.04</v>
      </c>
      <c r="N1199" s="3" t="n">
        <v>254.85</v>
      </c>
      <c r="O1199">
        <f>TEXT(A1199,"yyyy-mm")</f>
        <v/>
      </c>
    </row>
    <row r="1200">
      <c r="A1200" s="2" t="n">
        <v>45727</v>
      </c>
      <c r="B1200" t="n">
        <v>2025</v>
      </c>
      <c r="C1200" t="inlineStr">
        <is>
          <t>March</t>
        </is>
      </c>
      <c r="D1200" t="inlineStr">
        <is>
          <t>Smart Face Cream</t>
        </is>
      </c>
      <c r="E1200" t="inlineStr">
        <is>
          <t>Beauty &amp; Health</t>
        </is>
      </c>
      <c r="F1200" t="inlineStr">
        <is>
          <t>Maria Moreau</t>
        </is>
      </c>
      <c r="G1200" t="inlineStr">
        <is>
          <t>Germany</t>
        </is>
      </c>
      <c r="H1200" t="inlineStr">
        <is>
          <t>Marketplace</t>
        </is>
      </c>
      <c r="I1200" t="n">
        <v>1</v>
      </c>
      <c r="J1200" s="3" t="n">
        <v>260.05</v>
      </c>
      <c r="K1200" s="3" t="n">
        <v>0</v>
      </c>
      <c r="L1200" s="3" t="n">
        <v>260.05</v>
      </c>
      <c r="M1200" s="3" t="n">
        <v>193.14</v>
      </c>
      <c r="N1200" s="3" t="n">
        <v>66.91</v>
      </c>
      <c r="O1200">
        <f>TEXT(A1200,"yyyy-mm")</f>
        <v/>
      </c>
    </row>
    <row r="1201">
      <c r="A1201" s="2" t="n">
        <v>45727</v>
      </c>
      <c r="B1201" t="n">
        <v>2025</v>
      </c>
      <c r="C1201" t="inlineStr">
        <is>
          <t>March</t>
        </is>
      </c>
      <c r="D1201" t="inlineStr">
        <is>
          <t>Ultra Toolset</t>
        </is>
      </c>
      <c r="E1201" t="inlineStr">
        <is>
          <t>Home &amp; Garden</t>
        </is>
      </c>
      <c r="F1201" t="inlineStr">
        <is>
          <t>David Nowak</t>
        </is>
      </c>
      <c r="G1201" t="inlineStr">
        <is>
          <t>United Kingdom</t>
        </is>
      </c>
      <c r="H1201" t="inlineStr">
        <is>
          <t>Web Store</t>
        </is>
      </c>
      <c r="I1201" t="n">
        <v>4</v>
      </c>
      <c r="J1201" s="3" t="n">
        <v>1495.76</v>
      </c>
      <c r="K1201" s="3" t="n">
        <v>224.36</v>
      </c>
      <c r="L1201" s="3" t="n">
        <v>1271.4</v>
      </c>
      <c r="M1201" s="3" t="n">
        <v>761.6</v>
      </c>
      <c r="N1201" s="3" t="n">
        <v>509.8</v>
      </c>
      <c r="O1201">
        <f>TEXT(A1201,"yyyy-mm")</f>
        <v/>
      </c>
    </row>
    <row r="1202">
      <c r="A1202" s="2" t="n">
        <v>45727</v>
      </c>
      <c r="B1202" t="n">
        <v>2025</v>
      </c>
      <c r="C1202" t="inlineStr">
        <is>
          <t>March</t>
        </is>
      </c>
      <c r="D1202" t="inlineStr">
        <is>
          <t>Smart Cookbook</t>
        </is>
      </c>
      <c r="E1202" t="inlineStr">
        <is>
          <t>Books</t>
        </is>
      </c>
      <c r="F1202" t="inlineStr">
        <is>
          <t>David Nowak</t>
        </is>
      </c>
      <c r="G1202" t="inlineStr">
        <is>
          <t>United Kingdom</t>
        </is>
      </c>
      <c r="H1202" t="inlineStr">
        <is>
          <t>Web Store</t>
        </is>
      </c>
      <c r="I1202" t="n">
        <v>4</v>
      </c>
      <c r="J1202" s="3" t="n">
        <v>75.72</v>
      </c>
      <c r="K1202" s="3" t="n">
        <v>15.14</v>
      </c>
      <c r="L1202" s="3" t="n">
        <v>60.58</v>
      </c>
      <c r="M1202" s="3" t="n">
        <v>39.52</v>
      </c>
      <c r="N1202" s="3" t="n">
        <v>21.06</v>
      </c>
      <c r="O1202">
        <f>TEXT(A1202,"yyyy-mm")</f>
        <v/>
      </c>
    </row>
    <row r="1203">
      <c r="A1203" s="2" t="n">
        <v>45727</v>
      </c>
      <c r="B1203" t="n">
        <v>2025</v>
      </c>
      <c r="C1203" t="inlineStr">
        <is>
          <t>March</t>
        </is>
      </c>
      <c r="D1203" t="inlineStr">
        <is>
          <t>Ultra Backpack</t>
        </is>
      </c>
      <c r="E1203" t="inlineStr">
        <is>
          <t>Sports &amp; Outdoors</t>
        </is>
      </c>
      <c r="F1203" t="inlineStr">
        <is>
          <t>Emily Garcia</t>
        </is>
      </c>
      <c r="G1203" t="inlineStr">
        <is>
          <t>Germany</t>
        </is>
      </c>
      <c r="H1203" t="inlineStr">
        <is>
          <t>Mobile App</t>
        </is>
      </c>
      <c r="I1203" t="n">
        <v>2</v>
      </c>
      <c r="J1203" s="3" t="n">
        <v>643.66</v>
      </c>
      <c r="K1203" s="3" t="n">
        <v>128.73</v>
      </c>
      <c r="L1203" s="3" t="n">
        <v>514.9299999999999</v>
      </c>
      <c r="M1203" s="3" t="n">
        <v>347.38</v>
      </c>
      <c r="N1203" s="3" t="n">
        <v>167.55</v>
      </c>
      <c r="O1203">
        <f>TEXT(A1203,"yyyy-mm")</f>
        <v/>
      </c>
    </row>
    <row r="1204">
      <c r="A1204" s="2" t="n">
        <v>45727</v>
      </c>
      <c r="B1204" t="n">
        <v>2025</v>
      </c>
      <c r="C1204" t="inlineStr">
        <is>
          <t>March</t>
        </is>
      </c>
      <c r="D1204" t="inlineStr">
        <is>
          <t>Essential Notebook</t>
        </is>
      </c>
      <c r="E1204" t="inlineStr">
        <is>
          <t>Books</t>
        </is>
      </c>
      <c r="F1204" t="inlineStr">
        <is>
          <t>Paul Brown</t>
        </is>
      </c>
      <c r="G1204" t="inlineStr">
        <is>
          <t>United Kingdom</t>
        </is>
      </c>
      <c r="H1204" t="inlineStr">
        <is>
          <t>Marketplace</t>
        </is>
      </c>
      <c r="I1204" t="n">
        <v>3</v>
      </c>
      <c r="J1204" s="3" t="n">
        <v>340.02</v>
      </c>
      <c r="K1204" s="3" t="n">
        <v>17</v>
      </c>
      <c r="L1204" s="3" t="n">
        <v>323.02</v>
      </c>
      <c r="M1204" s="3" t="n">
        <v>237.3</v>
      </c>
      <c r="N1204" s="3" t="n">
        <v>85.72</v>
      </c>
      <c r="O1204">
        <f>TEXT(A1204,"yyyy-mm")</f>
        <v/>
      </c>
    </row>
    <row r="1205">
      <c r="A1205" s="2" t="n">
        <v>45727</v>
      </c>
      <c r="B1205" t="n">
        <v>2025</v>
      </c>
      <c r="C1205" t="inlineStr">
        <is>
          <t>March</t>
        </is>
      </c>
      <c r="D1205" t="inlineStr">
        <is>
          <t>Classic Coffee Beans</t>
        </is>
      </c>
      <c r="E1205" t="inlineStr">
        <is>
          <t>Grocery</t>
        </is>
      </c>
      <c r="F1205" t="inlineStr">
        <is>
          <t>Paul Brown</t>
        </is>
      </c>
      <c r="G1205" t="inlineStr">
        <is>
          <t>United Kingdom</t>
        </is>
      </c>
      <c r="H1205" t="inlineStr">
        <is>
          <t>Marketplace</t>
        </is>
      </c>
      <c r="I1205" t="n">
        <v>5</v>
      </c>
      <c r="J1205" s="3" t="n">
        <v>1650.8</v>
      </c>
      <c r="K1205" s="3" t="n">
        <v>330.16</v>
      </c>
      <c r="L1205" s="3" t="n">
        <v>1320.64</v>
      </c>
      <c r="M1205" s="3" t="n">
        <v>973.8</v>
      </c>
      <c r="N1205" s="3" t="n">
        <v>346.84</v>
      </c>
      <c r="O1205">
        <f>TEXT(A1205,"yyyy-mm")</f>
        <v/>
      </c>
    </row>
    <row r="1206">
      <c r="A1206" s="2" t="n">
        <v>45727</v>
      </c>
      <c r="B1206" t="n">
        <v>2025</v>
      </c>
      <c r="C1206" t="inlineStr">
        <is>
          <t>March</t>
        </is>
      </c>
      <c r="D1206" t="inlineStr">
        <is>
          <t>Wireless Coffee Beans</t>
        </is>
      </c>
      <c r="E1206" t="inlineStr">
        <is>
          <t>Grocery</t>
        </is>
      </c>
      <c r="F1206" t="inlineStr">
        <is>
          <t>Emily Weber</t>
        </is>
      </c>
      <c r="G1206" t="inlineStr">
        <is>
          <t>United Kingdom</t>
        </is>
      </c>
      <c r="H1206" t="inlineStr">
        <is>
          <t>Marketplace</t>
        </is>
      </c>
      <c r="I1206" t="n">
        <v>4</v>
      </c>
      <c r="J1206" s="3" t="n">
        <v>493.96</v>
      </c>
      <c r="K1206" s="3" t="n">
        <v>74.09</v>
      </c>
      <c r="L1206" s="3" t="n">
        <v>419.87</v>
      </c>
      <c r="M1206" s="3" t="n">
        <v>317.48</v>
      </c>
      <c r="N1206" s="3" t="n">
        <v>102.39</v>
      </c>
      <c r="O1206">
        <f>TEXT(A1206,"yyyy-mm")</f>
        <v/>
      </c>
    </row>
    <row r="1207">
      <c r="A1207" s="2" t="n">
        <v>45727</v>
      </c>
      <c r="B1207" t="n">
        <v>2025</v>
      </c>
      <c r="C1207" t="inlineStr">
        <is>
          <t>March</t>
        </is>
      </c>
      <c r="D1207" t="inlineStr">
        <is>
          <t>Premium Water Bottle</t>
        </is>
      </c>
      <c r="E1207" t="inlineStr">
        <is>
          <t>Sports &amp; Outdoors</t>
        </is>
      </c>
      <c r="F1207" t="inlineStr">
        <is>
          <t>Clara Moreau</t>
        </is>
      </c>
      <c r="G1207" t="inlineStr">
        <is>
          <t>Spain</t>
        </is>
      </c>
      <c r="H1207" t="inlineStr">
        <is>
          <t>Marketplace</t>
        </is>
      </c>
      <c r="I1207" t="n">
        <v>4</v>
      </c>
      <c r="J1207" s="3" t="n">
        <v>495.16</v>
      </c>
      <c r="K1207" s="3" t="n">
        <v>74.27</v>
      </c>
      <c r="L1207" s="3" t="n">
        <v>420.89</v>
      </c>
      <c r="M1207" s="3" t="n">
        <v>358.48</v>
      </c>
      <c r="N1207" s="3" t="n">
        <v>62.41</v>
      </c>
      <c r="O1207">
        <f>TEXT(A1207,"yyyy-mm")</f>
        <v/>
      </c>
    </row>
    <row r="1208">
      <c r="A1208" s="2" t="n">
        <v>45727</v>
      </c>
      <c r="B1208" t="n">
        <v>2025</v>
      </c>
      <c r="C1208" t="inlineStr">
        <is>
          <t>March</t>
        </is>
      </c>
      <c r="D1208" t="inlineStr">
        <is>
          <t>Smart Jeans</t>
        </is>
      </c>
      <c r="E1208" t="inlineStr">
        <is>
          <t>Clothing</t>
        </is>
      </c>
      <c r="F1208" t="inlineStr">
        <is>
          <t>Clara Moreau</t>
        </is>
      </c>
      <c r="G1208" t="inlineStr">
        <is>
          <t>Spain</t>
        </is>
      </c>
      <c r="H1208" t="inlineStr">
        <is>
          <t>Marketplace</t>
        </is>
      </c>
      <c r="I1208" t="n">
        <v>3</v>
      </c>
      <c r="J1208" s="3" t="n">
        <v>880.65</v>
      </c>
      <c r="K1208" s="3" t="n">
        <v>0</v>
      </c>
      <c r="L1208" s="3" t="n">
        <v>880.65</v>
      </c>
      <c r="M1208" s="3" t="n">
        <v>580.92</v>
      </c>
      <c r="N1208" s="3" t="n">
        <v>299.73</v>
      </c>
      <c r="O1208">
        <f>TEXT(A1208,"yyyy-mm")</f>
        <v/>
      </c>
    </row>
    <row r="1209">
      <c r="A1209" s="2" t="n">
        <v>45727</v>
      </c>
      <c r="B1209" t="n">
        <v>2025</v>
      </c>
      <c r="C1209" t="inlineStr">
        <is>
          <t>March</t>
        </is>
      </c>
      <c r="D1209" t="inlineStr">
        <is>
          <t>Compact Sunscreen</t>
        </is>
      </c>
      <c r="E1209" t="inlineStr">
        <is>
          <t>Beauty &amp; Health</t>
        </is>
      </c>
      <c r="F1209" t="inlineStr">
        <is>
          <t>Laura Wojcik</t>
        </is>
      </c>
      <c r="G1209" t="inlineStr">
        <is>
          <t>Italy</t>
        </is>
      </c>
      <c r="H1209" t="inlineStr">
        <is>
          <t>Marketplace</t>
        </is>
      </c>
      <c r="I1209" t="n">
        <v>4</v>
      </c>
      <c r="J1209" s="3" t="n">
        <v>1251.08</v>
      </c>
      <c r="K1209" s="3" t="n">
        <v>62.55</v>
      </c>
      <c r="L1209" s="3" t="n">
        <v>1188.53</v>
      </c>
      <c r="M1209" s="3" t="n">
        <v>710.64</v>
      </c>
      <c r="N1209" s="3" t="n">
        <v>477.89</v>
      </c>
      <c r="O1209">
        <f>TEXT(A1209,"yyyy-mm")</f>
        <v/>
      </c>
    </row>
    <row r="1210">
      <c r="A1210" s="2" t="n">
        <v>45727</v>
      </c>
      <c r="B1210" t="n">
        <v>2025</v>
      </c>
      <c r="C1210" t="inlineStr">
        <is>
          <t>March</t>
        </is>
      </c>
      <c r="D1210" t="inlineStr">
        <is>
          <t>Compact Jacket</t>
        </is>
      </c>
      <c r="E1210" t="inlineStr">
        <is>
          <t>Clothing</t>
        </is>
      </c>
      <c r="F1210" t="inlineStr">
        <is>
          <t>Anna Dubois</t>
        </is>
      </c>
      <c r="G1210" t="inlineStr">
        <is>
          <t>Poland</t>
        </is>
      </c>
      <c r="H1210" t="inlineStr">
        <is>
          <t>Web Store</t>
        </is>
      </c>
      <c r="I1210" t="n">
        <v>3</v>
      </c>
      <c r="J1210" s="3" t="n">
        <v>115.8</v>
      </c>
      <c r="K1210" s="3" t="n">
        <v>0</v>
      </c>
      <c r="L1210" s="3" t="n">
        <v>115.8</v>
      </c>
      <c r="M1210" s="3" t="n">
        <v>61.2</v>
      </c>
      <c r="N1210" s="3" t="n">
        <v>54.6</v>
      </c>
      <c r="O1210">
        <f>TEXT(A1210,"yyyy-mm")</f>
        <v/>
      </c>
    </row>
    <row r="1211">
      <c r="A1211" s="2" t="n">
        <v>45727</v>
      </c>
      <c r="B1211" t="n">
        <v>2025</v>
      </c>
      <c r="C1211" t="inlineStr">
        <is>
          <t>March</t>
        </is>
      </c>
      <c r="D1211" t="inlineStr">
        <is>
          <t>Smart Drone</t>
        </is>
      </c>
      <c r="E1211" t="inlineStr">
        <is>
          <t>Toys &amp; Games</t>
        </is>
      </c>
      <c r="F1211" t="inlineStr">
        <is>
          <t>Emily Weber</t>
        </is>
      </c>
      <c r="G1211" t="inlineStr">
        <is>
          <t>United Kingdom</t>
        </is>
      </c>
      <c r="H1211" t="inlineStr">
        <is>
          <t>Marketplace</t>
        </is>
      </c>
      <c r="I1211" t="n">
        <v>3</v>
      </c>
      <c r="J1211" s="3" t="n">
        <v>652.59</v>
      </c>
      <c r="K1211" s="3" t="n">
        <v>97.89</v>
      </c>
      <c r="L1211" s="3" t="n">
        <v>554.7</v>
      </c>
      <c r="M1211" s="3" t="n">
        <v>380.85</v>
      </c>
      <c r="N1211" s="3" t="n">
        <v>173.85</v>
      </c>
      <c r="O1211">
        <f>TEXT(A1211,"yyyy-mm")</f>
        <v/>
      </c>
    </row>
    <row r="1212">
      <c r="A1212" s="2" t="n">
        <v>45727</v>
      </c>
      <c r="B1212" t="n">
        <v>2025</v>
      </c>
      <c r="C1212" t="inlineStr">
        <is>
          <t>March</t>
        </is>
      </c>
      <c r="D1212" t="inlineStr">
        <is>
          <t>Deluxe Headphones</t>
        </is>
      </c>
      <c r="E1212" t="inlineStr">
        <is>
          <t>Electronics</t>
        </is>
      </c>
      <c r="F1212" t="inlineStr">
        <is>
          <t>Emily Weber</t>
        </is>
      </c>
      <c r="G1212" t="inlineStr">
        <is>
          <t>United Kingdom</t>
        </is>
      </c>
      <c r="H1212" t="inlineStr">
        <is>
          <t>Marketplace</t>
        </is>
      </c>
      <c r="I1212" t="n">
        <v>5</v>
      </c>
      <c r="J1212" s="3" t="n">
        <v>353.1</v>
      </c>
      <c r="K1212" s="3" t="n">
        <v>0</v>
      </c>
      <c r="L1212" s="3" t="n">
        <v>353.1</v>
      </c>
      <c r="M1212" s="3" t="n">
        <v>262.5</v>
      </c>
      <c r="N1212" s="3" t="n">
        <v>90.59999999999999</v>
      </c>
      <c r="O1212">
        <f>TEXT(A1212,"yyyy-mm")</f>
        <v/>
      </c>
    </row>
    <row r="1213">
      <c r="A1213" s="2" t="n">
        <v>45727</v>
      </c>
      <c r="B1213" t="n">
        <v>2025</v>
      </c>
      <c r="C1213" t="inlineStr">
        <is>
          <t>March</t>
        </is>
      </c>
      <c r="D1213" t="inlineStr">
        <is>
          <t>Essential Rug</t>
        </is>
      </c>
      <c r="E1213" t="inlineStr">
        <is>
          <t>Home &amp; Garden</t>
        </is>
      </c>
      <c r="F1213" t="inlineStr">
        <is>
          <t>Laura Wojcik</t>
        </is>
      </c>
      <c r="G1213" t="inlineStr">
        <is>
          <t>Italy</t>
        </is>
      </c>
      <c r="H1213" t="inlineStr">
        <is>
          <t>Marketplace</t>
        </is>
      </c>
      <c r="I1213" t="n">
        <v>2</v>
      </c>
      <c r="J1213" s="3" t="n">
        <v>262.38</v>
      </c>
      <c r="K1213" s="3" t="n">
        <v>13.12</v>
      </c>
      <c r="L1213" s="3" t="n">
        <v>249.26</v>
      </c>
      <c r="M1213" s="3" t="n">
        <v>152.66</v>
      </c>
      <c r="N1213" s="3" t="n">
        <v>96.59999999999999</v>
      </c>
      <c r="O1213">
        <f>TEXT(A1213,"yyyy-mm")</f>
        <v/>
      </c>
    </row>
    <row r="1214">
      <c r="A1214" s="2" t="n">
        <v>45728</v>
      </c>
      <c r="B1214" t="n">
        <v>2025</v>
      </c>
      <c r="C1214" t="inlineStr">
        <is>
          <t>March</t>
        </is>
      </c>
      <c r="D1214" t="inlineStr">
        <is>
          <t>Eco Sweater</t>
        </is>
      </c>
      <c r="E1214" t="inlineStr">
        <is>
          <t>Clothing</t>
        </is>
      </c>
      <c r="F1214" t="inlineStr">
        <is>
          <t>Emily Conti</t>
        </is>
      </c>
      <c r="G1214" t="inlineStr">
        <is>
          <t>Germany</t>
        </is>
      </c>
      <c r="H1214" t="inlineStr">
        <is>
          <t>Retail Store</t>
        </is>
      </c>
      <c r="I1214" t="n">
        <v>2</v>
      </c>
      <c r="J1214" s="3" t="n">
        <v>306.28</v>
      </c>
      <c r="K1214" s="3" t="n">
        <v>0</v>
      </c>
      <c r="L1214" s="3" t="n">
        <v>306.28</v>
      </c>
      <c r="M1214" s="3" t="n">
        <v>208.46</v>
      </c>
      <c r="N1214" s="3" t="n">
        <v>97.81999999999999</v>
      </c>
      <c r="O1214">
        <f>TEXT(A1214,"yyyy-mm")</f>
        <v/>
      </c>
    </row>
    <row r="1215">
      <c r="A1215" s="2" t="n">
        <v>45728</v>
      </c>
      <c r="B1215" t="n">
        <v>2025</v>
      </c>
      <c r="C1215" t="inlineStr">
        <is>
          <t>March</t>
        </is>
      </c>
      <c r="D1215" t="inlineStr">
        <is>
          <t>Portable Speaker</t>
        </is>
      </c>
      <c r="E1215" t="inlineStr">
        <is>
          <t>Electronics</t>
        </is>
      </c>
      <c r="F1215" t="inlineStr">
        <is>
          <t>Clara Johnson</t>
        </is>
      </c>
      <c r="G1215" t="inlineStr">
        <is>
          <t>France</t>
        </is>
      </c>
      <c r="H1215" t="inlineStr">
        <is>
          <t>Marketplace</t>
        </is>
      </c>
      <c r="I1215" t="n">
        <v>5</v>
      </c>
      <c r="J1215" s="3" t="n">
        <v>1593.5</v>
      </c>
      <c r="K1215" s="3" t="n">
        <v>0</v>
      </c>
      <c r="L1215" s="3" t="n">
        <v>1593.5</v>
      </c>
      <c r="M1215" s="3" t="n">
        <v>874.15</v>
      </c>
      <c r="N1215" s="3" t="n">
        <v>719.35</v>
      </c>
      <c r="O1215">
        <f>TEXT(A1215,"yyyy-mm")</f>
        <v/>
      </c>
    </row>
    <row r="1216">
      <c r="A1216" s="2" t="n">
        <v>45728</v>
      </c>
      <c r="B1216" t="n">
        <v>2025</v>
      </c>
      <c r="C1216" t="inlineStr">
        <is>
          <t>March</t>
        </is>
      </c>
      <c r="D1216" t="inlineStr">
        <is>
          <t>Classic Sunscreen</t>
        </is>
      </c>
      <c r="E1216" t="inlineStr">
        <is>
          <t>Beauty &amp; Health</t>
        </is>
      </c>
      <c r="F1216" t="inlineStr">
        <is>
          <t>Clara Johnson</t>
        </is>
      </c>
      <c r="G1216" t="inlineStr">
        <is>
          <t>France</t>
        </is>
      </c>
      <c r="H1216" t="inlineStr">
        <is>
          <t>Marketplace</t>
        </is>
      </c>
      <c r="I1216" t="n">
        <v>4</v>
      </c>
      <c r="J1216" s="3" t="n">
        <v>575.16</v>
      </c>
      <c r="K1216" s="3" t="n">
        <v>28.76</v>
      </c>
      <c r="L1216" s="3" t="n">
        <v>546.4</v>
      </c>
      <c r="M1216" s="3" t="n">
        <v>374.76</v>
      </c>
      <c r="N1216" s="3" t="n">
        <v>171.64</v>
      </c>
      <c r="O1216">
        <f>TEXT(A1216,"yyyy-mm")</f>
        <v/>
      </c>
    </row>
    <row r="1217">
      <c r="A1217" s="2" t="n">
        <v>45728</v>
      </c>
      <c r="B1217" t="n">
        <v>2025</v>
      </c>
      <c r="C1217" t="inlineStr">
        <is>
          <t>March</t>
        </is>
      </c>
      <c r="D1217" t="inlineStr">
        <is>
          <t>Classic Tent</t>
        </is>
      </c>
      <c r="E1217" t="inlineStr">
        <is>
          <t>Sports &amp; Outdoors</t>
        </is>
      </c>
      <c r="F1217" t="inlineStr">
        <is>
          <t>Clara Johnson</t>
        </is>
      </c>
      <c r="G1217" t="inlineStr">
        <is>
          <t>France</t>
        </is>
      </c>
      <c r="H1217" t="inlineStr">
        <is>
          <t>Marketplace</t>
        </is>
      </c>
      <c r="I1217" t="n">
        <v>5</v>
      </c>
      <c r="J1217" s="3" t="n">
        <v>1034.25</v>
      </c>
      <c r="K1217" s="3" t="n">
        <v>51.71</v>
      </c>
      <c r="L1217" s="3" t="n">
        <v>982.54</v>
      </c>
      <c r="M1217" s="3" t="n">
        <v>590.1</v>
      </c>
      <c r="N1217" s="3" t="n">
        <v>392.44</v>
      </c>
      <c r="O1217">
        <f>TEXT(A1217,"yyyy-mm")</f>
        <v/>
      </c>
    </row>
    <row r="1218">
      <c r="A1218" s="2" t="n">
        <v>45728</v>
      </c>
      <c r="B1218" t="n">
        <v>2025</v>
      </c>
      <c r="C1218" t="inlineStr">
        <is>
          <t>March</t>
        </is>
      </c>
      <c r="D1218" t="inlineStr">
        <is>
          <t>Smart Puzzle</t>
        </is>
      </c>
      <c r="E1218" t="inlineStr">
        <is>
          <t>Toys &amp; Games</t>
        </is>
      </c>
      <c r="F1218" t="inlineStr">
        <is>
          <t>Emily Conti</t>
        </is>
      </c>
      <c r="G1218" t="inlineStr">
        <is>
          <t>Germany</t>
        </is>
      </c>
      <c r="H1218" t="inlineStr">
        <is>
          <t>Retail Store</t>
        </is>
      </c>
      <c r="I1218" t="n">
        <v>4</v>
      </c>
      <c r="J1218" s="3" t="n">
        <v>185.36</v>
      </c>
      <c r="K1218" s="3" t="n">
        <v>27.8</v>
      </c>
      <c r="L1218" s="3" t="n">
        <v>157.56</v>
      </c>
      <c r="M1218" s="3" t="n">
        <v>97.76000000000001</v>
      </c>
      <c r="N1218" s="3" t="n">
        <v>59.8</v>
      </c>
      <c r="O1218">
        <f>TEXT(A1218,"yyyy-mm")</f>
        <v/>
      </c>
    </row>
    <row r="1219">
      <c r="A1219" s="2" t="n">
        <v>45731</v>
      </c>
      <c r="B1219" t="n">
        <v>2025</v>
      </c>
      <c r="C1219" t="inlineStr">
        <is>
          <t>March</t>
        </is>
      </c>
      <c r="D1219" t="inlineStr">
        <is>
          <t>Essential Pasta</t>
        </is>
      </c>
      <c r="E1219" t="inlineStr">
        <is>
          <t>Grocery</t>
        </is>
      </c>
      <c r="F1219" t="inlineStr">
        <is>
          <t>Thomas Nowak</t>
        </is>
      </c>
      <c r="G1219" t="inlineStr">
        <is>
          <t>Germany</t>
        </is>
      </c>
      <c r="H1219" t="inlineStr">
        <is>
          <t>Marketplace</t>
        </is>
      </c>
      <c r="I1219" t="n">
        <v>4</v>
      </c>
      <c r="J1219" s="3" t="n">
        <v>226.12</v>
      </c>
      <c r="K1219" s="3" t="n">
        <v>0</v>
      </c>
      <c r="L1219" s="3" t="n">
        <v>226.12</v>
      </c>
      <c r="M1219" s="3" t="n">
        <v>143.24</v>
      </c>
      <c r="N1219" s="3" t="n">
        <v>82.88</v>
      </c>
      <c r="O1219">
        <f>TEXT(A1219,"yyyy-mm")</f>
        <v/>
      </c>
    </row>
    <row r="1220">
      <c r="A1220" s="2" t="n">
        <v>45731</v>
      </c>
      <c r="B1220" t="n">
        <v>2025</v>
      </c>
      <c r="C1220" t="inlineStr">
        <is>
          <t>March</t>
        </is>
      </c>
      <c r="D1220" t="inlineStr">
        <is>
          <t>Deluxe Toothbrush</t>
        </is>
      </c>
      <c r="E1220" t="inlineStr">
        <is>
          <t>Beauty &amp; Health</t>
        </is>
      </c>
      <c r="F1220" t="inlineStr">
        <is>
          <t>Thomas Nowak</t>
        </is>
      </c>
      <c r="G1220" t="inlineStr">
        <is>
          <t>Germany</t>
        </is>
      </c>
      <c r="H1220" t="inlineStr">
        <is>
          <t>Marketplace</t>
        </is>
      </c>
      <c r="I1220" t="n">
        <v>2</v>
      </c>
      <c r="J1220" s="3" t="n">
        <v>636.6799999999999</v>
      </c>
      <c r="K1220" s="3" t="n">
        <v>127.34</v>
      </c>
      <c r="L1220" s="3" t="n">
        <v>509.34</v>
      </c>
      <c r="M1220" s="3" t="n">
        <v>349.14</v>
      </c>
      <c r="N1220" s="3" t="n">
        <v>160.2</v>
      </c>
      <c r="O1220">
        <f>TEXT(A1220,"yyyy-mm")</f>
        <v/>
      </c>
    </row>
    <row r="1221">
      <c r="A1221" s="2" t="n">
        <v>45731</v>
      </c>
      <c r="B1221" t="n">
        <v>2025</v>
      </c>
      <c r="C1221" t="inlineStr">
        <is>
          <t>March</t>
        </is>
      </c>
      <c r="D1221" t="inlineStr">
        <is>
          <t>Classic Bike Helmet</t>
        </is>
      </c>
      <c r="E1221" t="inlineStr">
        <is>
          <t>Sports &amp; Outdoors</t>
        </is>
      </c>
      <c r="F1221" t="inlineStr">
        <is>
          <t>Emily Schmidt</t>
        </is>
      </c>
      <c r="G1221" t="inlineStr">
        <is>
          <t>Netherlands</t>
        </is>
      </c>
      <c r="H1221" t="inlineStr">
        <is>
          <t>Web Store</t>
        </is>
      </c>
      <c r="I1221" t="n">
        <v>2</v>
      </c>
      <c r="J1221" s="3" t="n">
        <v>436.84</v>
      </c>
      <c r="K1221" s="3" t="n">
        <v>87.37</v>
      </c>
      <c r="L1221" s="3" t="n">
        <v>349.47</v>
      </c>
      <c r="M1221" s="3" t="n">
        <v>307.62</v>
      </c>
      <c r="N1221" s="3" t="n">
        <v>41.85</v>
      </c>
      <c r="O1221">
        <f>TEXT(A1221,"yyyy-mm")</f>
        <v/>
      </c>
    </row>
    <row r="1222">
      <c r="A1222" s="2" t="n">
        <v>45731</v>
      </c>
      <c r="B1222" t="n">
        <v>2025</v>
      </c>
      <c r="C1222" t="inlineStr">
        <is>
          <t>March</t>
        </is>
      </c>
      <c r="D1222" t="inlineStr">
        <is>
          <t>Premium Cookbook</t>
        </is>
      </c>
      <c r="E1222" t="inlineStr">
        <is>
          <t>Books</t>
        </is>
      </c>
      <c r="F1222" t="inlineStr">
        <is>
          <t>Thomas Nowak</t>
        </is>
      </c>
      <c r="G1222" t="inlineStr">
        <is>
          <t>Germany</t>
        </is>
      </c>
      <c r="H1222" t="inlineStr">
        <is>
          <t>Marketplace</t>
        </is>
      </c>
      <c r="I1222" t="n">
        <v>2</v>
      </c>
      <c r="J1222" s="3" t="n">
        <v>266.82</v>
      </c>
      <c r="K1222" s="3" t="n">
        <v>26.68</v>
      </c>
      <c r="L1222" s="3" t="n">
        <v>240.14</v>
      </c>
      <c r="M1222" s="3" t="n">
        <v>189.96</v>
      </c>
      <c r="N1222" s="3" t="n">
        <v>50.18</v>
      </c>
      <c r="O1222">
        <f>TEXT(A1222,"yyyy-mm")</f>
        <v/>
      </c>
    </row>
    <row r="1223">
      <c r="A1223" s="2" t="n">
        <v>45731</v>
      </c>
      <c r="B1223" t="n">
        <v>2025</v>
      </c>
      <c r="C1223" t="inlineStr">
        <is>
          <t>March</t>
        </is>
      </c>
      <c r="D1223" t="inlineStr">
        <is>
          <t>Essential Planter</t>
        </is>
      </c>
      <c r="E1223" t="inlineStr">
        <is>
          <t>Home &amp; Garden</t>
        </is>
      </c>
      <c r="F1223" t="inlineStr">
        <is>
          <t>Robert Brown</t>
        </is>
      </c>
      <c r="G1223" t="inlineStr">
        <is>
          <t>United Kingdom</t>
        </is>
      </c>
      <c r="H1223" t="inlineStr">
        <is>
          <t>Mobile App</t>
        </is>
      </c>
      <c r="I1223" t="n">
        <v>4</v>
      </c>
      <c r="J1223" s="3" t="n">
        <v>103.48</v>
      </c>
      <c r="K1223" s="3" t="n">
        <v>5.17</v>
      </c>
      <c r="L1223" s="3" t="n">
        <v>98.31</v>
      </c>
      <c r="M1223" s="3" t="n">
        <v>78.56</v>
      </c>
      <c r="N1223" s="3" t="n">
        <v>19.75</v>
      </c>
      <c r="O1223">
        <f>TEXT(A1223,"yyyy-mm")</f>
        <v/>
      </c>
    </row>
    <row r="1224">
      <c r="A1224" s="2" t="n">
        <v>45731</v>
      </c>
      <c r="B1224" t="n">
        <v>2025</v>
      </c>
      <c r="C1224" t="inlineStr">
        <is>
          <t>March</t>
        </is>
      </c>
      <c r="D1224" t="inlineStr">
        <is>
          <t>Smart Jeans</t>
        </is>
      </c>
      <c r="E1224" t="inlineStr">
        <is>
          <t>Clothing</t>
        </is>
      </c>
      <c r="F1224" t="inlineStr">
        <is>
          <t>Robert Brown</t>
        </is>
      </c>
      <c r="G1224" t="inlineStr">
        <is>
          <t>United Kingdom</t>
        </is>
      </c>
      <c r="H1224" t="inlineStr">
        <is>
          <t>Mobile App</t>
        </is>
      </c>
      <c r="I1224" t="n">
        <v>4</v>
      </c>
      <c r="J1224" s="3" t="n">
        <v>1152.36</v>
      </c>
      <c r="K1224" s="3" t="n">
        <v>172.85</v>
      </c>
      <c r="L1224" s="3" t="n">
        <v>979.51</v>
      </c>
      <c r="M1224" s="3" t="n">
        <v>774.5599999999999</v>
      </c>
      <c r="N1224" s="3" t="n">
        <v>204.95</v>
      </c>
      <c r="O1224">
        <f>TEXT(A1224,"yyyy-mm")</f>
        <v/>
      </c>
    </row>
    <row r="1225">
      <c r="A1225" s="2" t="n">
        <v>45731</v>
      </c>
      <c r="B1225" t="n">
        <v>2025</v>
      </c>
      <c r="C1225" t="inlineStr">
        <is>
          <t>March</t>
        </is>
      </c>
      <c r="D1225" t="inlineStr">
        <is>
          <t>Eco Backpack</t>
        </is>
      </c>
      <c r="E1225" t="inlineStr">
        <is>
          <t>Sports &amp; Outdoors</t>
        </is>
      </c>
      <c r="F1225" t="inlineStr">
        <is>
          <t>Thomas Nowak</t>
        </is>
      </c>
      <c r="G1225" t="inlineStr">
        <is>
          <t>Germany</t>
        </is>
      </c>
      <c r="H1225" t="inlineStr">
        <is>
          <t>Marketplace</t>
        </is>
      </c>
      <c r="I1225" t="n">
        <v>3</v>
      </c>
      <c r="J1225" s="3" t="n">
        <v>772.89</v>
      </c>
      <c r="K1225" s="3" t="n">
        <v>154.58</v>
      </c>
      <c r="L1225" s="3" t="n">
        <v>618.3099999999999</v>
      </c>
      <c r="M1225" s="3" t="n">
        <v>439.74</v>
      </c>
      <c r="N1225" s="3" t="n">
        <v>178.57</v>
      </c>
      <c r="O1225">
        <f>TEXT(A1225,"yyyy-mm")</f>
        <v/>
      </c>
    </row>
    <row r="1226">
      <c r="A1226" s="2" t="n">
        <v>45731</v>
      </c>
      <c r="B1226" t="n">
        <v>2025</v>
      </c>
      <c r="C1226" t="inlineStr">
        <is>
          <t>March</t>
        </is>
      </c>
      <c r="D1226" t="inlineStr">
        <is>
          <t>Wireless Honey</t>
        </is>
      </c>
      <c r="E1226" t="inlineStr">
        <is>
          <t>Grocery</t>
        </is>
      </c>
      <c r="F1226" t="inlineStr">
        <is>
          <t>Robert Brown</t>
        </is>
      </c>
      <c r="G1226" t="inlineStr">
        <is>
          <t>United Kingdom</t>
        </is>
      </c>
      <c r="H1226" t="inlineStr">
        <is>
          <t>Mobile App</t>
        </is>
      </c>
      <c r="I1226" t="n">
        <v>1</v>
      </c>
      <c r="J1226" s="3" t="n">
        <v>134.02</v>
      </c>
      <c r="K1226" s="3" t="n">
        <v>0</v>
      </c>
      <c r="L1226" s="3" t="n">
        <v>134.02</v>
      </c>
      <c r="M1226" s="3" t="n">
        <v>94.06999999999999</v>
      </c>
      <c r="N1226" s="3" t="n">
        <v>39.95</v>
      </c>
      <c r="O1226">
        <f>TEXT(A1226,"yyyy-mm")</f>
        <v/>
      </c>
    </row>
    <row r="1227">
      <c r="A1227" s="2" t="n">
        <v>45732</v>
      </c>
      <c r="B1227" t="n">
        <v>2025</v>
      </c>
      <c r="C1227" t="inlineStr">
        <is>
          <t>March</t>
        </is>
      </c>
      <c r="D1227" t="inlineStr">
        <is>
          <t>Essential Rug</t>
        </is>
      </c>
      <c r="E1227" t="inlineStr">
        <is>
          <t>Home &amp; Garden</t>
        </is>
      </c>
      <c r="F1227" t="inlineStr">
        <is>
          <t>Clara Nowak</t>
        </is>
      </c>
      <c r="G1227" t="inlineStr">
        <is>
          <t>United States</t>
        </is>
      </c>
      <c r="H1227" t="inlineStr">
        <is>
          <t>Mobile App</t>
        </is>
      </c>
      <c r="I1227" t="n">
        <v>3</v>
      </c>
      <c r="J1227" s="3" t="n">
        <v>386.55</v>
      </c>
      <c r="K1227" s="3" t="n">
        <v>0</v>
      </c>
      <c r="L1227" s="3" t="n">
        <v>386.55</v>
      </c>
      <c r="M1227" s="3" t="n">
        <v>228.99</v>
      </c>
      <c r="N1227" s="3" t="n">
        <v>157.56</v>
      </c>
      <c r="O1227">
        <f>TEXT(A1227,"yyyy-mm")</f>
        <v/>
      </c>
    </row>
    <row r="1228">
      <c r="A1228" s="2" t="n">
        <v>45732</v>
      </c>
      <c r="B1228" t="n">
        <v>2025</v>
      </c>
      <c r="C1228" t="inlineStr">
        <is>
          <t>March</t>
        </is>
      </c>
      <c r="D1228" t="inlineStr">
        <is>
          <t>Essential Notebook</t>
        </is>
      </c>
      <c r="E1228" t="inlineStr">
        <is>
          <t>Books</t>
        </is>
      </c>
      <c r="F1228" t="inlineStr">
        <is>
          <t>Clara Nowak</t>
        </is>
      </c>
      <c r="G1228" t="inlineStr">
        <is>
          <t>United States</t>
        </is>
      </c>
      <c r="H1228" t="inlineStr">
        <is>
          <t>Mobile App</t>
        </is>
      </c>
      <c r="I1228" t="n">
        <v>4</v>
      </c>
      <c r="J1228" s="3" t="n">
        <v>475.28</v>
      </c>
      <c r="K1228" s="3" t="n">
        <v>47.53</v>
      </c>
      <c r="L1228" s="3" t="n">
        <v>427.75</v>
      </c>
      <c r="M1228" s="3" t="n">
        <v>316.4</v>
      </c>
      <c r="N1228" s="3" t="n">
        <v>111.35</v>
      </c>
      <c r="O1228">
        <f>TEXT(A1228,"yyyy-mm")</f>
        <v/>
      </c>
    </row>
    <row r="1229">
      <c r="A1229" s="2" t="n">
        <v>45733</v>
      </c>
      <c r="B1229" t="n">
        <v>2025</v>
      </c>
      <c r="C1229" t="inlineStr">
        <is>
          <t>March</t>
        </is>
      </c>
      <c r="D1229" t="inlineStr">
        <is>
          <t>Ultra Rug</t>
        </is>
      </c>
      <c r="E1229" t="inlineStr">
        <is>
          <t>Home &amp; Garden</t>
        </is>
      </c>
      <c r="F1229" t="inlineStr">
        <is>
          <t>Daniel Garcia</t>
        </is>
      </c>
      <c r="G1229" t="inlineStr">
        <is>
          <t>France</t>
        </is>
      </c>
      <c r="H1229" t="inlineStr">
        <is>
          <t>Retail Store</t>
        </is>
      </c>
      <c r="I1229" t="n">
        <v>2</v>
      </c>
      <c r="J1229" s="3" t="n">
        <v>102.58</v>
      </c>
      <c r="K1229" s="3" t="n">
        <v>5.13</v>
      </c>
      <c r="L1229" s="3" t="n">
        <v>97.45</v>
      </c>
      <c r="M1229" s="3" t="n">
        <v>65.81999999999999</v>
      </c>
      <c r="N1229" s="3" t="n">
        <v>31.63</v>
      </c>
      <c r="O1229">
        <f>TEXT(A1229,"yyyy-mm")</f>
        <v/>
      </c>
    </row>
    <row r="1230">
      <c r="A1230" s="2" t="n">
        <v>45733</v>
      </c>
      <c r="B1230" t="n">
        <v>2025</v>
      </c>
      <c r="C1230" t="inlineStr">
        <is>
          <t>March</t>
        </is>
      </c>
      <c r="D1230" t="inlineStr">
        <is>
          <t>Premium Tent</t>
        </is>
      </c>
      <c r="E1230" t="inlineStr">
        <is>
          <t>Sports &amp; Outdoors</t>
        </is>
      </c>
      <c r="F1230" t="inlineStr">
        <is>
          <t>Daniel Garcia</t>
        </is>
      </c>
      <c r="G1230" t="inlineStr">
        <is>
          <t>France</t>
        </is>
      </c>
      <c r="H1230" t="inlineStr">
        <is>
          <t>Retail Store</t>
        </is>
      </c>
      <c r="I1230" t="n">
        <v>2</v>
      </c>
      <c r="J1230" s="3" t="n">
        <v>521.4</v>
      </c>
      <c r="K1230" s="3" t="n">
        <v>0</v>
      </c>
      <c r="L1230" s="3" t="n">
        <v>521.4</v>
      </c>
      <c r="M1230" s="3" t="n">
        <v>330.62</v>
      </c>
      <c r="N1230" s="3" t="n">
        <v>190.78</v>
      </c>
      <c r="O1230">
        <f>TEXT(A1230,"yyyy-mm")</f>
        <v/>
      </c>
    </row>
    <row r="1231">
      <c r="A1231" s="2" t="n">
        <v>45733</v>
      </c>
      <c r="B1231" t="n">
        <v>2025</v>
      </c>
      <c r="C1231" t="inlineStr">
        <is>
          <t>March</t>
        </is>
      </c>
      <c r="D1231" t="inlineStr">
        <is>
          <t>Ultra Toolset</t>
        </is>
      </c>
      <c r="E1231" t="inlineStr">
        <is>
          <t>Home &amp; Garden</t>
        </is>
      </c>
      <c r="F1231" t="inlineStr">
        <is>
          <t>Daniel Garcia</t>
        </is>
      </c>
      <c r="G1231" t="inlineStr">
        <is>
          <t>France</t>
        </is>
      </c>
      <c r="H1231" t="inlineStr">
        <is>
          <t>Retail Store</t>
        </is>
      </c>
      <c r="I1231" t="n">
        <v>2</v>
      </c>
      <c r="J1231" s="3" t="n">
        <v>720.58</v>
      </c>
      <c r="K1231" s="3" t="n">
        <v>144.12</v>
      </c>
      <c r="L1231" s="3" t="n">
        <v>576.46</v>
      </c>
      <c r="M1231" s="3" t="n">
        <v>380.8</v>
      </c>
      <c r="N1231" s="3" t="n">
        <v>195.66</v>
      </c>
      <c r="O1231">
        <f>TEXT(A1231,"yyyy-mm")</f>
        <v/>
      </c>
    </row>
    <row r="1232">
      <c r="A1232" s="2" t="n">
        <v>45733</v>
      </c>
      <c r="B1232" t="n">
        <v>2025</v>
      </c>
      <c r="C1232" t="inlineStr">
        <is>
          <t>March</t>
        </is>
      </c>
      <c r="D1232" t="inlineStr">
        <is>
          <t>Eco Tent</t>
        </is>
      </c>
      <c r="E1232" t="inlineStr">
        <is>
          <t>Sports &amp; Outdoors</t>
        </is>
      </c>
      <c r="F1232" t="inlineStr">
        <is>
          <t>Emily Garcia</t>
        </is>
      </c>
      <c r="G1232" t="inlineStr">
        <is>
          <t>Germany</t>
        </is>
      </c>
      <c r="H1232" t="inlineStr">
        <is>
          <t>Web Store</t>
        </is>
      </c>
      <c r="I1232" t="n">
        <v>1</v>
      </c>
      <c r="J1232" s="3" t="n">
        <v>69.59999999999999</v>
      </c>
      <c r="K1232" s="3" t="n">
        <v>0</v>
      </c>
      <c r="L1232" s="3" t="n">
        <v>69.59999999999999</v>
      </c>
      <c r="M1232" s="3" t="n">
        <v>43.85</v>
      </c>
      <c r="N1232" s="3" t="n">
        <v>25.75</v>
      </c>
      <c r="O1232">
        <f>TEXT(A1232,"yyyy-mm")</f>
        <v/>
      </c>
    </row>
    <row r="1233">
      <c r="A1233" s="2" t="n">
        <v>45733</v>
      </c>
      <c r="B1233" t="n">
        <v>2025</v>
      </c>
      <c r="C1233" t="inlineStr">
        <is>
          <t>March</t>
        </is>
      </c>
      <c r="D1233" t="inlineStr">
        <is>
          <t>Smart Camera</t>
        </is>
      </c>
      <c r="E1233" t="inlineStr">
        <is>
          <t>Electronics</t>
        </is>
      </c>
      <c r="F1233" t="inlineStr">
        <is>
          <t>Emily Garcia</t>
        </is>
      </c>
      <c r="G1233" t="inlineStr">
        <is>
          <t>Germany</t>
        </is>
      </c>
      <c r="H1233" t="inlineStr">
        <is>
          <t>Web Store</t>
        </is>
      </c>
      <c r="I1233" t="n">
        <v>1</v>
      </c>
      <c r="J1233" s="3" t="n">
        <v>301.93</v>
      </c>
      <c r="K1233" s="3" t="n">
        <v>15.1</v>
      </c>
      <c r="L1233" s="3" t="n">
        <v>286.83</v>
      </c>
      <c r="M1233" s="3" t="n">
        <v>167.4</v>
      </c>
      <c r="N1233" s="3" t="n">
        <v>119.43</v>
      </c>
      <c r="O1233">
        <f>TEXT(A1233,"yyyy-mm")</f>
        <v/>
      </c>
    </row>
    <row r="1234">
      <c r="A1234" s="2" t="n">
        <v>45733</v>
      </c>
      <c r="B1234" t="n">
        <v>2025</v>
      </c>
      <c r="C1234" t="inlineStr">
        <is>
          <t>March</t>
        </is>
      </c>
      <c r="D1234" t="inlineStr">
        <is>
          <t>Essential Lamp</t>
        </is>
      </c>
      <c r="E1234" t="inlineStr">
        <is>
          <t>Home &amp; Garden</t>
        </is>
      </c>
      <c r="F1234" t="inlineStr">
        <is>
          <t>Emily Garcia</t>
        </is>
      </c>
      <c r="G1234" t="inlineStr">
        <is>
          <t>Germany</t>
        </is>
      </c>
      <c r="H1234" t="inlineStr">
        <is>
          <t>Web Store</t>
        </is>
      </c>
      <c r="I1234" t="n">
        <v>1</v>
      </c>
      <c r="J1234" s="3" t="n">
        <v>63.45</v>
      </c>
      <c r="K1234" s="3" t="n">
        <v>0</v>
      </c>
      <c r="L1234" s="3" t="n">
        <v>63.45</v>
      </c>
      <c r="M1234" s="3" t="n">
        <v>45.4</v>
      </c>
      <c r="N1234" s="3" t="n">
        <v>18.05</v>
      </c>
      <c r="O1234">
        <f>TEXT(A1234,"yyyy-mm")</f>
        <v/>
      </c>
    </row>
    <row r="1235">
      <c r="A1235" s="2" t="n">
        <v>45734</v>
      </c>
      <c r="B1235" t="n">
        <v>2025</v>
      </c>
      <c r="C1235" t="inlineStr">
        <is>
          <t>March</t>
        </is>
      </c>
      <c r="D1235" t="inlineStr">
        <is>
          <t>Classic Tea Set</t>
        </is>
      </c>
      <c r="E1235" t="inlineStr">
        <is>
          <t>Grocery</t>
        </is>
      </c>
      <c r="F1235" t="inlineStr">
        <is>
          <t>Olivia Moreau</t>
        </is>
      </c>
      <c r="G1235" t="inlineStr">
        <is>
          <t>Poland</t>
        </is>
      </c>
      <c r="H1235" t="inlineStr">
        <is>
          <t>Retail Store</t>
        </is>
      </c>
      <c r="I1235" t="n">
        <v>2</v>
      </c>
      <c r="J1235" s="3" t="n">
        <v>369.72</v>
      </c>
      <c r="K1235" s="3" t="n">
        <v>55.46</v>
      </c>
      <c r="L1235" s="3" t="n">
        <v>314.26</v>
      </c>
      <c r="M1235" s="3" t="n">
        <v>250.8</v>
      </c>
      <c r="N1235" s="3" t="n">
        <v>63.46</v>
      </c>
      <c r="O1235">
        <f>TEXT(A1235,"yyyy-mm")</f>
        <v/>
      </c>
    </row>
    <row r="1236">
      <c r="A1236" s="2" t="n">
        <v>45734</v>
      </c>
      <c r="B1236" t="n">
        <v>2025</v>
      </c>
      <c r="C1236" t="inlineStr">
        <is>
          <t>March</t>
        </is>
      </c>
      <c r="D1236" t="inlineStr">
        <is>
          <t>Compact Sunscreen</t>
        </is>
      </c>
      <c r="E1236" t="inlineStr">
        <is>
          <t>Beauty &amp; Health</t>
        </is>
      </c>
      <c r="F1236" t="inlineStr">
        <is>
          <t>Julia Schmidt</t>
        </is>
      </c>
      <c r="G1236" t="inlineStr">
        <is>
          <t>France</t>
        </is>
      </c>
      <c r="H1236" t="inlineStr">
        <is>
          <t>Retail Store</t>
        </is>
      </c>
      <c r="I1236" t="n">
        <v>5</v>
      </c>
      <c r="J1236" s="3" t="n">
        <v>1541.35</v>
      </c>
      <c r="K1236" s="3" t="n">
        <v>77.06999999999999</v>
      </c>
      <c r="L1236" s="3" t="n">
        <v>1464.28</v>
      </c>
      <c r="M1236" s="3" t="n">
        <v>888.3</v>
      </c>
      <c r="N1236" s="3" t="n">
        <v>575.98</v>
      </c>
      <c r="O1236">
        <f>TEXT(A1236,"yyyy-mm")</f>
        <v/>
      </c>
    </row>
    <row r="1237">
      <c r="A1237" s="2" t="n">
        <v>45734</v>
      </c>
      <c r="B1237" t="n">
        <v>2025</v>
      </c>
      <c r="C1237" t="inlineStr">
        <is>
          <t>March</t>
        </is>
      </c>
      <c r="D1237" t="inlineStr">
        <is>
          <t>Smart Camera</t>
        </is>
      </c>
      <c r="E1237" t="inlineStr">
        <is>
          <t>Electronics</t>
        </is>
      </c>
      <c r="F1237" t="inlineStr">
        <is>
          <t>Julia Schmidt</t>
        </is>
      </c>
      <c r="G1237" t="inlineStr">
        <is>
          <t>France</t>
        </is>
      </c>
      <c r="H1237" t="inlineStr">
        <is>
          <t>Retail Store</t>
        </is>
      </c>
      <c r="I1237" t="n">
        <v>1</v>
      </c>
      <c r="J1237" s="3" t="n">
        <v>124.11</v>
      </c>
      <c r="K1237" s="3" t="n">
        <v>12.41</v>
      </c>
      <c r="L1237" s="3" t="n">
        <v>111.7</v>
      </c>
      <c r="M1237" s="3" t="n">
        <v>85.58</v>
      </c>
      <c r="N1237" s="3" t="n">
        <v>26.12</v>
      </c>
      <c r="O1237">
        <f>TEXT(A1237,"yyyy-mm")</f>
        <v/>
      </c>
    </row>
    <row r="1238">
      <c r="A1238" s="2" t="n">
        <v>45735</v>
      </c>
      <c r="B1238" t="n">
        <v>2025</v>
      </c>
      <c r="C1238" t="inlineStr">
        <is>
          <t>March</t>
        </is>
      </c>
      <c r="D1238" t="inlineStr">
        <is>
          <t>Eco Tent</t>
        </is>
      </c>
      <c r="E1238" t="inlineStr">
        <is>
          <t>Sports &amp; Outdoors</t>
        </is>
      </c>
      <c r="F1238" t="inlineStr">
        <is>
          <t>Sophie Wilson</t>
        </is>
      </c>
      <c r="G1238" t="inlineStr">
        <is>
          <t>Netherlands</t>
        </is>
      </c>
      <c r="H1238" t="inlineStr">
        <is>
          <t>Web Store</t>
        </is>
      </c>
      <c r="I1238" t="n">
        <v>5</v>
      </c>
      <c r="J1238" s="3" t="n">
        <v>341.15</v>
      </c>
      <c r="K1238" s="3" t="n">
        <v>68.23</v>
      </c>
      <c r="L1238" s="3" t="n">
        <v>272.92</v>
      </c>
      <c r="M1238" s="3" t="n">
        <v>219.25</v>
      </c>
      <c r="N1238" s="3" t="n">
        <v>53.67</v>
      </c>
      <c r="O1238">
        <f>TEXT(A1238,"yyyy-mm")</f>
        <v/>
      </c>
    </row>
    <row r="1239">
      <c r="A1239" s="2" t="n">
        <v>45735</v>
      </c>
      <c r="B1239" t="n">
        <v>2025</v>
      </c>
      <c r="C1239" t="inlineStr">
        <is>
          <t>March</t>
        </is>
      </c>
      <c r="D1239" t="inlineStr">
        <is>
          <t>Smart Puzzle</t>
        </is>
      </c>
      <c r="E1239" t="inlineStr">
        <is>
          <t>Toys &amp; Games</t>
        </is>
      </c>
      <c r="F1239" t="inlineStr">
        <is>
          <t>Sophie Wilson</t>
        </is>
      </c>
      <c r="G1239" t="inlineStr">
        <is>
          <t>Netherlands</t>
        </is>
      </c>
      <c r="H1239" t="inlineStr">
        <is>
          <t>Web Store</t>
        </is>
      </c>
      <c r="I1239" t="n">
        <v>4</v>
      </c>
      <c r="J1239" s="3" t="n">
        <v>176.24</v>
      </c>
      <c r="K1239" s="3" t="n">
        <v>0</v>
      </c>
      <c r="L1239" s="3" t="n">
        <v>176.24</v>
      </c>
      <c r="M1239" s="3" t="n">
        <v>97.76000000000001</v>
      </c>
      <c r="N1239" s="3" t="n">
        <v>78.48</v>
      </c>
      <c r="O1239">
        <f>TEXT(A1239,"yyyy-mm")</f>
        <v/>
      </c>
    </row>
    <row r="1240">
      <c r="A1240" s="2" t="n">
        <v>45735</v>
      </c>
      <c r="B1240" t="n">
        <v>2025</v>
      </c>
      <c r="C1240" t="inlineStr">
        <is>
          <t>March</t>
        </is>
      </c>
      <c r="D1240" t="inlineStr">
        <is>
          <t>Portable Puzzle</t>
        </is>
      </c>
      <c r="E1240" t="inlineStr">
        <is>
          <t>Toys &amp; Games</t>
        </is>
      </c>
      <c r="F1240" t="inlineStr">
        <is>
          <t>Sophie Wilson</t>
        </is>
      </c>
      <c r="G1240" t="inlineStr">
        <is>
          <t>Netherlands</t>
        </is>
      </c>
      <c r="H1240" t="inlineStr">
        <is>
          <t>Web Store</t>
        </is>
      </c>
      <c r="I1240" t="n">
        <v>4</v>
      </c>
      <c r="J1240" s="3" t="n">
        <v>462</v>
      </c>
      <c r="K1240" s="3" t="n">
        <v>23.1</v>
      </c>
      <c r="L1240" s="3" t="n">
        <v>438.9</v>
      </c>
      <c r="M1240" s="3" t="n">
        <v>235.2</v>
      </c>
      <c r="N1240" s="3" t="n">
        <v>203.7</v>
      </c>
      <c r="O1240">
        <f>TEXT(A1240,"yyyy-mm")</f>
        <v/>
      </c>
    </row>
    <row r="1241">
      <c r="A1241" s="2" t="n">
        <v>45736</v>
      </c>
      <c r="B1241" t="n">
        <v>2025</v>
      </c>
      <c r="C1241" t="inlineStr">
        <is>
          <t>March</t>
        </is>
      </c>
      <c r="D1241" t="inlineStr">
        <is>
          <t>Compact Sunscreen</t>
        </is>
      </c>
      <c r="E1241" t="inlineStr">
        <is>
          <t>Beauty &amp; Health</t>
        </is>
      </c>
      <c r="F1241" t="inlineStr">
        <is>
          <t>Anna Moreau</t>
        </is>
      </c>
      <c r="G1241" t="inlineStr">
        <is>
          <t>Germany</t>
        </is>
      </c>
      <c r="H1241" t="inlineStr">
        <is>
          <t>Web Store</t>
        </is>
      </c>
      <c r="I1241" t="n">
        <v>4</v>
      </c>
      <c r="J1241" s="3" t="n">
        <v>1208.76</v>
      </c>
      <c r="K1241" s="3" t="n">
        <v>0</v>
      </c>
      <c r="L1241" s="3" t="n">
        <v>1208.76</v>
      </c>
      <c r="M1241" s="3" t="n">
        <v>710.64</v>
      </c>
      <c r="N1241" s="3" t="n">
        <v>498.12</v>
      </c>
      <c r="O1241">
        <f>TEXT(A1241,"yyyy-mm")</f>
        <v/>
      </c>
    </row>
    <row r="1242">
      <c r="A1242" s="2" t="n">
        <v>45736</v>
      </c>
      <c r="B1242" t="n">
        <v>2025</v>
      </c>
      <c r="C1242" t="inlineStr">
        <is>
          <t>March</t>
        </is>
      </c>
      <c r="D1242" t="inlineStr">
        <is>
          <t>Smart Cookbook</t>
        </is>
      </c>
      <c r="E1242" t="inlineStr">
        <is>
          <t>Books</t>
        </is>
      </c>
      <c r="F1242" t="inlineStr">
        <is>
          <t>Robert Brown</t>
        </is>
      </c>
      <c r="G1242" t="inlineStr">
        <is>
          <t>United Kingdom</t>
        </is>
      </c>
      <c r="H1242" t="inlineStr">
        <is>
          <t>Web Store</t>
        </is>
      </c>
      <c r="I1242" t="n">
        <v>2</v>
      </c>
      <c r="J1242" s="3" t="n">
        <v>35.9</v>
      </c>
      <c r="K1242" s="3" t="n">
        <v>7.18</v>
      </c>
      <c r="L1242" s="3" t="n">
        <v>28.72</v>
      </c>
      <c r="M1242" s="3" t="n">
        <v>19.76</v>
      </c>
      <c r="N1242" s="3" t="n">
        <v>8.960000000000001</v>
      </c>
      <c r="O1242">
        <f>TEXT(A1242,"yyyy-mm")</f>
        <v/>
      </c>
    </row>
    <row r="1243">
      <c r="A1243" s="2" t="n">
        <v>45736</v>
      </c>
      <c r="B1243" t="n">
        <v>2025</v>
      </c>
      <c r="C1243" t="inlineStr">
        <is>
          <t>March</t>
        </is>
      </c>
      <c r="D1243" t="inlineStr">
        <is>
          <t>Essential Cushion</t>
        </is>
      </c>
      <c r="E1243" t="inlineStr">
        <is>
          <t>Home &amp; Garden</t>
        </is>
      </c>
      <c r="F1243" t="inlineStr">
        <is>
          <t>Anna Moreau</t>
        </is>
      </c>
      <c r="G1243" t="inlineStr">
        <is>
          <t>Germany</t>
        </is>
      </c>
      <c r="H1243" t="inlineStr">
        <is>
          <t>Web Store</t>
        </is>
      </c>
      <c r="I1243" t="n">
        <v>2</v>
      </c>
      <c r="J1243" s="3" t="n">
        <v>85.48</v>
      </c>
      <c r="K1243" s="3" t="n">
        <v>0</v>
      </c>
      <c r="L1243" s="3" t="n">
        <v>85.48</v>
      </c>
      <c r="M1243" s="3" t="n">
        <v>61.1</v>
      </c>
      <c r="N1243" s="3" t="n">
        <v>24.38</v>
      </c>
      <c r="O1243">
        <f>TEXT(A1243,"yyyy-mm")</f>
        <v/>
      </c>
    </row>
    <row r="1244">
      <c r="A1244" s="2" t="n">
        <v>45736</v>
      </c>
      <c r="B1244" t="n">
        <v>2025</v>
      </c>
      <c r="C1244" t="inlineStr">
        <is>
          <t>March</t>
        </is>
      </c>
      <c r="D1244" t="inlineStr">
        <is>
          <t>Wireless Coffee Beans</t>
        </is>
      </c>
      <c r="E1244" t="inlineStr">
        <is>
          <t>Grocery</t>
        </is>
      </c>
      <c r="F1244" t="inlineStr">
        <is>
          <t>Anna Moreau</t>
        </is>
      </c>
      <c r="G1244" t="inlineStr">
        <is>
          <t>Germany</t>
        </is>
      </c>
      <c r="H1244" t="inlineStr">
        <is>
          <t>Web Store</t>
        </is>
      </c>
      <c r="I1244" t="n">
        <v>2</v>
      </c>
      <c r="J1244" s="3" t="n">
        <v>249.2</v>
      </c>
      <c r="K1244" s="3" t="n">
        <v>0</v>
      </c>
      <c r="L1244" s="3" t="n">
        <v>249.2</v>
      </c>
      <c r="M1244" s="3" t="n">
        <v>158.74</v>
      </c>
      <c r="N1244" s="3" t="n">
        <v>90.45999999999999</v>
      </c>
      <c r="O1244">
        <f>TEXT(A1244,"yyyy-mm")</f>
        <v/>
      </c>
    </row>
    <row r="1245">
      <c r="A1245" s="2" t="n">
        <v>45736</v>
      </c>
      <c r="B1245" t="n">
        <v>2025</v>
      </c>
      <c r="C1245" t="inlineStr">
        <is>
          <t>March</t>
        </is>
      </c>
      <c r="D1245" t="inlineStr">
        <is>
          <t>Deluxe Cookbook</t>
        </is>
      </c>
      <c r="E1245" t="inlineStr">
        <is>
          <t>Books</t>
        </is>
      </c>
      <c r="F1245" t="inlineStr">
        <is>
          <t>Anna Moreau</t>
        </is>
      </c>
      <c r="G1245" t="inlineStr">
        <is>
          <t>Germany</t>
        </is>
      </c>
      <c r="H1245" t="inlineStr">
        <is>
          <t>Web Store</t>
        </is>
      </c>
      <c r="I1245" t="n">
        <v>4</v>
      </c>
      <c r="J1245" s="3" t="n">
        <v>560.4400000000001</v>
      </c>
      <c r="K1245" s="3" t="n">
        <v>0</v>
      </c>
      <c r="L1245" s="3" t="n">
        <v>560.4400000000001</v>
      </c>
      <c r="M1245" s="3" t="n">
        <v>341.08</v>
      </c>
      <c r="N1245" s="3" t="n">
        <v>219.36</v>
      </c>
      <c r="O1245">
        <f>TEXT(A1245,"yyyy-mm")</f>
        <v/>
      </c>
    </row>
    <row r="1246">
      <c r="A1246" s="2" t="n">
        <v>45737</v>
      </c>
      <c r="B1246" t="n">
        <v>2025</v>
      </c>
      <c r="C1246" t="inlineStr">
        <is>
          <t>March</t>
        </is>
      </c>
      <c r="D1246" t="inlineStr">
        <is>
          <t>Ultra Toolset</t>
        </is>
      </c>
      <c r="E1246" t="inlineStr">
        <is>
          <t>Home &amp; Garden</t>
        </is>
      </c>
      <c r="F1246" t="inlineStr">
        <is>
          <t>Daniel Rossi</t>
        </is>
      </c>
      <c r="G1246" t="inlineStr">
        <is>
          <t>Poland</t>
        </is>
      </c>
      <c r="H1246" t="inlineStr">
        <is>
          <t>Retail Store</t>
        </is>
      </c>
      <c r="I1246" t="n">
        <v>4</v>
      </c>
      <c r="J1246" s="3" t="n">
        <v>1375.6</v>
      </c>
      <c r="K1246" s="3" t="n">
        <v>0</v>
      </c>
      <c r="L1246" s="3" t="n">
        <v>1375.6</v>
      </c>
      <c r="M1246" s="3" t="n">
        <v>761.6</v>
      </c>
      <c r="N1246" s="3" t="n">
        <v>614</v>
      </c>
      <c r="O1246">
        <f>TEXT(A1246,"yyyy-mm")</f>
        <v/>
      </c>
    </row>
    <row r="1247">
      <c r="A1247" s="2" t="n">
        <v>45737</v>
      </c>
      <c r="B1247" t="n">
        <v>2025</v>
      </c>
      <c r="C1247" t="inlineStr">
        <is>
          <t>March</t>
        </is>
      </c>
      <c r="D1247" t="inlineStr">
        <is>
          <t>Compact Biography</t>
        </is>
      </c>
      <c r="E1247" t="inlineStr">
        <is>
          <t>Books</t>
        </is>
      </c>
      <c r="F1247" t="inlineStr">
        <is>
          <t>Daniel Rossi</t>
        </is>
      </c>
      <c r="G1247" t="inlineStr">
        <is>
          <t>Poland</t>
        </is>
      </c>
      <c r="H1247" t="inlineStr">
        <is>
          <t>Retail Store</t>
        </is>
      </c>
      <c r="I1247" t="n">
        <v>2</v>
      </c>
      <c r="J1247" s="3" t="n">
        <v>517.4</v>
      </c>
      <c r="K1247" s="3" t="n">
        <v>0</v>
      </c>
      <c r="L1247" s="3" t="n">
        <v>517.4</v>
      </c>
      <c r="M1247" s="3" t="n">
        <v>280.66</v>
      </c>
      <c r="N1247" s="3" t="n">
        <v>236.74</v>
      </c>
      <c r="O1247">
        <f>TEXT(A1247,"yyyy-mm")</f>
        <v/>
      </c>
    </row>
    <row r="1248">
      <c r="A1248" s="2" t="n">
        <v>45737</v>
      </c>
      <c r="B1248" t="n">
        <v>2025</v>
      </c>
      <c r="C1248" t="inlineStr">
        <is>
          <t>March</t>
        </is>
      </c>
      <c r="D1248" t="inlineStr">
        <is>
          <t>Classic Tent</t>
        </is>
      </c>
      <c r="E1248" t="inlineStr">
        <is>
          <t>Sports &amp; Outdoors</t>
        </is>
      </c>
      <c r="F1248" t="inlineStr">
        <is>
          <t>Daniel Rossi</t>
        </is>
      </c>
      <c r="G1248" t="inlineStr">
        <is>
          <t>Poland</t>
        </is>
      </c>
      <c r="H1248" t="inlineStr">
        <is>
          <t>Retail Store</t>
        </is>
      </c>
      <c r="I1248" t="n">
        <v>3</v>
      </c>
      <c r="J1248" s="3" t="n">
        <v>604.02</v>
      </c>
      <c r="K1248" s="3" t="n">
        <v>120.8</v>
      </c>
      <c r="L1248" s="3" t="n">
        <v>483.22</v>
      </c>
      <c r="M1248" s="3" t="n">
        <v>354.06</v>
      </c>
      <c r="N1248" s="3" t="n">
        <v>129.16</v>
      </c>
      <c r="O1248">
        <f>TEXT(A1248,"yyyy-mm")</f>
        <v/>
      </c>
    </row>
    <row r="1249">
      <c r="A1249" s="2" t="n">
        <v>45737</v>
      </c>
      <c r="B1249" t="n">
        <v>2025</v>
      </c>
      <c r="C1249" t="inlineStr">
        <is>
          <t>March</t>
        </is>
      </c>
      <c r="D1249" t="inlineStr">
        <is>
          <t>Eco Tent</t>
        </is>
      </c>
      <c r="E1249" t="inlineStr">
        <is>
          <t>Sports &amp; Outdoors</t>
        </is>
      </c>
      <c r="F1249" t="inlineStr">
        <is>
          <t>Daniel Rossi</t>
        </is>
      </c>
      <c r="G1249" t="inlineStr">
        <is>
          <t>Poland</t>
        </is>
      </c>
      <c r="H1249" t="inlineStr">
        <is>
          <t>Retail Store</t>
        </is>
      </c>
      <c r="I1249" t="n">
        <v>4</v>
      </c>
      <c r="J1249" s="3" t="n">
        <v>273.16</v>
      </c>
      <c r="K1249" s="3" t="n">
        <v>0</v>
      </c>
      <c r="L1249" s="3" t="n">
        <v>273.16</v>
      </c>
      <c r="M1249" s="3" t="n">
        <v>175.4</v>
      </c>
      <c r="N1249" s="3" t="n">
        <v>97.76000000000001</v>
      </c>
      <c r="O1249">
        <f>TEXT(A1249,"yyyy-mm")</f>
        <v/>
      </c>
    </row>
    <row r="1250">
      <c r="A1250" s="2" t="n">
        <v>45737</v>
      </c>
      <c r="B1250" t="n">
        <v>2025</v>
      </c>
      <c r="C1250" t="inlineStr">
        <is>
          <t>March</t>
        </is>
      </c>
      <c r="D1250" t="inlineStr">
        <is>
          <t>Smart Olive Oil</t>
        </is>
      </c>
      <c r="E1250" t="inlineStr">
        <is>
          <t>Grocery</t>
        </is>
      </c>
      <c r="F1250" t="inlineStr">
        <is>
          <t>Nina Schmidt</t>
        </is>
      </c>
      <c r="G1250" t="inlineStr">
        <is>
          <t>Italy</t>
        </is>
      </c>
      <c r="H1250" t="inlineStr">
        <is>
          <t>Web Store</t>
        </is>
      </c>
      <c r="I1250" t="n">
        <v>4</v>
      </c>
      <c r="J1250" s="3" t="n">
        <v>642.6</v>
      </c>
      <c r="K1250" s="3" t="n">
        <v>0</v>
      </c>
      <c r="L1250" s="3" t="n">
        <v>642.6</v>
      </c>
      <c r="M1250" s="3" t="n">
        <v>440.08</v>
      </c>
      <c r="N1250" s="3" t="n">
        <v>202.52</v>
      </c>
      <c r="O1250">
        <f>TEXT(A1250,"yyyy-mm")</f>
        <v/>
      </c>
    </row>
    <row r="1251">
      <c r="A1251" s="2" t="n">
        <v>45737</v>
      </c>
      <c r="B1251" t="n">
        <v>2025</v>
      </c>
      <c r="C1251" t="inlineStr">
        <is>
          <t>March</t>
        </is>
      </c>
      <c r="D1251" t="inlineStr">
        <is>
          <t>Essential Rug</t>
        </is>
      </c>
      <c r="E1251" t="inlineStr">
        <is>
          <t>Home &amp; Garden</t>
        </is>
      </c>
      <c r="F1251" t="inlineStr">
        <is>
          <t>Sophie Bianchi</t>
        </is>
      </c>
      <c r="G1251" t="inlineStr">
        <is>
          <t>United States</t>
        </is>
      </c>
      <c r="H1251" t="inlineStr">
        <is>
          <t>Retail Store</t>
        </is>
      </c>
      <c r="I1251" t="n">
        <v>3</v>
      </c>
      <c r="J1251" s="3" t="n">
        <v>417.3</v>
      </c>
      <c r="K1251" s="3" t="n">
        <v>62.59</v>
      </c>
      <c r="L1251" s="3" t="n">
        <v>354.7</v>
      </c>
      <c r="M1251" s="3" t="n">
        <v>228.99</v>
      </c>
      <c r="N1251" s="3" t="n">
        <v>125.71</v>
      </c>
      <c r="O1251">
        <f>TEXT(A1251,"yyyy-mm")</f>
        <v/>
      </c>
    </row>
    <row r="1252">
      <c r="A1252" s="2" t="n">
        <v>45737</v>
      </c>
      <c r="B1252" t="n">
        <v>2025</v>
      </c>
      <c r="C1252" t="inlineStr">
        <is>
          <t>March</t>
        </is>
      </c>
      <c r="D1252" t="inlineStr">
        <is>
          <t>Essential Planter</t>
        </is>
      </c>
      <c r="E1252" t="inlineStr">
        <is>
          <t>Home &amp; Garden</t>
        </is>
      </c>
      <c r="F1252" t="inlineStr">
        <is>
          <t>Sophie Bianchi</t>
        </is>
      </c>
      <c r="G1252" t="inlineStr">
        <is>
          <t>United States</t>
        </is>
      </c>
      <c r="H1252" t="inlineStr">
        <is>
          <t>Retail Store</t>
        </is>
      </c>
      <c r="I1252" t="n">
        <v>5</v>
      </c>
      <c r="J1252" s="3" t="n">
        <v>126.25</v>
      </c>
      <c r="K1252" s="3" t="n">
        <v>25.25</v>
      </c>
      <c r="L1252" s="3" t="n">
        <v>101</v>
      </c>
      <c r="M1252" s="3" t="n">
        <v>98.2</v>
      </c>
      <c r="N1252" s="3" t="n">
        <v>2.8</v>
      </c>
      <c r="O1252">
        <f>TEXT(A1252,"yyyy-mm")</f>
        <v/>
      </c>
    </row>
    <row r="1253">
      <c r="A1253" s="2" t="n">
        <v>45737</v>
      </c>
      <c r="B1253" t="n">
        <v>2025</v>
      </c>
      <c r="C1253" t="inlineStr">
        <is>
          <t>March</t>
        </is>
      </c>
      <c r="D1253" t="inlineStr">
        <is>
          <t>Premium Water Bottle</t>
        </is>
      </c>
      <c r="E1253" t="inlineStr">
        <is>
          <t>Sports &amp; Outdoors</t>
        </is>
      </c>
      <c r="F1253" t="inlineStr">
        <is>
          <t>Sophie Bianchi</t>
        </is>
      </c>
      <c r="G1253" t="inlineStr">
        <is>
          <t>United States</t>
        </is>
      </c>
      <c r="H1253" t="inlineStr">
        <is>
          <t>Retail Store</t>
        </is>
      </c>
      <c r="I1253" t="n">
        <v>2</v>
      </c>
      <c r="J1253" s="3" t="n">
        <v>60.6</v>
      </c>
      <c r="K1253" s="3" t="n">
        <v>6.06</v>
      </c>
      <c r="L1253" s="3" t="n">
        <v>54.54</v>
      </c>
      <c r="M1253" s="3" t="n">
        <v>33.26</v>
      </c>
      <c r="N1253" s="3" t="n">
        <v>21.28</v>
      </c>
      <c r="O1253">
        <f>TEXT(A1253,"yyyy-mm")</f>
        <v/>
      </c>
    </row>
    <row r="1254">
      <c r="A1254" s="2" t="n">
        <v>45737</v>
      </c>
      <c r="B1254" t="n">
        <v>2025</v>
      </c>
      <c r="C1254" t="inlineStr">
        <is>
          <t>March</t>
        </is>
      </c>
      <c r="D1254" t="inlineStr">
        <is>
          <t>Classic Coffee Beans</t>
        </is>
      </c>
      <c r="E1254" t="inlineStr">
        <is>
          <t>Grocery</t>
        </is>
      </c>
      <c r="F1254" t="inlineStr">
        <is>
          <t>Michael Smith</t>
        </is>
      </c>
      <c r="G1254" t="inlineStr">
        <is>
          <t>Spain</t>
        </is>
      </c>
      <c r="H1254" t="inlineStr">
        <is>
          <t>Web Store</t>
        </is>
      </c>
      <c r="I1254" t="n">
        <v>3</v>
      </c>
      <c r="J1254" s="3" t="n">
        <v>969.21</v>
      </c>
      <c r="K1254" s="3" t="n">
        <v>145.38</v>
      </c>
      <c r="L1254" s="3" t="n">
        <v>823.83</v>
      </c>
      <c r="M1254" s="3" t="n">
        <v>584.28</v>
      </c>
      <c r="N1254" s="3" t="n">
        <v>239.55</v>
      </c>
      <c r="O1254">
        <f>TEXT(A1254,"yyyy-mm")</f>
        <v/>
      </c>
    </row>
    <row r="1255">
      <c r="A1255" s="2" t="n">
        <v>45737</v>
      </c>
      <c r="B1255" t="n">
        <v>2025</v>
      </c>
      <c r="C1255" t="inlineStr">
        <is>
          <t>March</t>
        </is>
      </c>
      <c r="D1255" t="inlineStr">
        <is>
          <t>Premium Tent</t>
        </is>
      </c>
      <c r="E1255" t="inlineStr">
        <is>
          <t>Sports &amp; Outdoors</t>
        </is>
      </c>
      <c r="F1255" t="inlineStr">
        <is>
          <t>Sophie Bianchi</t>
        </is>
      </c>
      <c r="G1255" t="inlineStr">
        <is>
          <t>United States</t>
        </is>
      </c>
      <c r="H1255" t="inlineStr">
        <is>
          <t>Retail Store</t>
        </is>
      </c>
      <c r="I1255" t="n">
        <v>4</v>
      </c>
      <c r="J1255" s="3" t="n">
        <v>1080.48</v>
      </c>
      <c r="K1255" s="3" t="n">
        <v>0</v>
      </c>
      <c r="L1255" s="3" t="n">
        <v>1080.48</v>
      </c>
      <c r="M1255" s="3" t="n">
        <v>556.16</v>
      </c>
      <c r="N1255" s="3" t="n">
        <v>524.3200000000001</v>
      </c>
      <c r="O1255">
        <f>TEXT(A1255,"yyyy-mm")</f>
        <v/>
      </c>
    </row>
    <row r="1256">
      <c r="A1256" s="2" t="n">
        <v>45737</v>
      </c>
      <c r="B1256" t="n">
        <v>2025</v>
      </c>
      <c r="C1256" t="inlineStr">
        <is>
          <t>March</t>
        </is>
      </c>
      <c r="D1256" t="inlineStr">
        <is>
          <t>Classic Bike Helmet</t>
        </is>
      </c>
      <c r="E1256" t="inlineStr">
        <is>
          <t>Sports &amp; Outdoors</t>
        </is>
      </c>
      <c r="F1256" t="inlineStr">
        <is>
          <t>Michael Smith</t>
        </is>
      </c>
      <c r="G1256" t="inlineStr">
        <is>
          <t>Spain</t>
        </is>
      </c>
      <c r="H1256" t="inlineStr">
        <is>
          <t>Web Store</t>
        </is>
      </c>
      <c r="I1256" t="n">
        <v>4</v>
      </c>
      <c r="J1256" s="3" t="n">
        <v>840.76</v>
      </c>
      <c r="K1256" s="3" t="n">
        <v>0</v>
      </c>
      <c r="L1256" s="3" t="n">
        <v>840.76</v>
      </c>
      <c r="M1256" s="3" t="n">
        <v>615.24</v>
      </c>
      <c r="N1256" s="3" t="n">
        <v>225.52</v>
      </c>
      <c r="O1256">
        <f>TEXT(A1256,"yyyy-mm")</f>
        <v/>
      </c>
    </row>
    <row r="1257">
      <c r="A1257" s="2" t="n">
        <v>45738</v>
      </c>
      <c r="B1257" t="n">
        <v>2025</v>
      </c>
      <c r="C1257" t="inlineStr">
        <is>
          <t>March</t>
        </is>
      </c>
      <c r="D1257" t="inlineStr">
        <is>
          <t>Premium Rug</t>
        </is>
      </c>
      <c r="E1257" t="inlineStr">
        <is>
          <t>Home &amp; Garden</t>
        </is>
      </c>
      <c r="F1257" t="inlineStr">
        <is>
          <t>Julia Wilson</t>
        </is>
      </c>
      <c r="G1257" t="inlineStr">
        <is>
          <t>United Kingdom</t>
        </is>
      </c>
      <c r="H1257" t="inlineStr">
        <is>
          <t>Marketplace</t>
        </is>
      </c>
      <c r="I1257" t="n">
        <v>1</v>
      </c>
      <c r="J1257" s="3" t="n">
        <v>195.38</v>
      </c>
      <c r="K1257" s="3" t="n">
        <v>9.77</v>
      </c>
      <c r="L1257" s="3" t="n">
        <v>185.61</v>
      </c>
      <c r="M1257" s="3" t="n">
        <v>111.19</v>
      </c>
      <c r="N1257" s="3" t="n">
        <v>74.42</v>
      </c>
      <c r="O1257">
        <f>TEXT(A1257,"yyyy-mm")</f>
        <v/>
      </c>
    </row>
    <row r="1258">
      <c r="A1258" s="2" t="n">
        <v>45738</v>
      </c>
      <c r="B1258" t="n">
        <v>2025</v>
      </c>
      <c r="C1258" t="inlineStr">
        <is>
          <t>March</t>
        </is>
      </c>
      <c r="D1258" t="inlineStr">
        <is>
          <t>Smart Sweater</t>
        </is>
      </c>
      <c r="E1258" t="inlineStr">
        <is>
          <t>Clothing</t>
        </is>
      </c>
      <c r="F1258" t="inlineStr">
        <is>
          <t>Julia Wilson</t>
        </is>
      </c>
      <c r="G1258" t="inlineStr">
        <is>
          <t>United Kingdom</t>
        </is>
      </c>
      <c r="H1258" t="inlineStr">
        <is>
          <t>Marketplace</t>
        </is>
      </c>
      <c r="I1258" t="n">
        <v>2</v>
      </c>
      <c r="J1258" s="3" t="n">
        <v>289.34</v>
      </c>
      <c r="K1258" s="3" t="n">
        <v>43.4</v>
      </c>
      <c r="L1258" s="3" t="n">
        <v>245.94</v>
      </c>
      <c r="M1258" s="3" t="n">
        <v>154.7</v>
      </c>
      <c r="N1258" s="3" t="n">
        <v>91.23999999999999</v>
      </c>
      <c r="O1258">
        <f>TEXT(A1258,"yyyy-mm")</f>
        <v/>
      </c>
    </row>
    <row r="1259">
      <c r="A1259" s="2" t="n">
        <v>45738</v>
      </c>
      <c r="B1259" t="n">
        <v>2025</v>
      </c>
      <c r="C1259" t="inlineStr">
        <is>
          <t>March</t>
        </is>
      </c>
      <c r="D1259" t="inlineStr">
        <is>
          <t>Ultra Rug</t>
        </is>
      </c>
      <c r="E1259" t="inlineStr">
        <is>
          <t>Home &amp; Garden</t>
        </is>
      </c>
      <c r="F1259" t="inlineStr">
        <is>
          <t>Julia Wilson</t>
        </is>
      </c>
      <c r="G1259" t="inlineStr">
        <is>
          <t>United Kingdom</t>
        </is>
      </c>
      <c r="H1259" t="inlineStr">
        <is>
          <t>Marketplace</t>
        </is>
      </c>
      <c r="I1259" t="n">
        <v>4</v>
      </c>
      <c r="J1259" s="3" t="n">
        <v>213.8</v>
      </c>
      <c r="K1259" s="3" t="n">
        <v>42.76</v>
      </c>
      <c r="L1259" s="3" t="n">
        <v>171.04</v>
      </c>
      <c r="M1259" s="3" t="n">
        <v>131.64</v>
      </c>
      <c r="N1259" s="3" t="n">
        <v>39.4</v>
      </c>
      <c r="O1259">
        <f>TEXT(A1259,"yyyy-mm")</f>
        <v/>
      </c>
    </row>
    <row r="1260">
      <c r="A1260" s="2" t="n">
        <v>45738</v>
      </c>
      <c r="B1260" t="n">
        <v>2025</v>
      </c>
      <c r="C1260" t="inlineStr">
        <is>
          <t>March</t>
        </is>
      </c>
      <c r="D1260" t="inlineStr">
        <is>
          <t>Smart Camera</t>
        </is>
      </c>
      <c r="E1260" t="inlineStr">
        <is>
          <t>Electronics</t>
        </is>
      </c>
      <c r="F1260" t="inlineStr">
        <is>
          <t>Julia Wilson</t>
        </is>
      </c>
      <c r="G1260" t="inlineStr">
        <is>
          <t>United Kingdom</t>
        </is>
      </c>
      <c r="H1260" t="inlineStr">
        <is>
          <t>Marketplace</t>
        </is>
      </c>
      <c r="I1260" t="n">
        <v>4</v>
      </c>
      <c r="J1260" s="3" t="n">
        <v>1225.44</v>
      </c>
      <c r="K1260" s="3" t="n">
        <v>245.09</v>
      </c>
      <c r="L1260" s="3" t="n">
        <v>980.35</v>
      </c>
      <c r="M1260" s="3" t="n">
        <v>669.6</v>
      </c>
      <c r="N1260" s="3" t="n">
        <v>310.75</v>
      </c>
      <c r="O1260">
        <f>TEXT(A1260,"yyyy-mm")</f>
        <v/>
      </c>
    </row>
    <row r="1261">
      <c r="A1261" s="2" t="n">
        <v>45739</v>
      </c>
      <c r="B1261" t="n">
        <v>2025</v>
      </c>
      <c r="C1261" t="inlineStr">
        <is>
          <t>March</t>
        </is>
      </c>
      <c r="D1261" t="inlineStr">
        <is>
          <t>Smart Olive Oil</t>
        </is>
      </c>
      <c r="E1261" t="inlineStr">
        <is>
          <t>Grocery</t>
        </is>
      </c>
      <c r="F1261" t="inlineStr">
        <is>
          <t>Maria Dubois</t>
        </is>
      </c>
      <c r="G1261" t="inlineStr">
        <is>
          <t>Spain</t>
        </is>
      </c>
      <c r="H1261" t="inlineStr">
        <is>
          <t>Web Store</t>
        </is>
      </c>
      <c r="I1261" t="n">
        <v>2</v>
      </c>
      <c r="J1261" s="3" t="n">
        <v>343</v>
      </c>
      <c r="K1261" s="3" t="n">
        <v>0</v>
      </c>
      <c r="L1261" s="3" t="n">
        <v>343</v>
      </c>
      <c r="M1261" s="3" t="n">
        <v>220.04</v>
      </c>
      <c r="N1261" s="3" t="n">
        <v>122.96</v>
      </c>
      <c r="O1261">
        <f>TEXT(A1261,"yyyy-mm")</f>
        <v/>
      </c>
    </row>
    <row r="1262">
      <c r="A1262" s="2" t="n">
        <v>45739</v>
      </c>
      <c r="B1262" t="n">
        <v>2025</v>
      </c>
      <c r="C1262" t="inlineStr">
        <is>
          <t>March</t>
        </is>
      </c>
      <c r="D1262" t="inlineStr">
        <is>
          <t>Essential Pasta</t>
        </is>
      </c>
      <c r="E1262" t="inlineStr">
        <is>
          <t>Grocery</t>
        </is>
      </c>
      <c r="F1262" t="inlineStr">
        <is>
          <t>Robert Kowalski</t>
        </is>
      </c>
      <c r="G1262" t="inlineStr">
        <is>
          <t>Germany</t>
        </is>
      </c>
      <c r="H1262" t="inlineStr">
        <is>
          <t>Marketplace</t>
        </is>
      </c>
      <c r="I1262" t="n">
        <v>5</v>
      </c>
      <c r="J1262" s="3" t="n">
        <v>274.9</v>
      </c>
      <c r="K1262" s="3" t="n">
        <v>54.98</v>
      </c>
      <c r="L1262" s="3" t="n">
        <v>219.92</v>
      </c>
      <c r="M1262" s="3" t="n">
        <v>179.05</v>
      </c>
      <c r="N1262" s="3" t="n">
        <v>40.87</v>
      </c>
      <c r="O1262">
        <f>TEXT(A1262,"yyyy-mm")</f>
        <v/>
      </c>
    </row>
    <row r="1263">
      <c r="A1263" s="2" t="n">
        <v>45739</v>
      </c>
      <c r="B1263" t="n">
        <v>2025</v>
      </c>
      <c r="C1263" t="inlineStr">
        <is>
          <t>March</t>
        </is>
      </c>
      <c r="D1263" t="inlineStr">
        <is>
          <t>Essential Vitamins</t>
        </is>
      </c>
      <c r="E1263" t="inlineStr">
        <is>
          <t>Beauty &amp; Health</t>
        </is>
      </c>
      <c r="F1263" t="inlineStr">
        <is>
          <t>Robert Kowalski</t>
        </is>
      </c>
      <c r="G1263" t="inlineStr">
        <is>
          <t>Germany</t>
        </is>
      </c>
      <c r="H1263" t="inlineStr">
        <is>
          <t>Marketplace</t>
        </is>
      </c>
      <c r="I1263" t="n">
        <v>2</v>
      </c>
      <c r="J1263" s="3" t="n">
        <v>360.36</v>
      </c>
      <c r="K1263" s="3" t="n">
        <v>18.02</v>
      </c>
      <c r="L1263" s="3" t="n">
        <v>342.34</v>
      </c>
      <c r="M1263" s="3" t="n">
        <v>220.6</v>
      </c>
      <c r="N1263" s="3" t="n">
        <v>121.74</v>
      </c>
      <c r="O1263">
        <f>TEXT(A1263,"yyyy-mm")</f>
        <v/>
      </c>
    </row>
    <row r="1264">
      <c r="A1264" s="2" t="n">
        <v>45739</v>
      </c>
      <c r="B1264" t="n">
        <v>2025</v>
      </c>
      <c r="C1264" t="inlineStr">
        <is>
          <t>March</t>
        </is>
      </c>
      <c r="D1264" t="inlineStr">
        <is>
          <t>Smart Board Game</t>
        </is>
      </c>
      <c r="E1264" t="inlineStr">
        <is>
          <t>Toys &amp; Games</t>
        </is>
      </c>
      <c r="F1264" t="inlineStr">
        <is>
          <t>Robert Kowalski</t>
        </is>
      </c>
      <c r="G1264" t="inlineStr">
        <is>
          <t>Germany</t>
        </is>
      </c>
      <c r="H1264" t="inlineStr">
        <is>
          <t>Marketplace</t>
        </is>
      </c>
      <c r="I1264" t="n">
        <v>4</v>
      </c>
      <c r="J1264" s="3" t="n">
        <v>549.16</v>
      </c>
      <c r="K1264" s="3" t="n">
        <v>27.46</v>
      </c>
      <c r="L1264" s="3" t="n">
        <v>521.7</v>
      </c>
      <c r="M1264" s="3" t="n">
        <v>366.88</v>
      </c>
      <c r="N1264" s="3" t="n">
        <v>154.82</v>
      </c>
      <c r="O1264">
        <f>TEXT(A1264,"yyyy-mm")</f>
        <v/>
      </c>
    </row>
    <row r="1265">
      <c r="A1265" s="2" t="n">
        <v>45739</v>
      </c>
      <c r="B1265" t="n">
        <v>2025</v>
      </c>
      <c r="C1265" t="inlineStr">
        <is>
          <t>March</t>
        </is>
      </c>
      <c r="D1265" t="inlineStr">
        <is>
          <t>Portable Tea Set</t>
        </is>
      </c>
      <c r="E1265" t="inlineStr">
        <is>
          <t>Grocery</t>
        </is>
      </c>
      <c r="F1265" t="inlineStr">
        <is>
          <t>Clara Muller</t>
        </is>
      </c>
      <c r="G1265" t="inlineStr">
        <is>
          <t>Italy</t>
        </is>
      </c>
      <c r="H1265" t="inlineStr">
        <is>
          <t>Web Store</t>
        </is>
      </c>
      <c r="I1265" t="n">
        <v>3</v>
      </c>
      <c r="J1265" s="3" t="n">
        <v>849.63</v>
      </c>
      <c r="K1265" s="3" t="n">
        <v>0</v>
      </c>
      <c r="L1265" s="3" t="n">
        <v>849.63</v>
      </c>
      <c r="M1265" s="3" t="n">
        <v>564.36</v>
      </c>
      <c r="N1265" s="3" t="n">
        <v>285.27</v>
      </c>
      <c r="O1265">
        <f>TEXT(A1265,"yyyy-mm")</f>
        <v/>
      </c>
    </row>
    <row r="1266">
      <c r="A1266" s="2" t="n">
        <v>45739</v>
      </c>
      <c r="B1266" t="n">
        <v>2025</v>
      </c>
      <c r="C1266" t="inlineStr">
        <is>
          <t>March</t>
        </is>
      </c>
      <c r="D1266" t="inlineStr">
        <is>
          <t>Smart Camera</t>
        </is>
      </c>
      <c r="E1266" t="inlineStr">
        <is>
          <t>Electronics</t>
        </is>
      </c>
      <c r="F1266" t="inlineStr">
        <is>
          <t>Maria Dubois</t>
        </is>
      </c>
      <c r="G1266" t="inlineStr">
        <is>
          <t>Spain</t>
        </is>
      </c>
      <c r="H1266" t="inlineStr">
        <is>
          <t>Web Store</t>
        </is>
      </c>
      <c r="I1266" t="n">
        <v>2</v>
      </c>
      <c r="J1266" s="3" t="n">
        <v>237.9</v>
      </c>
      <c r="K1266" s="3" t="n">
        <v>23.79</v>
      </c>
      <c r="L1266" s="3" t="n">
        <v>214.11</v>
      </c>
      <c r="M1266" s="3" t="n">
        <v>171.16</v>
      </c>
      <c r="N1266" s="3" t="n">
        <v>42.95</v>
      </c>
      <c r="O1266">
        <f>TEXT(A1266,"yyyy-mm")</f>
        <v/>
      </c>
    </row>
    <row r="1267">
      <c r="A1267" s="2" t="n">
        <v>45739</v>
      </c>
      <c r="B1267" t="n">
        <v>2025</v>
      </c>
      <c r="C1267" t="inlineStr">
        <is>
          <t>March</t>
        </is>
      </c>
      <c r="D1267" t="inlineStr">
        <is>
          <t>Eco Sweater</t>
        </is>
      </c>
      <c r="E1267" t="inlineStr">
        <is>
          <t>Clothing</t>
        </is>
      </c>
      <c r="F1267" t="inlineStr">
        <is>
          <t>Maria Dubois</t>
        </is>
      </c>
      <c r="G1267" t="inlineStr">
        <is>
          <t>Spain</t>
        </is>
      </c>
      <c r="H1267" t="inlineStr">
        <is>
          <t>Web Store</t>
        </is>
      </c>
      <c r="I1267" t="n">
        <v>2</v>
      </c>
      <c r="J1267" s="3" t="n">
        <v>295.38</v>
      </c>
      <c r="K1267" s="3" t="n">
        <v>0</v>
      </c>
      <c r="L1267" s="3" t="n">
        <v>295.38</v>
      </c>
      <c r="M1267" s="3" t="n">
        <v>208.46</v>
      </c>
      <c r="N1267" s="3" t="n">
        <v>86.92</v>
      </c>
      <c r="O1267">
        <f>TEXT(A1267,"yyyy-mm")</f>
        <v/>
      </c>
    </row>
    <row r="1268">
      <c r="A1268" s="2" t="n">
        <v>45739</v>
      </c>
      <c r="B1268" t="n">
        <v>2025</v>
      </c>
      <c r="C1268" t="inlineStr">
        <is>
          <t>March</t>
        </is>
      </c>
      <c r="D1268" t="inlineStr">
        <is>
          <t>Smart Coffee Beans</t>
        </is>
      </c>
      <c r="E1268" t="inlineStr">
        <is>
          <t>Grocery</t>
        </is>
      </c>
      <c r="F1268" t="inlineStr">
        <is>
          <t>Clara Muller</t>
        </is>
      </c>
      <c r="G1268" t="inlineStr">
        <is>
          <t>Italy</t>
        </is>
      </c>
      <c r="H1268" t="inlineStr">
        <is>
          <t>Web Store</t>
        </is>
      </c>
      <c r="I1268" t="n">
        <v>2</v>
      </c>
      <c r="J1268" s="3" t="n">
        <v>222.92</v>
      </c>
      <c r="K1268" s="3" t="n">
        <v>33.44</v>
      </c>
      <c r="L1268" s="3" t="n">
        <v>189.48</v>
      </c>
      <c r="M1268" s="3" t="n">
        <v>145.7</v>
      </c>
      <c r="N1268" s="3" t="n">
        <v>43.78</v>
      </c>
      <c r="O1268">
        <f>TEXT(A1268,"yyyy-mm")</f>
        <v/>
      </c>
    </row>
    <row r="1269">
      <c r="A1269" s="2" t="n">
        <v>45739</v>
      </c>
      <c r="B1269" t="n">
        <v>2025</v>
      </c>
      <c r="C1269" t="inlineStr">
        <is>
          <t>March</t>
        </is>
      </c>
      <c r="D1269" t="inlineStr">
        <is>
          <t>Portable Pasta</t>
        </is>
      </c>
      <c r="E1269" t="inlineStr">
        <is>
          <t>Grocery</t>
        </is>
      </c>
      <c r="F1269" t="inlineStr">
        <is>
          <t>Clara Muller</t>
        </is>
      </c>
      <c r="G1269" t="inlineStr">
        <is>
          <t>Italy</t>
        </is>
      </c>
      <c r="H1269" t="inlineStr">
        <is>
          <t>Web Store</t>
        </is>
      </c>
      <c r="I1269" t="n">
        <v>1</v>
      </c>
      <c r="J1269" s="3" t="n">
        <v>35.68</v>
      </c>
      <c r="K1269" s="3" t="n">
        <v>7.14</v>
      </c>
      <c r="L1269" s="3" t="n">
        <v>28.54</v>
      </c>
      <c r="M1269" s="3" t="n">
        <v>27.75</v>
      </c>
      <c r="N1269" s="3" t="n">
        <v>0.79</v>
      </c>
      <c r="O1269">
        <f>TEXT(A1269,"yyyy-mm")</f>
        <v/>
      </c>
    </row>
    <row r="1270">
      <c r="A1270" s="2" t="n">
        <v>45741</v>
      </c>
      <c r="B1270" t="n">
        <v>2025</v>
      </c>
      <c r="C1270" t="inlineStr">
        <is>
          <t>March</t>
        </is>
      </c>
      <c r="D1270" t="inlineStr">
        <is>
          <t>Eco Backpack</t>
        </is>
      </c>
      <c r="E1270" t="inlineStr">
        <is>
          <t>Sports &amp; Outdoors</t>
        </is>
      </c>
      <c r="F1270" t="inlineStr">
        <is>
          <t>John Dubois</t>
        </is>
      </c>
      <c r="G1270" t="inlineStr">
        <is>
          <t>Netherlands</t>
        </is>
      </c>
      <c r="H1270" t="inlineStr">
        <is>
          <t>Retail Store</t>
        </is>
      </c>
      <c r="I1270" t="n">
        <v>4</v>
      </c>
      <c r="J1270" s="3" t="n">
        <v>1096.36</v>
      </c>
      <c r="K1270" s="3" t="n">
        <v>109.64</v>
      </c>
      <c r="L1270" s="3" t="n">
        <v>986.72</v>
      </c>
      <c r="M1270" s="3" t="n">
        <v>586.3200000000001</v>
      </c>
      <c r="N1270" s="3" t="n">
        <v>400.4</v>
      </c>
      <c r="O1270">
        <f>TEXT(A1270,"yyyy-mm")</f>
        <v/>
      </c>
    </row>
    <row r="1271">
      <c r="A1271" s="2" t="n">
        <v>45741</v>
      </c>
      <c r="B1271" t="n">
        <v>2025</v>
      </c>
      <c r="C1271" t="inlineStr">
        <is>
          <t>March</t>
        </is>
      </c>
      <c r="D1271" t="inlineStr">
        <is>
          <t>Wireless Cookbook</t>
        </is>
      </c>
      <c r="E1271" t="inlineStr">
        <is>
          <t>Books</t>
        </is>
      </c>
      <c r="F1271" t="inlineStr">
        <is>
          <t>John Dubois</t>
        </is>
      </c>
      <c r="G1271" t="inlineStr">
        <is>
          <t>Netherlands</t>
        </is>
      </c>
      <c r="H1271" t="inlineStr">
        <is>
          <t>Retail Store</t>
        </is>
      </c>
      <c r="I1271" t="n">
        <v>1</v>
      </c>
      <c r="J1271" s="3" t="n">
        <v>77.95999999999999</v>
      </c>
      <c r="K1271" s="3" t="n">
        <v>7.8</v>
      </c>
      <c r="L1271" s="3" t="n">
        <v>70.16</v>
      </c>
      <c r="M1271" s="3" t="n">
        <v>56.61</v>
      </c>
      <c r="N1271" s="3" t="n">
        <v>13.55</v>
      </c>
      <c r="O1271">
        <f>TEXT(A1271,"yyyy-mm")</f>
        <v/>
      </c>
    </row>
    <row r="1272">
      <c r="A1272" s="2" t="n">
        <v>45742</v>
      </c>
      <c r="B1272" t="n">
        <v>2025</v>
      </c>
      <c r="C1272" t="inlineStr">
        <is>
          <t>March</t>
        </is>
      </c>
      <c r="D1272" t="inlineStr">
        <is>
          <t>Classic Charger</t>
        </is>
      </c>
      <c r="E1272" t="inlineStr">
        <is>
          <t>Electronics</t>
        </is>
      </c>
      <c r="F1272" t="inlineStr">
        <is>
          <t>Clara Martin</t>
        </is>
      </c>
      <c r="G1272" t="inlineStr">
        <is>
          <t>United States</t>
        </is>
      </c>
      <c r="H1272" t="inlineStr">
        <is>
          <t>Web Store</t>
        </is>
      </c>
      <c r="I1272" t="n">
        <v>5</v>
      </c>
      <c r="J1272" s="3" t="n">
        <v>483.2</v>
      </c>
      <c r="K1272" s="3" t="n">
        <v>48.32</v>
      </c>
      <c r="L1272" s="3" t="n">
        <v>434.88</v>
      </c>
      <c r="M1272" s="3" t="n">
        <v>311.05</v>
      </c>
      <c r="N1272" s="3" t="n">
        <v>123.83</v>
      </c>
      <c r="O1272">
        <f>TEXT(A1272,"yyyy-mm")</f>
        <v/>
      </c>
    </row>
    <row r="1273">
      <c r="A1273" s="2" t="n">
        <v>45742</v>
      </c>
      <c r="B1273" t="n">
        <v>2025</v>
      </c>
      <c r="C1273" t="inlineStr">
        <is>
          <t>March</t>
        </is>
      </c>
      <c r="D1273" t="inlineStr">
        <is>
          <t>Essential Pasta</t>
        </is>
      </c>
      <c r="E1273" t="inlineStr">
        <is>
          <t>Grocery</t>
        </is>
      </c>
      <c r="F1273" t="inlineStr">
        <is>
          <t>Clara Martin</t>
        </is>
      </c>
      <c r="G1273" t="inlineStr">
        <is>
          <t>United States</t>
        </is>
      </c>
      <c r="H1273" t="inlineStr">
        <is>
          <t>Web Store</t>
        </is>
      </c>
      <c r="I1273" t="n">
        <v>4</v>
      </c>
      <c r="J1273" s="3" t="n">
        <v>220.32</v>
      </c>
      <c r="K1273" s="3" t="n">
        <v>11.02</v>
      </c>
      <c r="L1273" s="3" t="n">
        <v>209.3</v>
      </c>
      <c r="M1273" s="3" t="n">
        <v>143.24</v>
      </c>
      <c r="N1273" s="3" t="n">
        <v>66.06</v>
      </c>
      <c r="O1273">
        <f>TEXT(A1273,"yyyy-mm")</f>
        <v/>
      </c>
    </row>
    <row r="1274">
      <c r="A1274" s="2" t="n">
        <v>45742</v>
      </c>
      <c r="B1274" t="n">
        <v>2025</v>
      </c>
      <c r="C1274" t="inlineStr">
        <is>
          <t>March</t>
        </is>
      </c>
      <c r="D1274" t="inlineStr">
        <is>
          <t>Smart Cookbook</t>
        </is>
      </c>
      <c r="E1274" t="inlineStr">
        <is>
          <t>Books</t>
        </is>
      </c>
      <c r="F1274" t="inlineStr">
        <is>
          <t>Clara Martin</t>
        </is>
      </c>
      <c r="G1274" t="inlineStr">
        <is>
          <t>United States</t>
        </is>
      </c>
      <c r="H1274" t="inlineStr">
        <is>
          <t>Web Store</t>
        </is>
      </c>
      <c r="I1274" t="n">
        <v>2</v>
      </c>
      <c r="J1274" s="3" t="n">
        <v>36.1</v>
      </c>
      <c r="K1274" s="3" t="n">
        <v>7.22</v>
      </c>
      <c r="L1274" s="3" t="n">
        <v>28.88</v>
      </c>
      <c r="M1274" s="3" t="n">
        <v>19.76</v>
      </c>
      <c r="N1274" s="3" t="n">
        <v>9.119999999999999</v>
      </c>
      <c r="O1274">
        <f>TEXT(A1274,"yyyy-mm")</f>
        <v/>
      </c>
    </row>
    <row r="1275">
      <c r="A1275" s="2" t="n">
        <v>45743</v>
      </c>
      <c r="B1275" t="n">
        <v>2025</v>
      </c>
      <c r="C1275" t="inlineStr">
        <is>
          <t>March</t>
        </is>
      </c>
      <c r="D1275" t="inlineStr">
        <is>
          <t>Smart Camera</t>
        </is>
      </c>
      <c r="E1275" t="inlineStr">
        <is>
          <t>Electronics</t>
        </is>
      </c>
      <c r="F1275" t="inlineStr">
        <is>
          <t>Laura Conti</t>
        </is>
      </c>
      <c r="G1275" t="inlineStr">
        <is>
          <t>Netherlands</t>
        </is>
      </c>
      <c r="H1275" t="inlineStr">
        <is>
          <t>Marketplace</t>
        </is>
      </c>
      <c r="I1275" t="n">
        <v>5</v>
      </c>
      <c r="J1275" s="3" t="n">
        <v>1468.3</v>
      </c>
      <c r="K1275" s="3" t="n">
        <v>73.42</v>
      </c>
      <c r="L1275" s="3" t="n">
        <v>1394.89</v>
      </c>
      <c r="M1275" s="3" t="n">
        <v>837</v>
      </c>
      <c r="N1275" s="3" t="n">
        <v>557.89</v>
      </c>
      <c r="O1275">
        <f>TEXT(A1275,"yyyy-mm")</f>
        <v/>
      </c>
    </row>
    <row r="1276">
      <c r="A1276" s="2" t="n">
        <v>45743</v>
      </c>
      <c r="B1276" t="n">
        <v>2025</v>
      </c>
      <c r="C1276" t="inlineStr">
        <is>
          <t>March</t>
        </is>
      </c>
      <c r="D1276" t="inlineStr">
        <is>
          <t>Classic Tea Set</t>
        </is>
      </c>
      <c r="E1276" t="inlineStr">
        <is>
          <t>Grocery</t>
        </is>
      </c>
      <c r="F1276" t="inlineStr">
        <is>
          <t>Nina Muller</t>
        </is>
      </c>
      <c r="G1276" t="inlineStr">
        <is>
          <t>Spain</t>
        </is>
      </c>
      <c r="H1276" t="inlineStr">
        <is>
          <t>Retail Store</t>
        </is>
      </c>
      <c r="I1276" t="n">
        <v>3</v>
      </c>
      <c r="J1276" s="3" t="n">
        <v>536.22</v>
      </c>
      <c r="K1276" s="3" t="n">
        <v>80.43000000000001</v>
      </c>
      <c r="L1276" s="3" t="n">
        <v>455.79</v>
      </c>
      <c r="M1276" s="3" t="n">
        <v>376.2</v>
      </c>
      <c r="N1276" s="3" t="n">
        <v>79.59</v>
      </c>
      <c r="O1276">
        <f>TEXT(A1276,"yyyy-mm")</f>
        <v/>
      </c>
    </row>
    <row r="1277">
      <c r="A1277" s="2" t="n">
        <v>45743</v>
      </c>
      <c r="B1277" t="n">
        <v>2025</v>
      </c>
      <c r="C1277" t="inlineStr">
        <is>
          <t>March</t>
        </is>
      </c>
      <c r="D1277" t="inlineStr">
        <is>
          <t>Classic Coffee Beans</t>
        </is>
      </c>
      <c r="E1277" t="inlineStr">
        <is>
          <t>Grocery</t>
        </is>
      </c>
      <c r="F1277" t="inlineStr">
        <is>
          <t>Nina Muller</t>
        </is>
      </c>
      <c r="G1277" t="inlineStr">
        <is>
          <t>Spain</t>
        </is>
      </c>
      <c r="H1277" t="inlineStr">
        <is>
          <t>Retail Store</t>
        </is>
      </c>
      <c r="I1277" t="n">
        <v>3</v>
      </c>
      <c r="J1277" s="3" t="n">
        <v>968.3099999999999</v>
      </c>
      <c r="K1277" s="3" t="n">
        <v>48.42</v>
      </c>
      <c r="L1277" s="3" t="n">
        <v>919.89</v>
      </c>
      <c r="M1277" s="3" t="n">
        <v>584.28</v>
      </c>
      <c r="N1277" s="3" t="n">
        <v>335.61</v>
      </c>
      <c r="O1277">
        <f>TEXT(A1277,"yyyy-mm")</f>
        <v/>
      </c>
    </row>
    <row r="1278">
      <c r="A1278" s="2" t="n">
        <v>45743</v>
      </c>
      <c r="B1278" t="n">
        <v>2025</v>
      </c>
      <c r="C1278" t="inlineStr">
        <is>
          <t>March</t>
        </is>
      </c>
      <c r="D1278" t="inlineStr">
        <is>
          <t>Essential Notebook</t>
        </is>
      </c>
      <c r="E1278" t="inlineStr">
        <is>
          <t>Books</t>
        </is>
      </c>
      <c r="F1278" t="inlineStr">
        <is>
          <t>Nina Muller</t>
        </is>
      </c>
      <c r="G1278" t="inlineStr">
        <is>
          <t>Spain</t>
        </is>
      </c>
      <c r="H1278" t="inlineStr">
        <is>
          <t>Retail Store</t>
        </is>
      </c>
      <c r="I1278" t="n">
        <v>5</v>
      </c>
      <c r="J1278" s="3" t="n">
        <v>616.85</v>
      </c>
      <c r="K1278" s="3" t="n">
        <v>92.53</v>
      </c>
      <c r="L1278" s="3" t="n">
        <v>524.3200000000001</v>
      </c>
      <c r="M1278" s="3" t="n">
        <v>395.5</v>
      </c>
      <c r="N1278" s="3" t="n">
        <v>128.82</v>
      </c>
      <c r="O1278">
        <f>TEXT(A1278,"yyyy-mm")</f>
        <v/>
      </c>
    </row>
    <row r="1279">
      <c r="A1279" s="2" t="n">
        <v>45744</v>
      </c>
      <c r="B1279" t="n">
        <v>2025</v>
      </c>
      <c r="C1279" t="inlineStr">
        <is>
          <t>March</t>
        </is>
      </c>
      <c r="D1279" t="inlineStr">
        <is>
          <t>Smart Puzzle</t>
        </is>
      </c>
      <c r="E1279" t="inlineStr">
        <is>
          <t>Toys &amp; Games</t>
        </is>
      </c>
      <c r="F1279" t="inlineStr">
        <is>
          <t>Paul Smith</t>
        </is>
      </c>
      <c r="G1279" t="inlineStr">
        <is>
          <t>United Kingdom</t>
        </is>
      </c>
      <c r="H1279" t="inlineStr">
        <is>
          <t>Mobile App</t>
        </is>
      </c>
      <c r="I1279" t="n">
        <v>1</v>
      </c>
      <c r="J1279" s="3" t="n">
        <v>262.57</v>
      </c>
      <c r="K1279" s="3" t="n">
        <v>0</v>
      </c>
      <c r="L1279" s="3" t="n">
        <v>262.57</v>
      </c>
      <c r="M1279" s="3" t="n">
        <v>192.76</v>
      </c>
      <c r="N1279" s="3" t="n">
        <v>69.81</v>
      </c>
      <c r="O1279">
        <f>TEXT(A1279,"yyyy-mm")</f>
        <v/>
      </c>
    </row>
    <row r="1280">
      <c r="A1280" s="2" t="n">
        <v>45744</v>
      </c>
      <c r="B1280" t="n">
        <v>2025</v>
      </c>
      <c r="C1280" t="inlineStr">
        <is>
          <t>March</t>
        </is>
      </c>
      <c r="D1280" t="inlineStr">
        <is>
          <t>Deluxe Puzzle</t>
        </is>
      </c>
      <c r="E1280" t="inlineStr">
        <is>
          <t>Toys &amp; Games</t>
        </is>
      </c>
      <c r="F1280" t="inlineStr">
        <is>
          <t>Paul Smith</t>
        </is>
      </c>
      <c r="G1280" t="inlineStr">
        <is>
          <t>United Kingdom</t>
        </is>
      </c>
      <c r="H1280" t="inlineStr">
        <is>
          <t>Mobile App</t>
        </is>
      </c>
      <c r="I1280" t="n">
        <v>2</v>
      </c>
      <c r="J1280" s="3" t="n">
        <v>425.42</v>
      </c>
      <c r="K1280" s="3" t="n">
        <v>85.08</v>
      </c>
      <c r="L1280" s="3" t="n">
        <v>340.34</v>
      </c>
      <c r="M1280" s="3" t="n">
        <v>222.34</v>
      </c>
      <c r="N1280" s="3" t="n">
        <v>118</v>
      </c>
      <c r="O1280">
        <f>TEXT(A1280,"yyyy-mm")</f>
        <v/>
      </c>
    </row>
    <row r="1281">
      <c r="A1281" s="2" t="n">
        <v>45744</v>
      </c>
      <c r="B1281" t="n">
        <v>2025</v>
      </c>
      <c r="C1281" t="inlineStr">
        <is>
          <t>March</t>
        </is>
      </c>
      <c r="D1281" t="inlineStr">
        <is>
          <t>Deluxe Cookbook</t>
        </is>
      </c>
      <c r="E1281" t="inlineStr">
        <is>
          <t>Books</t>
        </is>
      </c>
      <c r="F1281" t="inlineStr">
        <is>
          <t>Paul Smith</t>
        </is>
      </c>
      <c r="G1281" t="inlineStr">
        <is>
          <t>United Kingdom</t>
        </is>
      </c>
      <c r="H1281" t="inlineStr">
        <is>
          <t>Mobile App</t>
        </is>
      </c>
      <c r="I1281" t="n">
        <v>4</v>
      </c>
      <c r="J1281" s="3" t="n">
        <v>569.36</v>
      </c>
      <c r="K1281" s="3" t="n">
        <v>85.40000000000001</v>
      </c>
      <c r="L1281" s="3" t="n">
        <v>483.96</v>
      </c>
      <c r="M1281" s="3" t="n">
        <v>341.08</v>
      </c>
      <c r="N1281" s="3" t="n">
        <v>142.88</v>
      </c>
      <c r="O1281">
        <f>TEXT(A1281,"yyyy-mm")</f>
        <v/>
      </c>
    </row>
    <row r="1282">
      <c r="A1282" s="2" t="n">
        <v>45744</v>
      </c>
      <c r="B1282" t="n">
        <v>2025</v>
      </c>
      <c r="C1282" t="inlineStr">
        <is>
          <t>March</t>
        </is>
      </c>
      <c r="D1282" t="inlineStr">
        <is>
          <t>Smart Puzzle</t>
        </is>
      </c>
      <c r="E1282" t="inlineStr">
        <is>
          <t>Toys &amp; Games</t>
        </is>
      </c>
      <c r="F1282" t="inlineStr">
        <is>
          <t>Paul Smith</t>
        </is>
      </c>
      <c r="G1282" t="inlineStr">
        <is>
          <t>United Kingdom</t>
        </is>
      </c>
      <c r="H1282" t="inlineStr">
        <is>
          <t>Mobile App</t>
        </is>
      </c>
      <c r="I1282" t="n">
        <v>5</v>
      </c>
      <c r="J1282" s="3" t="n">
        <v>235.35</v>
      </c>
      <c r="K1282" s="3" t="n">
        <v>0</v>
      </c>
      <c r="L1282" s="3" t="n">
        <v>235.35</v>
      </c>
      <c r="M1282" s="3" t="n">
        <v>122.2</v>
      </c>
      <c r="N1282" s="3" t="n">
        <v>113.15</v>
      </c>
      <c r="O1282">
        <f>TEXT(A1282,"yyyy-mm")</f>
        <v/>
      </c>
    </row>
    <row r="1283">
      <c r="A1283" s="2" t="n">
        <v>45745</v>
      </c>
      <c r="B1283" t="n">
        <v>2025</v>
      </c>
      <c r="C1283" t="inlineStr">
        <is>
          <t>March</t>
        </is>
      </c>
      <c r="D1283" t="inlineStr">
        <is>
          <t>Essential Toolset</t>
        </is>
      </c>
      <c r="E1283" t="inlineStr">
        <is>
          <t>Home &amp; Garden</t>
        </is>
      </c>
      <c r="F1283" t="inlineStr">
        <is>
          <t>Paul Zielinski</t>
        </is>
      </c>
      <c r="G1283" t="inlineStr">
        <is>
          <t>Poland</t>
        </is>
      </c>
      <c r="H1283" t="inlineStr">
        <is>
          <t>Web Store</t>
        </is>
      </c>
      <c r="I1283" t="n">
        <v>4</v>
      </c>
      <c r="J1283" s="3" t="n">
        <v>792.96</v>
      </c>
      <c r="K1283" s="3" t="n">
        <v>0</v>
      </c>
      <c r="L1283" s="3" t="n">
        <v>792.96</v>
      </c>
      <c r="M1283" s="3" t="n">
        <v>602.12</v>
      </c>
      <c r="N1283" s="3" t="n">
        <v>190.84</v>
      </c>
      <c r="O1283">
        <f>TEXT(A1283,"yyyy-mm")</f>
        <v/>
      </c>
    </row>
    <row r="1284">
      <c r="A1284" s="2" t="n">
        <v>45745</v>
      </c>
      <c r="B1284" t="n">
        <v>2025</v>
      </c>
      <c r="C1284" t="inlineStr">
        <is>
          <t>March</t>
        </is>
      </c>
      <c r="D1284" t="inlineStr">
        <is>
          <t>Portable Toolset</t>
        </is>
      </c>
      <c r="E1284" t="inlineStr">
        <is>
          <t>Home &amp; Garden</t>
        </is>
      </c>
      <c r="F1284" t="inlineStr">
        <is>
          <t>Paul Zielinski</t>
        </is>
      </c>
      <c r="G1284" t="inlineStr">
        <is>
          <t>Poland</t>
        </is>
      </c>
      <c r="H1284" t="inlineStr">
        <is>
          <t>Web Store</t>
        </is>
      </c>
      <c r="I1284" t="n">
        <v>4</v>
      </c>
      <c r="J1284" s="3" t="n">
        <v>372.72</v>
      </c>
      <c r="K1284" s="3" t="n">
        <v>37.27</v>
      </c>
      <c r="L1284" s="3" t="n">
        <v>335.45</v>
      </c>
      <c r="M1284" s="3" t="n">
        <v>202.16</v>
      </c>
      <c r="N1284" s="3" t="n">
        <v>133.29</v>
      </c>
      <c r="O1284">
        <f>TEXT(A1284,"yyyy-mm")</f>
        <v/>
      </c>
    </row>
    <row r="1285">
      <c r="A1285" s="2" t="n">
        <v>45745</v>
      </c>
      <c r="B1285" t="n">
        <v>2025</v>
      </c>
      <c r="C1285" t="inlineStr">
        <is>
          <t>March</t>
        </is>
      </c>
      <c r="D1285" t="inlineStr">
        <is>
          <t>Eco Tent</t>
        </is>
      </c>
      <c r="E1285" t="inlineStr">
        <is>
          <t>Sports &amp; Outdoors</t>
        </is>
      </c>
      <c r="F1285" t="inlineStr">
        <is>
          <t>Paul Zielinski</t>
        </is>
      </c>
      <c r="G1285" t="inlineStr">
        <is>
          <t>Poland</t>
        </is>
      </c>
      <c r="H1285" t="inlineStr">
        <is>
          <t>Web Store</t>
        </is>
      </c>
      <c r="I1285" t="n">
        <v>5</v>
      </c>
      <c r="J1285" s="3" t="n">
        <v>327.25</v>
      </c>
      <c r="K1285" s="3" t="n">
        <v>32.72</v>
      </c>
      <c r="L1285" s="3" t="n">
        <v>294.52</v>
      </c>
      <c r="M1285" s="3" t="n">
        <v>219.25</v>
      </c>
      <c r="N1285" s="3" t="n">
        <v>75.27</v>
      </c>
      <c r="O1285">
        <f>TEXT(A1285,"yyyy-mm")</f>
        <v/>
      </c>
    </row>
    <row r="1286">
      <c r="A1286" s="2" t="n">
        <v>45745</v>
      </c>
      <c r="B1286" t="n">
        <v>2025</v>
      </c>
      <c r="C1286" t="inlineStr">
        <is>
          <t>March</t>
        </is>
      </c>
      <c r="D1286" t="inlineStr">
        <is>
          <t>Smart Board Game</t>
        </is>
      </c>
      <c r="E1286" t="inlineStr">
        <is>
          <t>Toys &amp; Games</t>
        </is>
      </c>
      <c r="F1286" t="inlineStr">
        <is>
          <t>Laura Wojcik</t>
        </is>
      </c>
      <c r="G1286" t="inlineStr">
        <is>
          <t>Italy</t>
        </is>
      </c>
      <c r="H1286" t="inlineStr">
        <is>
          <t>Retail Store</t>
        </is>
      </c>
      <c r="I1286" t="n">
        <v>1</v>
      </c>
      <c r="J1286" s="3" t="n">
        <v>138.79</v>
      </c>
      <c r="K1286" s="3" t="n">
        <v>0</v>
      </c>
      <c r="L1286" s="3" t="n">
        <v>138.79</v>
      </c>
      <c r="M1286" s="3" t="n">
        <v>91.72</v>
      </c>
      <c r="N1286" s="3" t="n">
        <v>47.07</v>
      </c>
      <c r="O1286">
        <f>TEXT(A1286,"yyyy-mm")</f>
        <v/>
      </c>
    </row>
    <row r="1287">
      <c r="A1287" s="2" t="n">
        <v>45745</v>
      </c>
      <c r="B1287" t="n">
        <v>2025</v>
      </c>
      <c r="C1287" t="inlineStr">
        <is>
          <t>March</t>
        </is>
      </c>
      <c r="D1287" t="inlineStr">
        <is>
          <t>Smart Honey</t>
        </is>
      </c>
      <c r="E1287" t="inlineStr">
        <is>
          <t>Grocery</t>
        </is>
      </c>
      <c r="F1287" t="inlineStr">
        <is>
          <t>Michael Nowak</t>
        </is>
      </c>
      <c r="G1287" t="inlineStr">
        <is>
          <t>Spain</t>
        </is>
      </c>
      <c r="H1287" t="inlineStr">
        <is>
          <t>Marketplace</t>
        </is>
      </c>
      <c r="I1287" t="n">
        <v>3</v>
      </c>
      <c r="J1287" s="3" t="n">
        <v>396.66</v>
      </c>
      <c r="K1287" s="3" t="n">
        <v>0</v>
      </c>
      <c r="L1287" s="3" t="n">
        <v>396.66</v>
      </c>
      <c r="M1287" s="3" t="n">
        <v>214.32</v>
      </c>
      <c r="N1287" s="3" t="n">
        <v>182.34</v>
      </c>
      <c r="O1287">
        <f>TEXT(A1287,"yyyy-mm")</f>
        <v/>
      </c>
    </row>
    <row r="1288">
      <c r="A1288" s="2" t="n">
        <v>45745</v>
      </c>
      <c r="B1288" t="n">
        <v>2025</v>
      </c>
      <c r="C1288" t="inlineStr">
        <is>
          <t>March</t>
        </is>
      </c>
      <c r="D1288" t="inlineStr">
        <is>
          <t>Premium Tent</t>
        </is>
      </c>
      <c r="E1288" t="inlineStr">
        <is>
          <t>Sports &amp; Outdoors</t>
        </is>
      </c>
      <c r="F1288" t="inlineStr">
        <is>
          <t>Laura Wojcik</t>
        </is>
      </c>
      <c r="G1288" t="inlineStr">
        <is>
          <t>Italy</t>
        </is>
      </c>
      <c r="H1288" t="inlineStr">
        <is>
          <t>Retail Store</t>
        </is>
      </c>
      <c r="I1288" t="n">
        <v>3</v>
      </c>
      <c r="J1288" s="3" t="n">
        <v>447</v>
      </c>
      <c r="K1288" s="3" t="n">
        <v>89.40000000000001</v>
      </c>
      <c r="L1288" s="3" t="n">
        <v>357.6</v>
      </c>
      <c r="M1288" s="3" t="n">
        <v>289.2</v>
      </c>
      <c r="N1288" s="3" t="n">
        <v>68.40000000000001</v>
      </c>
      <c r="O1288">
        <f>TEXT(A1288,"yyyy-mm")</f>
        <v/>
      </c>
    </row>
    <row r="1289">
      <c r="A1289" s="2" t="n">
        <v>45746</v>
      </c>
      <c r="B1289" t="n">
        <v>2025</v>
      </c>
      <c r="C1289" t="inlineStr">
        <is>
          <t>March</t>
        </is>
      </c>
      <c r="D1289" t="inlineStr">
        <is>
          <t>Deluxe Smartwatch</t>
        </is>
      </c>
      <c r="E1289" t="inlineStr">
        <is>
          <t>Electronics</t>
        </is>
      </c>
      <c r="F1289" t="inlineStr">
        <is>
          <t>David Wojcik</t>
        </is>
      </c>
      <c r="G1289" t="inlineStr">
        <is>
          <t>Germany</t>
        </is>
      </c>
      <c r="H1289" t="inlineStr">
        <is>
          <t>Web Store</t>
        </is>
      </c>
      <c r="I1289" t="n">
        <v>1</v>
      </c>
      <c r="J1289" s="3" t="n">
        <v>153.77</v>
      </c>
      <c r="K1289" s="3" t="n">
        <v>30.75</v>
      </c>
      <c r="L1289" s="3" t="n">
        <v>123.02</v>
      </c>
      <c r="M1289" s="3" t="n">
        <v>122.72</v>
      </c>
      <c r="N1289" s="3" t="n">
        <v>0.3</v>
      </c>
      <c r="O1289">
        <f>TEXT(A1289,"yyyy-mm")</f>
        <v/>
      </c>
    </row>
    <row r="1290">
      <c r="A1290" s="2" t="n">
        <v>45746</v>
      </c>
      <c r="B1290" t="n">
        <v>2025</v>
      </c>
      <c r="C1290" t="inlineStr">
        <is>
          <t>March</t>
        </is>
      </c>
      <c r="D1290" t="inlineStr">
        <is>
          <t>Ultra Rug</t>
        </is>
      </c>
      <c r="E1290" t="inlineStr">
        <is>
          <t>Home &amp; Garden</t>
        </is>
      </c>
      <c r="F1290" t="inlineStr">
        <is>
          <t>David Wojcik</t>
        </is>
      </c>
      <c r="G1290" t="inlineStr">
        <is>
          <t>Germany</t>
        </is>
      </c>
      <c r="H1290" t="inlineStr">
        <is>
          <t>Web Store</t>
        </is>
      </c>
      <c r="I1290" t="n">
        <v>5</v>
      </c>
      <c r="J1290" s="3" t="n">
        <v>269.05</v>
      </c>
      <c r="K1290" s="3" t="n">
        <v>0</v>
      </c>
      <c r="L1290" s="3" t="n">
        <v>269.05</v>
      </c>
      <c r="M1290" s="3" t="n">
        <v>164.55</v>
      </c>
      <c r="N1290" s="3" t="n">
        <v>104.5</v>
      </c>
      <c r="O1290">
        <f>TEXT(A1290,"yyyy-mm")</f>
        <v/>
      </c>
    </row>
    <row r="1291">
      <c r="A1291" s="2" t="n">
        <v>45746</v>
      </c>
      <c r="B1291" t="n">
        <v>2025</v>
      </c>
      <c r="C1291" t="inlineStr">
        <is>
          <t>March</t>
        </is>
      </c>
      <c r="D1291" t="inlineStr">
        <is>
          <t>Classic Coffee Beans</t>
        </is>
      </c>
      <c r="E1291" t="inlineStr">
        <is>
          <t>Grocery</t>
        </is>
      </c>
      <c r="F1291" t="inlineStr">
        <is>
          <t>Olivia Bianchi</t>
        </is>
      </c>
      <c r="G1291" t="inlineStr">
        <is>
          <t>Poland</t>
        </is>
      </c>
      <c r="H1291" t="inlineStr">
        <is>
          <t>Web Store</t>
        </is>
      </c>
      <c r="I1291" t="n">
        <v>5</v>
      </c>
      <c r="J1291" s="3" t="n">
        <v>1608</v>
      </c>
      <c r="K1291" s="3" t="n">
        <v>0</v>
      </c>
      <c r="L1291" s="3" t="n">
        <v>1608</v>
      </c>
      <c r="M1291" s="3" t="n">
        <v>973.8</v>
      </c>
      <c r="N1291" s="3" t="n">
        <v>634.2</v>
      </c>
      <c r="O1291">
        <f>TEXT(A1291,"yyyy-mm")</f>
        <v/>
      </c>
    </row>
    <row r="1292">
      <c r="A1292" s="2" t="n">
        <v>45746</v>
      </c>
      <c r="B1292" t="n">
        <v>2025</v>
      </c>
      <c r="C1292" t="inlineStr">
        <is>
          <t>March</t>
        </is>
      </c>
      <c r="D1292" t="inlineStr">
        <is>
          <t>Deluxe Notebook</t>
        </is>
      </c>
      <c r="E1292" t="inlineStr">
        <is>
          <t>Books</t>
        </is>
      </c>
      <c r="F1292" t="inlineStr">
        <is>
          <t>Olivia Bianchi</t>
        </is>
      </c>
      <c r="G1292" t="inlineStr">
        <is>
          <t>Poland</t>
        </is>
      </c>
      <c r="H1292" t="inlineStr">
        <is>
          <t>Web Store</t>
        </is>
      </c>
      <c r="I1292" t="n">
        <v>4</v>
      </c>
      <c r="J1292" s="3" t="n">
        <v>883.28</v>
      </c>
      <c r="K1292" s="3" t="n">
        <v>0</v>
      </c>
      <c r="L1292" s="3" t="n">
        <v>883.28</v>
      </c>
      <c r="M1292" s="3" t="n">
        <v>603.04</v>
      </c>
      <c r="N1292" s="3" t="n">
        <v>280.24</v>
      </c>
      <c r="O1292">
        <f>TEXT(A1292,"yyyy-mm")</f>
        <v/>
      </c>
    </row>
    <row r="1293">
      <c r="A1293" s="2" t="n">
        <v>45746</v>
      </c>
      <c r="B1293" t="n">
        <v>2025</v>
      </c>
      <c r="C1293" t="inlineStr">
        <is>
          <t>March</t>
        </is>
      </c>
      <c r="D1293" t="inlineStr">
        <is>
          <t>Classic Bike Helmet</t>
        </is>
      </c>
      <c r="E1293" t="inlineStr">
        <is>
          <t>Sports &amp; Outdoors</t>
        </is>
      </c>
      <c r="F1293" t="inlineStr">
        <is>
          <t>Clara Kowalski</t>
        </is>
      </c>
      <c r="G1293" t="inlineStr">
        <is>
          <t>France</t>
        </is>
      </c>
      <c r="H1293" t="inlineStr">
        <is>
          <t>Retail Store</t>
        </is>
      </c>
      <c r="I1293" t="n">
        <v>2</v>
      </c>
      <c r="J1293" s="3" t="n">
        <v>449.4</v>
      </c>
      <c r="K1293" s="3" t="n">
        <v>0</v>
      </c>
      <c r="L1293" s="3" t="n">
        <v>449.4</v>
      </c>
      <c r="M1293" s="3" t="n">
        <v>307.62</v>
      </c>
      <c r="N1293" s="3" t="n">
        <v>141.78</v>
      </c>
      <c r="O1293">
        <f>TEXT(A1293,"yyyy-mm")</f>
        <v/>
      </c>
    </row>
    <row r="1294">
      <c r="A1294" s="2" t="n">
        <v>45746</v>
      </c>
      <c r="B1294" t="n">
        <v>2025</v>
      </c>
      <c r="C1294" t="inlineStr">
        <is>
          <t>March</t>
        </is>
      </c>
      <c r="D1294" t="inlineStr">
        <is>
          <t>Classic Charger</t>
        </is>
      </c>
      <c r="E1294" t="inlineStr">
        <is>
          <t>Electronics</t>
        </is>
      </c>
      <c r="F1294" t="inlineStr">
        <is>
          <t>Robert Weber</t>
        </is>
      </c>
      <c r="G1294" t="inlineStr">
        <is>
          <t>United States</t>
        </is>
      </c>
      <c r="H1294" t="inlineStr">
        <is>
          <t>Marketplace</t>
        </is>
      </c>
      <c r="I1294" t="n">
        <v>5</v>
      </c>
      <c r="J1294" s="3" t="n">
        <v>465.55</v>
      </c>
      <c r="K1294" s="3" t="n">
        <v>69.83</v>
      </c>
      <c r="L1294" s="3" t="n">
        <v>395.72</v>
      </c>
      <c r="M1294" s="3" t="n">
        <v>311.05</v>
      </c>
      <c r="N1294" s="3" t="n">
        <v>84.67</v>
      </c>
      <c r="O1294">
        <f>TEXT(A1294,"yyyy-mm")</f>
        <v/>
      </c>
    </row>
    <row r="1295">
      <c r="A1295" s="2" t="n">
        <v>45746</v>
      </c>
      <c r="B1295" t="n">
        <v>2025</v>
      </c>
      <c r="C1295" t="inlineStr">
        <is>
          <t>March</t>
        </is>
      </c>
      <c r="D1295" t="inlineStr">
        <is>
          <t>Wireless Coffee Beans</t>
        </is>
      </c>
      <c r="E1295" t="inlineStr">
        <is>
          <t>Grocery</t>
        </is>
      </c>
      <c r="F1295" t="inlineStr">
        <is>
          <t>Clara Kowalski</t>
        </is>
      </c>
      <c r="G1295" t="inlineStr">
        <is>
          <t>France</t>
        </is>
      </c>
      <c r="H1295" t="inlineStr">
        <is>
          <t>Retail Store</t>
        </is>
      </c>
      <c r="I1295" t="n">
        <v>3</v>
      </c>
      <c r="J1295" s="3" t="n">
        <v>356.28</v>
      </c>
      <c r="K1295" s="3" t="n">
        <v>0</v>
      </c>
      <c r="L1295" s="3" t="n">
        <v>356.28</v>
      </c>
      <c r="M1295" s="3" t="n">
        <v>238.11</v>
      </c>
      <c r="N1295" s="3" t="n">
        <v>118.17</v>
      </c>
      <c r="O1295">
        <f>TEXT(A1295,"yyyy-mm")</f>
        <v/>
      </c>
    </row>
    <row r="1296">
      <c r="A1296" s="2" t="n">
        <v>45746</v>
      </c>
      <c r="B1296" t="n">
        <v>2025</v>
      </c>
      <c r="C1296" t="inlineStr">
        <is>
          <t>March</t>
        </is>
      </c>
      <c r="D1296" t="inlineStr">
        <is>
          <t>Smart Cookbook</t>
        </is>
      </c>
      <c r="E1296" t="inlineStr">
        <is>
          <t>Books</t>
        </is>
      </c>
      <c r="F1296" t="inlineStr">
        <is>
          <t>Olivia Bianchi</t>
        </is>
      </c>
      <c r="G1296" t="inlineStr">
        <is>
          <t>Poland</t>
        </is>
      </c>
      <c r="H1296" t="inlineStr">
        <is>
          <t>Mobile App</t>
        </is>
      </c>
      <c r="I1296" t="n">
        <v>3</v>
      </c>
      <c r="J1296" s="3" t="n">
        <v>55.11</v>
      </c>
      <c r="K1296" s="3" t="n">
        <v>11.02</v>
      </c>
      <c r="L1296" s="3" t="n">
        <v>44.09</v>
      </c>
      <c r="M1296" s="3" t="n">
        <v>29.64</v>
      </c>
      <c r="N1296" s="3" t="n">
        <v>14.45</v>
      </c>
      <c r="O1296">
        <f>TEXT(A1296,"yyyy-mm")</f>
        <v/>
      </c>
    </row>
    <row r="1297">
      <c r="A1297" s="2" t="n">
        <v>45746</v>
      </c>
      <c r="B1297" t="n">
        <v>2025</v>
      </c>
      <c r="C1297" t="inlineStr">
        <is>
          <t>March</t>
        </is>
      </c>
      <c r="D1297" t="inlineStr">
        <is>
          <t>Portable Pasta</t>
        </is>
      </c>
      <c r="E1297" t="inlineStr">
        <is>
          <t>Grocery</t>
        </is>
      </c>
      <c r="F1297" t="inlineStr">
        <is>
          <t>Olivia Bianchi</t>
        </is>
      </c>
      <c r="G1297" t="inlineStr">
        <is>
          <t>Poland</t>
        </is>
      </c>
      <c r="H1297" t="inlineStr">
        <is>
          <t>Mobile App</t>
        </is>
      </c>
      <c r="I1297" t="n">
        <v>3</v>
      </c>
      <c r="J1297" s="3" t="n">
        <v>105.72</v>
      </c>
      <c r="K1297" s="3" t="n">
        <v>10.57</v>
      </c>
      <c r="L1297" s="3" t="n">
        <v>95.15000000000001</v>
      </c>
      <c r="M1297" s="3" t="n">
        <v>83.25</v>
      </c>
      <c r="N1297" s="3" t="n">
        <v>11.9</v>
      </c>
      <c r="O1297">
        <f>TEXT(A1297,"yyyy-mm")</f>
        <v/>
      </c>
    </row>
    <row r="1298">
      <c r="A1298" s="2" t="n">
        <v>45746</v>
      </c>
      <c r="B1298" t="n">
        <v>2025</v>
      </c>
      <c r="C1298" t="inlineStr">
        <is>
          <t>March</t>
        </is>
      </c>
      <c r="D1298" t="inlineStr">
        <is>
          <t>Wireless Cookbook</t>
        </is>
      </c>
      <c r="E1298" t="inlineStr">
        <is>
          <t>Books</t>
        </is>
      </c>
      <c r="F1298" t="inlineStr">
        <is>
          <t>Clara Kowalski</t>
        </is>
      </c>
      <c r="G1298" t="inlineStr">
        <is>
          <t>France</t>
        </is>
      </c>
      <c r="H1298" t="inlineStr">
        <is>
          <t>Retail Store</t>
        </is>
      </c>
      <c r="I1298" t="n">
        <v>4</v>
      </c>
      <c r="J1298" s="3" t="n">
        <v>317.92</v>
      </c>
      <c r="K1298" s="3" t="n">
        <v>47.69</v>
      </c>
      <c r="L1298" s="3" t="n">
        <v>270.23</v>
      </c>
      <c r="M1298" s="3" t="n">
        <v>226.44</v>
      </c>
      <c r="N1298" s="3" t="n">
        <v>43.79</v>
      </c>
      <c r="O1298">
        <f>TEXT(A1298,"yyyy-mm")</f>
        <v/>
      </c>
    </row>
    <row r="1299">
      <c r="A1299" s="2" t="n">
        <v>45746</v>
      </c>
      <c r="B1299" t="n">
        <v>2025</v>
      </c>
      <c r="C1299" t="inlineStr">
        <is>
          <t>March</t>
        </is>
      </c>
      <c r="D1299" t="inlineStr">
        <is>
          <t>Portable Notebook</t>
        </is>
      </c>
      <c r="E1299" t="inlineStr">
        <is>
          <t>Books</t>
        </is>
      </c>
      <c r="F1299" t="inlineStr">
        <is>
          <t>Clara Kowalski</t>
        </is>
      </c>
      <c r="G1299" t="inlineStr">
        <is>
          <t>France</t>
        </is>
      </c>
      <c r="H1299" t="inlineStr">
        <is>
          <t>Retail Store</t>
        </is>
      </c>
      <c r="I1299" t="n">
        <v>4</v>
      </c>
      <c r="J1299" s="3" t="n">
        <v>484.08</v>
      </c>
      <c r="K1299" s="3" t="n">
        <v>0</v>
      </c>
      <c r="L1299" s="3" t="n">
        <v>484.08</v>
      </c>
      <c r="M1299" s="3" t="n">
        <v>285.12</v>
      </c>
      <c r="N1299" s="3" t="n">
        <v>198.96</v>
      </c>
      <c r="O1299">
        <f>TEXT(A1299,"yyyy-mm")</f>
        <v/>
      </c>
    </row>
    <row r="1300">
      <c r="A1300" s="2" t="n">
        <v>45746</v>
      </c>
      <c r="B1300" t="n">
        <v>2025</v>
      </c>
      <c r="C1300" t="inlineStr">
        <is>
          <t>March</t>
        </is>
      </c>
      <c r="D1300" t="inlineStr">
        <is>
          <t>Deluxe Scarf</t>
        </is>
      </c>
      <c r="E1300" t="inlineStr">
        <is>
          <t>Clothing</t>
        </is>
      </c>
      <c r="F1300" t="inlineStr">
        <is>
          <t>Olivia Bianchi</t>
        </is>
      </c>
      <c r="G1300" t="inlineStr">
        <is>
          <t>Poland</t>
        </is>
      </c>
      <c r="H1300" t="inlineStr">
        <is>
          <t>Mobile App</t>
        </is>
      </c>
      <c r="I1300" t="n">
        <v>1</v>
      </c>
      <c r="J1300" s="3" t="n">
        <v>198.23</v>
      </c>
      <c r="K1300" s="3" t="n">
        <v>0</v>
      </c>
      <c r="L1300" s="3" t="n">
        <v>198.23</v>
      </c>
      <c r="M1300" s="3" t="n">
        <v>108.52</v>
      </c>
      <c r="N1300" s="3" t="n">
        <v>89.70999999999999</v>
      </c>
      <c r="O1300">
        <f>TEXT(A1300,"yyyy-mm")</f>
        <v/>
      </c>
    </row>
    <row r="1301">
      <c r="A1301" s="2" t="n">
        <v>45746</v>
      </c>
      <c r="B1301" t="n">
        <v>2025</v>
      </c>
      <c r="C1301" t="inlineStr">
        <is>
          <t>March</t>
        </is>
      </c>
      <c r="D1301" t="inlineStr">
        <is>
          <t>Portable Notebook</t>
        </is>
      </c>
      <c r="E1301" t="inlineStr">
        <is>
          <t>Books</t>
        </is>
      </c>
      <c r="F1301" t="inlineStr">
        <is>
          <t>Olivia Bianchi</t>
        </is>
      </c>
      <c r="G1301" t="inlineStr">
        <is>
          <t>Poland</t>
        </is>
      </c>
      <c r="H1301" t="inlineStr">
        <is>
          <t>Web Store</t>
        </is>
      </c>
      <c r="I1301" t="n">
        <v>5</v>
      </c>
      <c r="J1301" s="3" t="n">
        <v>620.2</v>
      </c>
      <c r="K1301" s="3" t="n">
        <v>93.03</v>
      </c>
      <c r="L1301" s="3" t="n">
        <v>527.17</v>
      </c>
      <c r="M1301" s="3" t="n">
        <v>356.4</v>
      </c>
      <c r="N1301" s="3" t="n">
        <v>170.77</v>
      </c>
      <c r="O1301">
        <f>TEXT(A1301,"yyyy-mm")</f>
        <v/>
      </c>
    </row>
    <row r="1302">
      <c r="A1302" s="2" t="n">
        <v>45746</v>
      </c>
      <c r="B1302" t="n">
        <v>2025</v>
      </c>
      <c r="C1302" t="inlineStr">
        <is>
          <t>March</t>
        </is>
      </c>
      <c r="D1302" t="inlineStr">
        <is>
          <t>Essential Planter</t>
        </is>
      </c>
      <c r="E1302" t="inlineStr">
        <is>
          <t>Home &amp; Garden</t>
        </is>
      </c>
      <c r="F1302" t="inlineStr">
        <is>
          <t>Olivia Bianchi</t>
        </is>
      </c>
      <c r="G1302" t="inlineStr">
        <is>
          <t>Poland</t>
        </is>
      </c>
      <c r="H1302" t="inlineStr">
        <is>
          <t>Mobile App</t>
        </is>
      </c>
      <c r="I1302" t="n">
        <v>2</v>
      </c>
      <c r="J1302" s="3" t="n">
        <v>52.14</v>
      </c>
      <c r="K1302" s="3" t="n">
        <v>0</v>
      </c>
      <c r="L1302" s="3" t="n">
        <v>52.14</v>
      </c>
      <c r="M1302" s="3" t="n">
        <v>39.28</v>
      </c>
      <c r="N1302" s="3" t="n">
        <v>12.86</v>
      </c>
      <c r="O1302">
        <f>TEXT(A1302,"yyyy-mm")</f>
        <v/>
      </c>
    </row>
    <row r="1303">
      <c r="A1303" s="2" t="n">
        <v>45746</v>
      </c>
      <c r="B1303" t="n">
        <v>2025</v>
      </c>
      <c r="C1303" t="inlineStr">
        <is>
          <t>March</t>
        </is>
      </c>
      <c r="D1303" t="inlineStr">
        <is>
          <t>Eco Planter</t>
        </is>
      </c>
      <c r="E1303" t="inlineStr">
        <is>
          <t>Home &amp; Garden</t>
        </is>
      </c>
      <c r="F1303" t="inlineStr">
        <is>
          <t>Robert Weber</t>
        </is>
      </c>
      <c r="G1303" t="inlineStr">
        <is>
          <t>United States</t>
        </is>
      </c>
      <c r="H1303" t="inlineStr">
        <is>
          <t>Marketplace</t>
        </is>
      </c>
      <c r="I1303" t="n">
        <v>2</v>
      </c>
      <c r="J1303" s="3" t="n">
        <v>378.8</v>
      </c>
      <c r="K1303" s="3" t="n">
        <v>0</v>
      </c>
      <c r="L1303" s="3" t="n">
        <v>378.8</v>
      </c>
      <c r="M1303" s="3" t="n">
        <v>224.82</v>
      </c>
      <c r="N1303" s="3" t="n">
        <v>153.98</v>
      </c>
      <c r="O1303">
        <f>TEXT(A1303,"yyyy-mm")</f>
        <v/>
      </c>
    </row>
    <row r="1304">
      <c r="A1304" s="2" t="n">
        <v>45747</v>
      </c>
      <c r="B1304" t="n">
        <v>2025</v>
      </c>
      <c r="C1304" t="inlineStr">
        <is>
          <t>March</t>
        </is>
      </c>
      <c r="D1304" t="inlineStr">
        <is>
          <t>Smart Tea Set</t>
        </is>
      </c>
      <c r="E1304" t="inlineStr">
        <is>
          <t>Grocery</t>
        </is>
      </c>
      <c r="F1304" t="inlineStr">
        <is>
          <t>Sophie Schmidt</t>
        </is>
      </c>
      <c r="G1304" t="inlineStr">
        <is>
          <t>Germany</t>
        </is>
      </c>
      <c r="H1304" t="inlineStr">
        <is>
          <t>Web Store</t>
        </is>
      </c>
      <c r="I1304" t="n">
        <v>5</v>
      </c>
      <c r="J1304" s="3" t="n">
        <v>430.7</v>
      </c>
      <c r="K1304" s="3" t="n">
        <v>0</v>
      </c>
      <c r="L1304" s="3" t="n">
        <v>430.7</v>
      </c>
      <c r="M1304" s="3" t="n">
        <v>309</v>
      </c>
      <c r="N1304" s="3" t="n">
        <v>121.7</v>
      </c>
      <c r="O1304">
        <f>TEXT(A1304,"yyyy-mm")</f>
        <v/>
      </c>
    </row>
    <row r="1305">
      <c r="A1305" s="2" t="n">
        <v>45747</v>
      </c>
      <c r="B1305" t="n">
        <v>2025</v>
      </c>
      <c r="C1305" t="inlineStr">
        <is>
          <t>March</t>
        </is>
      </c>
      <c r="D1305" t="inlineStr">
        <is>
          <t>Portable Tea Set</t>
        </is>
      </c>
      <c r="E1305" t="inlineStr">
        <is>
          <t>Grocery</t>
        </is>
      </c>
      <c r="F1305" t="inlineStr">
        <is>
          <t>Sophie Schmidt</t>
        </is>
      </c>
      <c r="G1305" t="inlineStr">
        <is>
          <t>Germany</t>
        </is>
      </c>
      <c r="H1305" t="inlineStr">
        <is>
          <t>Web Store</t>
        </is>
      </c>
      <c r="I1305" t="n">
        <v>2</v>
      </c>
      <c r="J1305" s="3" t="n">
        <v>549.92</v>
      </c>
      <c r="K1305" s="3" t="n">
        <v>0</v>
      </c>
      <c r="L1305" s="3" t="n">
        <v>549.92</v>
      </c>
      <c r="M1305" s="3" t="n">
        <v>376.24</v>
      </c>
      <c r="N1305" s="3" t="n">
        <v>173.68</v>
      </c>
      <c r="O1305">
        <f>TEXT(A1305,"yyyy-mm")</f>
        <v/>
      </c>
    </row>
    <row r="1306">
      <c r="A1306" s="2" t="n">
        <v>45747</v>
      </c>
      <c r="B1306" t="n">
        <v>2025</v>
      </c>
      <c r="C1306" t="inlineStr">
        <is>
          <t>March</t>
        </is>
      </c>
      <c r="D1306" t="inlineStr">
        <is>
          <t>Essential Vitamins</t>
        </is>
      </c>
      <c r="E1306" t="inlineStr">
        <is>
          <t>Beauty &amp; Health</t>
        </is>
      </c>
      <c r="F1306" t="inlineStr">
        <is>
          <t>Sophie Schmidt</t>
        </is>
      </c>
      <c r="G1306" t="inlineStr">
        <is>
          <t>Germany</t>
        </is>
      </c>
      <c r="H1306" t="inlineStr">
        <is>
          <t>Web Store</t>
        </is>
      </c>
      <c r="I1306" t="n">
        <v>4</v>
      </c>
      <c r="J1306" s="3" t="n">
        <v>691.36</v>
      </c>
      <c r="K1306" s="3" t="n">
        <v>103.7</v>
      </c>
      <c r="L1306" s="3" t="n">
        <v>587.66</v>
      </c>
      <c r="M1306" s="3" t="n">
        <v>441.2</v>
      </c>
      <c r="N1306" s="3" t="n">
        <v>146.46</v>
      </c>
      <c r="O1306">
        <f>TEXT(A1306,"yyyy-mm")</f>
        <v/>
      </c>
    </row>
    <row r="1307">
      <c r="A1307" s="2" t="n">
        <v>45747</v>
      </c>
      <c r="B1307" t="n">
        <v>2025</v>
      </c>
      <c r="C1307" t="inlineStr">
        <is>
          <t>March</t>
        </is>
      </c>
      <c r="D1307" t="inlineStr">
        <is>
          <t>Essential Pasta</t>
        </is>
      </c>
      <c r="E1307" t="inlineStr">
        <is>
          <t>Grocery</t>
        </is>
      </c>
      <c r="F1307" t="inlineStr">
        <is>
          <t>Anna Martin</t>
        </is>
      </c>
      <c r="G1307" t="inlineStr">
        <is>
          <t>France</t>
        </is>
      </c>
      <c r="H1307" t="inlineStr">
        <is>
          <t>Web Store</t>
        </is>
      </c>
      <c r="I1307" t="n">
        <v>1</v>
      </c>
      <c r="J1307" s="3" t="n">
        <v>57.63</v>
      </c>
      <c r="K1307" s="3" t="n">
        <v>11.53</v>
      </c>
      <c r="L1307" s="3" t="n">
        <v>46.1</v>
      </c>
      <c r="M1307" s="3" t="n">
        <v>35.81</v>
      </c>
      <c r="N1307" s="3" t="n">
        <v>10.29</v>
      </c>
      <c r="O1307">
        <f>TEXT(A1307,"yyyy-mm")</f>
        <v/>
      </c>
    </row>
    <row r="1308">
      <c r="A1308" s="2" t="n">
        <v>45747</v>
      </c>
      <c r="B1308" t="n">
        <v>2025</v>
      </c>
      <c r="C1308" t="inlineStr">
        <is>
          <t>March</t>
        </is>
      </c>
      <c r="D1308" t="inlineStr">
        <is>
          <t>Smart Face Cream</t>
        </is>
      </c>
      <c r="E1308" t="inlineStr">
        <is>
          <t>Beauty &amp; Health</t>
        </is>
      </c>
      <c r="F1308" t="inlineStr">
        <is>
          <t>Anna Martin</t>
        </is>
      </c>
      <c r="G1308" t="inlineStr">
        <is>
          <t>France</t>
        </is>
      </c>
      <c r="H1308" t="inlineStr">
        <is>
          <t>Web Store</t>
        </is>
      </c>
      <c r="I1308" t="n">
        <v>2</v>
      </c>
      <c r="J1308" s="3" t="n">
        <v>531.14</v>
      </c>
      <c r="K1308" s="3" t="n">
        <v>0</v>
      </c>
      <c r="L1308" s="3" t="n">
        <v>531.14</v>
      </c>
      <c r="M1308" s="3" t="n">
        <v>386.28</v>
      </c>
      <c r="N1308" s="3" t="n">
        <v>144.86</v>
      </c>
      <c r="O1308">
        <f>TEXT(A1308,"yyyy-mm")</f>
        <v/>
      </c>
    </row>
    <row r="1309">
      <c r="A1309" s="2" t="n">
        <v>45747</v>
      </c>
      <c r="B1309" t="n">
        <v>2025</v>
      </c>
      <c r="C1309" t="inlineStr">
        <is>
          <t>March</t>
        </is>
      </c>
      <c r="D1309" t="inlineStr">
        <is>
          <t>Wireless Coffee Beans</t>
        </is>
      </c>
      <c r="E1309" t="inlineStr">
        <is>
          <t>Grocery</t>
        </is>
      </c>
      <c r="F1309" t="inlineStr">
        <is>
          <t>Olivia Wilson</t>
        </is>
      </c>
      <c r="G1309" t="inlineStr">
        <is>
          <t>Germany</t>
        </is>
      </c>
      <c r="H1309" t="inlineStr">
        <is>
          <t>Marketplace</t>
        </is>
      </c>
      <c r="I1309" t="n">
        <v>1</v>
      </c>
      <c r="J1309" s="3" t="n">
        <v>125.96</v>
      </c>
      <c r="K1309" s="3" t="n">
        <v>0</v>
      </c>
      <c r="L1309" s="3" t="n">
        <v>125.96</v>
      </c>
      <c r="M1309" s="3" t="n">
        <v>79.37</v>
      </c>
      <c r="N1309" s="3" t="n">
        <v>46.59</v>
      </c>
      <c r="O1309">
        <f>TEXT(A1309,"yyyy-mm")</f>
        <v/>
      </c>
    </row>
    <row r="1310">
      <c r="A1310" s="2" t="n">
        <v>45747</v>
      </c>
      <c r="B1310" t="n">
        <v>2025</v>
      </c>
      <c r="C1310" t="inlineStr">
        <is>
          <t>March</t>
        </is>
      </c>
      <c r="D1310" t="inlineStr">
        <is>
          <t>Smart Jeans</t>
        </is>
      </c>
      <c r="E1310" t="inlineStr">
        <is>
          <t>Clothing</t>
        </is>
      </c>
      <c r="F1310" t="inlineStr">
        <is>
          <t>Olivia Wilson</t>
        </is>
      </c>
      <c r="G1310" t="inlineStr">
        <is>
          <t>Germany</t>
        </is>
      </c>
      <c r="H1310" t="inlineStr">
        <is>
          <t>Marketplace</t>
        </is>
      </c>
      <c r="I1310" t="n">
        <v>3</v>
      </c>
      <c r="J1310" s="3" t="n">
        <v>823.14</v>
      </c>
      <c r="K1310" s="3" t="n">
        <v>0</v>
      </c>
      <c r="L1310" s="3" t="n">
        <v>823.14</v>
      </c>
      <c r="M1310" s="3" t="n">
        <v>580.92</v>
      </c>
      <c r="N1310" s="3" t="n">
        <v>242.22</v>
      </c>
      <c r="O1310">
        <f>TEXT(A1310,"yyyy-mm")</f>
        <v/>
      </c>
    </row>
    <row r="1311">
      <c r="A1311" s="2" t="n">
        <v>45747</v>
      </c>
      <c r="B1311" t="n">
        <v>2025</v>
      </c>
      <c r="C1311" t="inlineStr">
        <is>
          <t>March</t>
        </is>
      </c>
      <c r="D1311" t="inlineStr">
        <is>
          <t>Premium Tent</t>
        </is>
      </c>
      <c r="E1311" t="inlineStr">
        <is>
          <t>Sports &amp; Outdoors</t>
        </is>
      </c>
      <c r="F1311" t="inlineStr">
        <is>
          <t>Laura Muller</t>
        </is>
      </c>
      <c r="G1311" t="inlineStr">
        <is>
          <t>Italy</t>
        </is>
      </c>
      <c r="H1311" t="inlineStr">
        <is>
          <t>Retail Store</t>
        </is>
      </c>
      <c r="I1311" t="n">
        <v>3</v>
      </c>
      <c r="J1311" s="3" t="n">
        <v>737.76</v>
      </c>
      <c r="K1311" s="3" t="n">
        <v>0</v>
      </c>
      <c r="L1311" s="3" t="n">
        <v>737.76</v>
      </c>
      <c r="M1311" s="3" t="n">
        <v>417.12</v>
      </c>
      <c r="N1311" s="3" t="n">
        <v>320.64</v>
      </c>
      <c r="O1311">
        <f>TEXT(A1311,"yyyy-mm")</f>
        <v/>
      </c>
    </row>
    <row r="1312">
      <c r="A1312" s="2" t="n">
        <v>45747</v>
      </c>
      <c r="B1312" t="n">
        <v>2025</v>
      </c>
      <c r="C1312" t="inlineStr">
        <is>
          <t>March</t>
        </is>
      </c>
      <c r="D1312" t="inlineStr">
        <is>
          <t>Deluxe Cookbook</t>
        </is>
      </c>
      <c r="E1312" t="inlineStr">
        <is>
          <t>Books</t>
        </is>
      </c>
      <c r="F1312" t="inlineStr">
        <is>
          <t>Laura Muller</t>
        </is>
      </c>
      <c r="G1312" t="inlineStr">
        <is>
          <t>Italy</t>
        </is>
      </c>
      <c r="H1312" t="inlineStr">
        <is>
          <t>Retail Store</t>
        </is>
      </c>
      <c r="I1312" t="n">
        <v>1</v>
      </c>
      <c r="J1312" s="3" t="n">
        <v>131.81</v>
      </c>
      <c r="K1312" s="3" t="n">
        <v>0</v>
      </c>
      <c r="L1312" s="3" t="n">
        <v>131.81</v>
      </c>
      <c r="M1312" s="3" t="n">
        <v>85.27</v>
      </c>
      <c r="N1312" s="3" t="n">
        <v>46.54</v>
      </c>
      <c r="O1312">
        <f>TEXT(A1312,"yyyy-mm")</f>
        <v/>
      </c>
    </row>
    <row r="1313">
      <c r="A1313" s="2" t="n">
        <v>45747</v>
      </c>
      <c r="B1313" t="n">
        <v>2025</v>
      </c>
      <c r="C1313" t="inlineStr">
        <is>
          <t>March</t>
        </is>
      </c>
      <c r="D1313" t="inlineStr">
        <is>
          <t>Wireless Backpack</t>
        </is>
      </c>
      <c r="E1313" t="inlineStr">
        <is>
          <t>Sports &amp; Outdoors</t>
        </is>
      </c>
      <c r="F1313" t="inlineStr">
        <is>
          <t>Laura Muller</t>
        </is>
      </c>
      <c r="G1313" t="inlineStr">
        <is>
          <t>Italy</t>
        </is>
      </c>
      <c r="H1313" t="inlineStr">
        <is>
          <t>Retail Store</t>
        </is>
      </c>
      <c r="I1313" t="n">
        <v>5</v>
      </c>
      <c r="J1313" s="3" t="n">
        <v>236.5</v>
      </c>
      <c r="K1313" s="3" t="n">
        <v>47.3</v>
      </c>
      <c r="L1313" s="3" t="n">
        <v>189.2</v>
      </c>
      <c r="M1313" s="3" t="n">
        <v>140.5</v>
      </c>
      <c r="N1313" s="3" t="n">
        <v>48.7</v>
      </c>
      <c r="O1313">
        <f>TEXT(A1313,"yyyy-mm")</f>
        <v/>
      </c>
    </row>
    <row r="1314">
      <c r="A1314" s="2" t="n">
        <v>45747</v>
      </c>
      <c r="B1314" t="n">
        <v>2025</v>
      </c>
      <c r="C1314" t="inlineStr">
        <is>
          <t>March</t>
        </is>
      </c>
      <c r="D1314" t="inlineStr">
        <is>
          <t>Premium Water Bottle</t>
        </is>
      </c>
      <c r="E1314" t="inlineStr">
        <is>
          <t>Sports &amp; Outdoors</t>
        </is>
      </c>
      <c r="F1314" t="inlineStr">
        <is>
          <t>Laura Muller</t>
        </is>
      </c>
      <c r="G1314" t="inlineStr">
        <is>
          <t>Italy</t>
        </is>
      </c>
      <c r="H1314" t="inlineStr">
        <is>
          <t>Retail Store</t>
        </is>
      </c>
      <c r="I1314" t="n">
        <v>2</v>
      </c>
      <c r="J1314" s="3" t="n">
        <v>636.66</v>
      </c>
      <c r="K1314" s="3" t="n">
        <v>31.83</v>
      </c>
      <c r="L1314" s="3" t="n">
        <v>604.83</v>
      </c>
      <c r="M1314" s="3" t="n">
        <v>362.32</v>
      </c>
      <c r="N1314" s="3" t="n">
        <v>242.51</v>
      </c>
      <c r="O1314">
        <f>TEXT(A1314,"yyyy-mm")</f>
        <v/>
      </c>
    </row>
    <row r="1315">
      <c r="A1315" s="2" t="n">
        <v>45747</v>
      </c>
      <c r="B1315" t="n">
        <v>2025</v>
      </c>
      <c r="C1315" t="inlineStr">
        <is>
          <t>March</t>
        </is>
      </c>
      <c r="D1315" t="inlineStr">
        <is>
          <t>Smart Puzzle</t>
        </is>
      </c>
      <c r="E1315" t="inlineStr">
        <is>
          <t>Toys &amp; Games</t>
        </is>
      </c>
      <c r="F1315" t="inlineStr">
        <is>
          <t>Sophie Schmidt</t>
        </is>
      </c>
      <c r="G1315" t="inlineStr">
        <is>
          <t>Germany</t>
        </is>
      </c>
      <c r="H1315" t="inlineStr">
        <is>
          <t>Retail Store</t>
        </is>
      </c>
      <c r="I1315" t="n">
        <v>3</v>
      </c>
      <c r="J1315" s="3" t="n">
        <v>141.99</v>
      </c>
      <c r="K1315" s="3" t="n">
        <v>14.2</v>
      </c>
      <c r="L1315" s="3" t="n">
        <v>127.79</v>
      </c>
      <c r="M1315" s="3" t="n">
        <v>73.31999999999999</v>
      </c>
      <c r="N1315" s="3" t="n">
        <v>54.47</v>
      </c>
      <c r="O1315">
        <f>TEXT(A1315,"yyyy-mm")</f>
        <v/>
      </c>
    </row>
    <row r="1316">
      <c r="A1316" s="2" t="n">
        <v>45747</v>
      </c>
      <c r="B1316" t="n">
        <v>2025</v>
      </c>
      <c r="C1316" t="inlineStr">
        <is>
          <t>March</t>
        </is>
      </c>
      <c r="D1316" t="inlineStr">
        <is>
          <t>Compact Sunscreen</t>
        </is>
      </c>
      <c r="E1316" t="inlineStr">
        <is>
          <t>Beauty &amp; Health</t>
        </is>
      </c>
      <c r="F1316" t="inlineStr">
        <is>
          <t>Sophie Schmidt</t>
        </is>
      </c>
      <c r="G1316" t="inlineStr">
        <is>
          <t>Germany</t>
        </is>
      </c>
      <c r="H1316" t="inlineStr">
        <is>
          <t>Retail Store</t>
        </is>
      </c>
      <c r="I1316" t="n">
        <v>1</v>
      </c>
      <c r="J1316" s="3" t="n">
        <v>304.12</v>
      </c>
      <c r="K1316" s="3" t="n">
        <v>30.41</v>
      </c>
      <c r="L1316" s="3" t="n">
        <v>273.71</v>
      </c>
      <c r="M1316" s="3" t="n">
        <v>177.66</v>
      </c>
      <c r="N1316" s="3" t="n">
        <v>96.05</v>
      </c>
      <c r="O1316">
        <f>TEXT(A1316,"yyyy-mm")</f>
        <v/>
      </c>
    </row>
    <row r="1317">
      <c r="A1317" s="2" t="n">
        <v>45747</v>
      </c>
      <c r="B1317" t="n">
        <v>2025</v>
      </c>
      <c r="C1317" t="inlineStr">
        <is>
          <t>March</t>
        </is>
      </c>
      <c r="D1317" t="inlineStr">
        <is>
          <t>Ultra Backpack</t>
        </is>
      </c>
      <c r="E1317" t="inlineStr">
        <is>
          <t>Sports &amp; Outdoors</t>
        </is>
      </c>
      <c r="F1317" t="inlineStr">
        <is>
          <t>Sophie Schmidt</t>
        </is>
      </c>
      <c r="G1317" t="inlineStr">
        <is>
          <t>Germany</t>
        </is>
      </c>
      <c r="H1317" t="inlineStr">
        <is>
          <t>Retail Store</t>
        </is>
      </c>
      <c r="I1317" t="n">
        <v>4</v>
      </c>
      <c r="J1317" s="3" t="n">
        <v>1270.32</v>
      </c>
      <c r="K1317" s="3" t="n">
        <v>254.06</v>
      </c>
      <c r="L1317" s="3" t="n">
        <v>1016.26</v>
      </c>
      <c r="M1317" s="3" t="n">
        <v>694.76</v>
      </c>
      <c r="N1317" s="3" t="n">
        <v>321.5</v>
      </c>
      <c r="O1317">
        <f>TEXT(A1317,"yyyy-mm")</f>
        <v/>
      </c>
    </row>
    <row r="1318">
      <c r="A1318" s="2" t="n">
        <v>45747</v>
      </c>
      <c r="B1318" t="n">
        <v>2025</v>
      </c>
      <c r="C1318" t="inlineStr">
        <is>
          <t>March</t>
        </is>
      </c>
      <c r="D1318" t="inlineStr">
        <is>
          <t>Smart Olive Oil</t>
        </is>
      </c>
      <c r="E1318" t="inlineStr">
        <is>
          <t>Grocery</t>
        </is>
      </c>
      <c r="F1318" t="inlineStr">
        <is>
          <t>Olivia Bianchi</t>
        </is>
      </c>
      <c r="G1318" t="inlineStr">
        <is>
          <t>Spain</t>
        </is>
      </c>
      <c r="H1318" t="inlineStr">
        <is>
          <t>Marketplace</t>
        </is>
      </c>
      <c r="I1318" t="n">
        <v>1</v>
      </c>
      <c r="J1318" s="3" t="n">
        <v>165.02</v>
      </c>
      <c r="K1318" s="3" t="n">
        <v>0</v>
      </c>
      <c r="L1318" s="3" t="n">
        <v>165.02</v>
      </c>
      <c r="M1318" s="3" t="n">
        <v>110.02</v>
      </c>
      <c r="N1318" s="3" t="n">
        <v>55</v>
      </c>
      <c r="O1318">
        <f>TEXT(A1318,"yyyy-mm")</f>
        <v/>
      </c>
    </row>
    <row r="1319">
      <c r="A1319" s="2" t="n">
        <v>45747</v>
      </c>
      <c r="B1319" t="n">
        <v>2025</v>
      </c>
      <c r="C1319" t="inlineStr">
        <is>
          <t>March</t>
        </is>
      </c>
      <c r="D1319" t="inlineStr">
        <is>
          <t>Wireless Cookbook</t>
        </is>
      </c>
      <c r="E1319" t="inlineStr">
        <is>
          <t>Books</t>
        </is>
      </c>
      <c r="F1319" t="inlineStr">
        <is>
          <t>Peter Martin</t>
        </is>
      </c>
      <c r="G1319" t="inlineStr">
        <is>
          <t>Germany</t>
        </is>
      </c>
      <c r="H1319" t="inlineStr">
        <is>
          <t>Marketplace</t>
        </is>
      </c>
      <c r="I1319" t="n">
        <v>5</v>
      </c>
      <c r="J1319" s="3" t="n">
        <v>390.6</v>
      </c>
      <c r="K1319" s="3" t="n">
        <v>0</v>
      </c>
      <c r="L1319" s="3" t="n">
        <v>390.6</v>
      </c>
      <c r="M1319" s="3" t="n">
        <v>283.05</v>
      </c>
      <c r="N1319" s="3" t="n">
        <v>107.55</v>
      </c>
      <c r="O1319">
        <f>TEXT(A1319,"yyyy-mm")</f>
        <v/>
      </c>
    </row>
    <row r="1320">
      <c r="A1320" s="2" t="n">
        <v>45747</v>
      </c>
      <c r="B1320" t="n">
        <v>2025</v>
      </c>
      <c r="C1320" t="inlineStr">
        <is>
          <t>March</t>
        </is>
      </c>
      <c r="D1320" t="inlineStr">
        <is>
          <t>Wireless Drone</t>
        </is>
      </c>
      <c r="E1320" t="inlineStr">
        <is>
          <t>Toys &amp; Games</t>
        </is>
      </c>
      <c r="F1320" t="inlineStr">
        <is>
          <t>Peter Martin</t>
        </is>
      </c>
      <c r="G1320" t="inlineStr">
        <is>
          <t>Germany</t>
        </is>
      </c>
      <c r="H1320" t="inlineStr">
        <is>
          <t>Marketplace</t>
        </is>
      </c>
      <c r="I1320" t="n">
        <v>2</v>
      </c>
      <c r="J1320" s="3" t="n">
        <v>449.9</v>
      </c>
      <c r="K1320" s="3" t="n">
        <v>0</v>
      </c>
      <c r="L1320" s="3" t="n">
        <v>449.9</v>
      </c>
      <c r="M1320" s="3" t="n">
        <v>262.58</v>
      </c>
      <c r="N1320" s="3" t="n">
        <v>187.32</v>
      </c>
      <c r="O1320">
        <f>TEXT(A1320,"yyyy-mm")</f>
        <v/>
      </c>
    </row>
    <row r="1321">
      <c r="A1321" s="2" t="n">
        <v>45747</v>
      </c>
      <c r="B1321" t="n">
        <v>2025</v>
      </c>
      <c r="C1321" t="inlineStr">
        <is>
          <t>March</t>
        </is>
      </c>
      <c r="D1321" t="inlineStr">
        <is>
          <t>Essential Lamp</t>
        </is>
      </c>
      <c r="E1321" t="inlineStr">
        <is>
          <t>Home &amp; Garden</t>
        </is>
      </c>
      <c r="F1321" t="inlineStr">
        <is>
          <t>Olivia Bianchi</t>
        </is>
      </c>
      <c r="G1321" t="inlineStr">
        <is>
          <t>Spain</t>
        </is>
      </c>
      <c r="H1321" t="inlineStr">
        <is>
          <t>Marketplace</t>
        </is>
      </c>
      <c r="I1321" t="n">
        <v>5</v>
      </c>
      <c r="J1321" s="3" t="n">
        <v>336.15</v>
      </c>
      <c r="K1321" s="3" t="n">
        <v>16.81</v>
      </c>
      <c r="L1321" s="3" t="n">
        <v>319.34</v>
      </c>
      <c r="M1321" s="3" t="n">
        <v>227</v>
      </c>
      <c r="N1321" s="3" t="n">
        <v>92.34</v>
      </c>
      <c r="O1321">
        <f>TEXT(A1321,"yyyy-mm")</f>
        <v/>
      </c>
    </row>
    <row r="1322">
      <c r="A1322" s="2" t="n">
        <v>45747</v>
      </c>
      <c r="B1322" t="n">
        <v>2025</v>
      </c>
      <c r="C1322" t="inlineStr">
        <is>
          <t>March</t>
        </is>
      </c>
      <c r="D1322" t="inlineStr">
        <is>
          <t>Deluxe Puzzle</t>
        </is>
      </c>
      <c r="E1322" t="inlineStr">
        <is>
          <t>Toys &amp; Games</t>
        </is>
      </c>
      <c r="F1322" t="inlineStr">
        <is>
          <t>Olivia Bianchi</t>
        </is>
      </c>
      <c r="G1322" t="inlineStr">
        <is>
          <t>Spain</t>
        </is>
      </c>
      <c r="H1322" t="inlineStr">
        <is>
          <t>Marketplace</t>
        </is>
      </c>
      <c r="I1322" t="n">
        <v>3</v>
      </c>
      <c r="J1322" s="3" t="n">
        <v>649.14</v>
      </c>
      <c r="K1322" s="3" t="n">
        <v>32.46</v>
      </c>
      <c r="L1322" s="3" t="n">
        <v>616.6799999999999</v>
      </c>
      <c r="M1322" s="3" t="n">
        <v>333.51</v>
      </c>
      <c r="N1322" s="3" t="n">
        <v>283.17</v>
      </c>
      <c r="O1322">
        <f>TEXT(A1322,"yyyy-mm")</f>
        <v/>
      </c>
    </row>
    <row r="1323">
      <c r="A1323" s="2" t="n">
        <v>45747</v>
      </c>
      <c r="B1323" t="n">
        <v>2025</v>
      </c>
      <c r="C1323" t="inlineStr">
        <is>
          <t>March</t>
        </is>
      </c>
      <c r="D1323" t="inlineStr">
        <is>
          <t>Compact Jacket</t>
        </is>
      </c>
      <c r="E1323" t="inlineStr">
        <is>
          <t>Clothing</t>
        </is>
      </c>
      <c r="F1323" t="inlineStr">
        <is>
          <t>Olivia Bianchi</t>
        </is>
      </c>
      <c r="G1323" t="inlineStr">
        <is>
          <t>Spain</t>
        </is>
      </c>
      <c r="H1323" t="inlineStr">
        <is>
          <t>Marketplace</t>
        </is>
      </c>
      <c r="I1323" t="n">
        <v>4</v>
      </c>
      <c r="J1323" s="3" t="n">
        <v>156.08</v>
      </c>
      <c r="K1323" s="3" t="n">
        <v>31.22</v>
      </c>
      <c r="L1323" s="3" t="n">
        <v>124.86</v>
      </c>
      <c r="M1323" s="3" t="n">
        <v>81.59999999999999</v>
      </c>
      <c r="N1323" s="3" t="n">
        <v>43.26</v>
      </c>
      <c r="O1323">
        <f>TEXT(A1323,"yyyy-mm")</f>
        <v/>
      </c>
    </row>
    <row r="1324">
      <c r="A1324" s="2" t="n">
        <v>45748</v>
      </c>
      <c r="B1324" t="n">
        <v>2025</v>
      </c>
      <c r="C1324" t="inlineStr">
        <is>
          <t>April</t>
        </is>
      </c>
      <c r="D1324" t="inlineStr">
        <is>
          <t>Premium Tent</t>
        </is>
      </c>
      <c r="E1324" t="inlineStr">
        <is>
          <t>Sports &amp; Outdoors</t>
        </is>
      </c>
      <c r="F1324" t="inlineStr">
        <is>
          <t>Olivia Wojcik</t>
        </is>
      </c>
      <c r="G1324" t="inlineStr">
        <is>
          <t>France</t>
        </is>
      </c>
      <c r="H1324" t="inlineStr">
        <is>
          <t>Web Store</t>
        </is>
      </c>
      <c r="I1324" t="n">
        <v>5</v>
      </c>
      <c r="J1324" s="3" t="n">
        <v>681.2</v>
      </c>
      <c r="K1324" s="3" t="n">
        <v>68.12</v>
      </c>
      <c r="L1324" s="3" t="n">
        <v>613.08</v>
      </c>
      <c r="M1324" s="3" t="n">
        <v>482</v>
      </c>
      <c r="N1324" s="3" t="n">
        <v>131.08</v>
      </c>
      <c r="O1324">
        <f>TEXT(A1324,"yyyy-mm")</f>
        <v/>
      </c>
    </row>
    <row r="1325">
      <c r="A1325" s="2" t="n">
        <v>45748</v>
      </c>
      <c r="B1325" t="n">
        <v>2025</v>
      </c>
      <c r="C1325" t="inlineStr">
        <is>
          <t>April</t>
        </is>
      </c>
      <c r="D1325" t="inlineStr">
        <is>
          <t>Smart Puzzle</t>
        </is>
      </c>
      <c r="E1325" t="inlineStr">
        <is>
          <t>Toys &amp; Games</t>
        </is>
      </c>
      <c r="F1325" t="inlineStr">
        <is>
          <t>Robert Wilson</t>
        </is>
      </c>
      <c r="G1325" t="inlineStr">
        <is>
          <t>Germany</t>
        </is>
      </c>
      <c r="H1325" t="inlineStr">
        <is>
          <t>Web Store</t>
        </is>
      </c>
      <c r="I1325" t="n">
        <v>5</v>
      </c>
      <c r="J1325" s="3" t="n">
        <v>1281.6</v>
      </c>
      <c r="K1325" s="3" t="n">
        <v>0</v>
      </c>
      <c r="L1325" s="3" t="n">
        <v>1281.6</v>
      </c>
      <c r="M1325" s="3" t="n">
        <v>963.8</v>
      </c>
      <c r="N1325" s="3" t="n">
        <v>317.8</v>
      </c>
      <c r="O1325">
        <f>TEXT(A1325,"yyyy-mm")</f>
        <v/>
      </c>
    </row>
    <row r="1326">
      <c r="A1326" s="2" t="n">
        <v>45748</v>
      </c>
      <c r="B1326" t="n">
        <v>2025</v>
      </c>
      <c r="C1326" t="inlineStr">
        <is>
          <t>April</t>
        </is>
      </c>
      <c r="D1326" t="inlineStr">
        <is>
          <t>Classic Sunscreen</t>
        </is>
      </c>
      <c r="E1326" t="inlineStr">
        <is>
          <t>Beauty &amp; Health</t>
        </is>
      </c>
      <c r="F1326" t="inlineStr">
        <is>
          <t>Robert Wilson</t>
        </is>
      </c>
      <c r="G1326" t="inlineStr">
        <is>
          <t>Germany</t>
        </is>
      </c>
      <c r="H1326" t="inlineStr">
        <is>
          <t>Web Store</t>
        </is>
      </c>
      <c r="I1326" t="n">
        <v>2</v>
      </c>
      <c r="J1326" s="3" t="n">
        <v>282.82</v>
      </c>
      <c r="K1326" s="3" t="n">
        <v>0</v>
      </c>
      <c r="L1326" s="3" t="n">
        <v>282.82</v>
      </c>
      <c r="M1326" s="3" t="n">
        <v>187.38</v>
      </c>
      <c r="N1326" s="3" t="n">
        <v>95.44</v>
      </c>
      <c r="O1326">
        <f>TEXT(A1326,"yyyy-mm")</f>
        <v/>
      </c>
    </row>
    <row r="1327">
      <c r="A1327" s="2" t="n">
        <v>45748</v>
      </c>
      <c r="B1327" t="n">
        <v>2025</v>
      </c>
      <c r="C1327" t="inlineStr">
        <is>
          <t>April</t>
        </is>
      </c>
      <c r="D1327" t="inlineStr">
        <is>
          <t>Portable Bike Helmet</t>
        </is>
      </c>
      <c r="E1327" t="inlineStr">
        <is>
          <t>Sports &amp; Outdoors</t>
        </is>
      </c>
      <c r="F1327" t="inlineStr">
        <is>
          <t>Robert Wilson</t>
        </is>
      </c>
      <c r="G1327" t="inlineStr">
        <is>
          <t>Germany</t>
        </is>
      </c>
      <c r="H1327" t="inlineStr">
        <is>
          <t>Web Store</t>
        </is>
      </c>
      <c r="I1327" t="n">
        <v>5</v>
      </c>
      <c r="J1327" s="3" t="n">
        <v>1541.85</v>
      </c>
      <c r="K1327" s="3" t="n">
        <v>308.37</v>
      </c>
      <c r="L1327" s="3" t="n">
        <v>1233.48</v>
      </c>
      <c r="M1327" s="3" t="n">
        <v>826.85</v>
      </c>
      <c r="N1327" s="3" t="n">
        <v>406.63</v>
      </c>
      <c r="O1327">
        <f>TEXT(A1327,"yyyy-mm")</f>
        <v/>
      </c>
    </row>
    <row r="1328">
      <c r="A1328" s="2" t="n">
        <v>45748</v>
      </c>
      <c r="B1328" t="n">
        <v>2025</v>
      </c>
      <c r="C1328" t="inlineStr">
        <is>
          <t>April</t>
        </is>
      </c>
      <c r="D1328" t="inlineStr">
        <is>
          <t>Essential Pasta</t>
        </is>
      </c>
      <c r="E1328" t="inlineStr">
        <is>
          <t>Grocery</t>
        </is>
      </c>
      <c r="F1328" t="inlineStr">
        <is>
          <t>Robert Wilson</t>
        </is>
      </c>
      <c r="G1328" t="inlineStr">
        <is>
          <t>Germany</t>
        </is>
      </c>
      <c r="H1328" t="inlineStr">
        <is>
          <t>Web Store</t>
        </is>
      </c>
      <c r="I1328" t="n">
        <v>4</v>
      </c>
      <c r="J1328" s="3" t="n">
        <v>232</v>
      </c>
      <c r="K1328" s="3" t="n">
        <v>0</v>
      </c>
      <c r="L1328" s="3" t="n">
        <v>232</v>
      </c>
      <c r="M1328" s="3" t="n">
        <v>143.24</v>
      </c>
      <c r="N1328" s="3" t="n">
        <v>88.76000000000001</v>
      </c>
      <c r="O1328">
        <f>TEXT(A1328,"yyyy-mm")</f>
        <v/>
      </c>
    </row>
    <row r="1329">
      <c r="A1329" s="2" t="n">
        <v>45748</v>
      </c>
      <c r="B1329" t="n">
        <v>2025</v>
      </c>
      <c r="C1329" t="inlineStr">
        <is>
          <t>April</t>
        </is>
      </c>
      <c r="D1329" t="inlineStr">
        <is>
          <t>Portable Puzzle</t>
        </is>
      </c>
      <c r="E1329" t="inlineStr">
        <is>
          <t>Toys &amp; Games</t>
        </is>
      </c>
      <c r="F1329" t="inlineStr">
        <is>
          <t>Robert Rossi</t>
        </is>
      </c>
      <c r="G1329" t="inlineStr">
        <is>
          <t>Italy</t>
        </is>
      </c>
      <c r="H1329" t="inlineStr">
        <is>
          <t>Mobile App</t>
        </is>
      </c>
      <c r="I1329" t="n">
        <v>2</v>
      </c>
      <c r="J1329" s="3" t="n">
        <v>642.72</v>
      </c>
      <c r="K1329" s="3" t="n">
        <v>96.41</v>
      </c>
      <c r="L1329" s="3" t="n">
        <v>546.3099999999999</v>
      </c>
      <c r="M1329" s="3" t="n">
        <v>347.32</v>
      </c>
      <c r="N1329" s="3" t="n">
        <v>198.99</v>
      </c>
      <c r="O1329">
        <f>TEXT(A1329,"yyyy-mm")</f>
        <v/>
      </c>
    </row>
    <row r="1330">
      <c r="A1330" s="2" t="n">
        <v>45748</v>
      </c>
      <c r="B1330" t="n">
        <v>2025</v>
      </c>
      <c r="C1330" t="inlineStr">
        <is>
          <t>April</t>
        </is>
      </c>
      <c r="D1330" t="inlineStr">
        <is>
          <t>Smart Honey</t>
        </is>
      </c>
      <c r="E1330" t="inlineStr">
        <is>
          <t>Grocery</t>
        </is>
      </c>
      <c r="F1330" t="inlineStr">
        <is>
          <t>Robert Rossi</t>
        </is>
      </c>
      <c r="G1330" t="inlineStr">
        <is>
          <t>Italy</t>
        </is>
      </c>
      <c r="H1330" t="inlineStr">
        <is>
          <t>Mobile App</t>
        </is>
      </c>
      <c r="I1330" t="n">
        <v>2</v>
      </c>
      <c r="J1330" s="3" t="n">
        <v>264.7</v>
      </c>
      <c r="K1330" s="3" t="n">
        <v>0</v>
      </c>
      <c r="L1330" s="3" t="n">
        <v>264.7</v>
      </c>
      <c r="M1330" s="3" t="n">
        <v>142.88</v>
      </c>
      <c r="N1330" s="3" t="n">
        <v>121.82</v>
      </c>
      <c r="O1330">
        <f>TEXT(A1330,"yyyy-mm")</f>
        <v/>
      </c>
    </row>
    <row r="1331">
      <c r="A1331" s="2" t="n">
        <v>45749</v>
      </c>
      <c r="B1331" t="n">
        <v>2025</v>
      </c>
      <c r="C1331" t="inlineStr">
        <is>
          <t>April</t>
        </is>
      </c>
      <c r="D1331" t="inlineStr">
        <is>
          <t>Essential Rug</t>
        </is>
      </c>
      <c r="E1331" t="inlineStr">
        <is>
          <t>Home &amp; Garden</t>
        </is>
      </c>
      <c r="F1331" t="inlineStr">
        <is>
          <t>Emily Fischer</t>
        </is>
      </c>
      <c r="G1331" t="inlineStr">
        <is>
          <t>Germany</t>
        </is>
      </c>
      <c r="H1331" t="inlineStr">
        <is>
          <t>Retail Store</t>
        </is>
      </c>
      <c r="I1331" t="n">
        <v>2</v>
      </c>
      <c r="J1331" s="3" t="n">
        <v>279.04</v>
      </c>
      <c r="K1331" s="3" t="n">
        <v>13.95</v>
      </c>
      <c r="L1331" s="3" t="n">
        <v>265.09</v>
      </c>
      <c r="M1331" s="3" t="n">
        <v>152.66</v>
      </c>
      <c r="N1331" s="3" t="n">
        <v>112.43</v>
      </c>
      <c r="O1331">
        <f>TEXT(A1331,"yyyy-mm")</f>
        <v/>
      </c>
    </row>
    <row r="1332">
      <c r="A1332" s="2" t="n">
        <v>45749</v>
      </c>
      <c r="B1332" t="n">
        <v>2025</v>
      </c>
      <c r="C1332" t="inlineStr">
        <is>
          <t>April</t>
        </is>
      </c>
      <c r="D1332" t="inlineStr">
        <is>
          <t>Classic Charger</t>
        </is>
      </c>
      <c r="E1332" t="inlineStr">
        <is>
          <t>Electronics</t>
        </is>
      </c>
      <c r="F1332" t="inlineStr">
        <is>
          <t>Emily Fischer</t>
        </is>
      </c>
      <c r="G1332" t="inlineStr">
        <is>
          <t>Germany</t>
        </is>
      </c>
      <c r="H1332" t="inlineStr">
        <is>
          <t>Retail Store</t>
        </is>
      </c>
      <c r="I1332" t="n">
        <v>4</v>
      </c>
      <c r="J1332" s="3" t="n">
        <v>384.2</v>
      </c>
      <c r="K1332" s="3" t="n">
        <v>76.84</v>
      </c>
      <c r="L1332" s="3" t="n">
        <v>307.36</v>
      </c>
      <c r="M1332" s="3" t="n">
        <v>248.84</v>
      </c>
      <c r="N1332" s="3" t="n">
        <v>58.52</v>
      </c>
      <c r="O1332">
        <f>TEXT(A1332,"yyyy-mm")</f>
        <v/>
      </c>
    </row>
    <row r="1333">
      <c r="A1333" s="2" t="n">
        <v>45749</v>
      </c>
      <c r="B1333" t="n">
        <v>2025</v>
      </c>
      <c r="C1333" t="inlineStr">
        <is>
          <t>April</t>
        </is>
      </c>
      <c r="D1333" t="inlineStr">
        <is>
          <t>Essential Lamp</t>
        </is>
      </c>
      <c r="E1333" t="inlineStr">
        <is>
          <t>Home &amp; Garden</t>
        </is>
      </c>
      <c r="F1333" t="inlineStr">
        <is>
          <t>Emily Fischer</t>
        </is>
      </c>
      <c r="G1333" t="inlineStr">
        <is>
          <t>Germany</t>
        </is>
      </c>
      <c r="H1333" t="inlineStr">
        <is>
          <t>Retail Store</t>
        </is>
      </c>
      <c r="I1333" t="n">
        <v>1</v>
      </c>
      <c r="J1333" s="3" t="n">
        <v>65.34999999999999</v>
      </c>
      <c r="K1333" s="3" t="n">
        <v>0</v>
      </c>
      <c r="L1333" s="3" t="n">
        <v>65.34999999999999</v>
      </c>
      <c r="M1333" s="3" t="n">
        <v>45.4</v>
      </c>
      <c r="N1333" s="3" t="n">
        <v>19.95</v>
      </c>
      <c r="O1333">
        <f>TEXT(A1333,"yyyy-mm")</f>
        <v/>
      </c>
    </row>
    <row r="1334">
      <c r="A1334" s="2" t="n">
        <v>45749</v>
      </c>
      <c r="B1334" t="n">
        <v>2025</v>
      </c>
      <c r="C1334" t="inlineStr">
        <is>
          <t>April</t>
        </is>
      </c>
      <c r="D1334" t="inlineStr">
        <is>
          <t>Smart Sweater</t>
        </is>
      </c>
      <c r="E1334" t="inlineStr">
        <is>
          <t>Clothing</t>
        </is>
      </c>
      <c r="F1334" t="inlineStr">
        <is>
          <t>Emily Fischer</t>
        </is>
      </c>
      <c r="G1334" t="inlineStr">
        <is>
          <t>Germany</t>
        </is>
      </c>
      <c r="H1334" t="inlineStr">
        <is>
          <t>Retail Store</t>
        </is>
      </c>
      <c r="I1334" t="n">
        <v>5</v>
      </c>
      <c r="J1334" s="3" t="n">
        <v>708.5</v>
      </c>
      <c r="K1334" s="3" t="n">
        <v>0</v>
      </c>
      <c r="L1334" s="3" t="n">
        <v>708.5</v>
      </c>
      <c r="M1334" s="3" t="n">
        <v>386.75</v>
      </c>
      <c r="N1334" s="3" t="n">
        <v>321.75</v>
      </c>
      <c r="O1334">
        <f>TEXT(A1334,"yyyy-mm")</f>
        <v/>
      </c>
    </row>
    <row r="1335">
      <c r="A1335" s="2" t="n">
        <v>45749</v>
      </c>
      <c r="B1335" t="n">
        <v>2025</v>
      </c>
      <c r="C1335" t="inlineStr">
        <is>
          <t>April</t>
        </is>
      </c>
      <c r="D1335" t="inlineStr">
        <is>
          <t>Smart Puzzle</t>
        </is>
      </c>
      <c r="E1335" t="inlineStr">
        <is>
          <t>Toys &amp; Games</t>
        </is>
      </c>
      <c r="F1335" t="inlineStr">
        <is>
          <t>Julia Wilson</t>
        </is>
      </c>
      <c r="G1335" t="inlineStr">
        <is>
          <t>United Kingdom</t>
        </is>
      </c>
      <c r="H1335" t="inlineStr">
        <is>
          <t>Marketplace</t>
        </is>
      </c>
      <c r="I1335" t="n">
        <v>4</v>
      </c>
      <c r="J1335" s="3" t="n">
        <v>183.64</v>
      </c>
      <c r="K1335" s="3" t="n">
        <v>0</v>
      </c>
      <c r="L1335" s="3" t="n">
        <v>183.64</v>
      </c>
      <c r="M1335" s="3" t="n">
        <v>97.76000000000001</v>
      </c>
      <c r="N1335" s="3" t="n">
        <v>85.88</v>
      </c>
      <c r="O1335">
        <f>TEXT(A1335,"yyyy-mm")</f>
        <v/>
      </c>
    </row>
    <row r="1336">
      <c r="A1336" s="2" t="n">
        <v>45749</v>
      </c>
      <c r="B1336" t="n">
        <v>2025</v>
      </c>
      <c r="C1336" t="inlineStr">
        <is>
          <t>April</t>
        </is>
      </c>
      <c r="D1336" t="inlineStr">
        <is>
          <t>Smart Face Cream</t>
        </is>
      </c>
      <c r="E1336" t="inlineStr">
        <is>
          <t>Beauty &amp; Health</t>
        </is>
      </c>
      <c r="F1336" t="inlineStr">
        <is>
          <t>Julia Wilson</t>
        </is>
      </c>
      <c r="G1336" t="inlineStr">
        <is>
          <t>United Kingdom</t>
        </is>
      </c>
      <c r="H1336" t="inlineStr">
        <is>
          <t>Marketplace</t>
        </is>
      </c>
      <c r="I1336" t="n">
        <v>2</v>
      </c>
      <c r="J1336" s="3" t="n">
        <v>538.0599999999999</v>
      </c>
      <c r="K1336" s="3" t="n">
        <v>0</v>
      </c>
      <c r="L1336" s="3" t="n">
        <v>538.0599999999999</v>
      </c>
      <c r="M1336" s="3" t="n">
        <v>386.28</v>
      </c>
      <c r="N1336" s="3" t="n">
        <v>151.78</v>
      </c>
      <c r="O1336">
        <f>TEXT(A1336,"yyyy-mm")</f>
        <v/>
      </c>
    </row>
    <row r="1337">
      <c r="A1337" s="2" t="n">
        <v>45749</v>
      </c>
      <c r="B1337" t="n">
        <v>2025</v>
      </c>
      <c r="C1337" t="inlineStr">
        <is>
          <t>April</t>
        </is>
      </c>
      <c r="D1337" t="inlineStr">
        <is>
          <t>Eco Biography</t>
        </is>
      </c>
      <c r="E1337" t="inlineStr">
        <is>
          <t>Books</t>
        </is>
      </c>
      <c r="F1337" t="inlineStr">
        <is>
          <t>Julia Wilson</t>
        </is>
      </c>
      <c r="G1337" t="inlineStr">
        <is>
          <t>United Kingdom</t>
        </is>
      </c>
      <c r="H1337" t="inlineStr">
        <is>
          <t>Marketplace</t>
        </is>
      </c>
      <c r="I1337" t="n">
        <v>5</v>
      </c>
      <c r="J1337" s="3" t="n">
        <v>600.15</v>
      </c>
      <c r="K1337" s="3" t="n">
        <v>30.01</v>
      </c>
      <c r="L1337" s="3" t="n">
        <v>570.14</v>
      </c>
      <c r="M1337" s="3" t="n">
        <v>355.1</v>
      </c>
      <c r="N1337" s="3" t="n">
        <v>215.04</v>
      </c>
      <c r="O1337">
        <f>TEXT(A1337,"yyyy-mm")</f>
        <v/>
      </c>
    </row>
    <row r="1338">
      <c r="A1338" s="2" t="n">
        <v>45749</v>
      </c>
      <c r="B1338" t="n">
        <v>2025</v>
      </c>
      <c r="C1338" t="inlineStr">
        <is>
          <t>April</t>
        </is>
      </c>
      <c r="D1338" t="inlineStr">
        <is>
          <t>Wireless Drone</t>
        </is>
      </c>
      <c r="E1338" t="inlineStr">
        <is>
          <t>Toys &amp; Games</t>
        </is>
      </c>
      <c r="F1338" t="inlineStr">
        <is>
          <t>Thomas Schmidt</t>
        </is>
      </c>
      <c r="G1338" t="inlineStr">
        <is>
          <t>United Kingdom</t>
        </is>
      </c>
      <c r="H1338" t="inlineStr">
        <is>
          <t>Web Store</t>
        </is>
      </c>
      <c r="I1338" t="n">
        <v>2</v>
      </c>
      <c r="J1338" s="3" t="n">
        <v>444.8</v>
      </c>
      <c r="K1338" s="3" t="n">
        <v>0</v>
      </c>
      <c r="L1338" s="3" t="n">
        <v>444.8</v>
      </c>
      <c r="M1338" s="3" t="n">
        <v>262.58</v>
      </c>
      <c r="N1338" s="3" t="n">
        <v>182.22</v>
      </c>
      <c r="O1338">
        <f>TEXT(A1338,"yyyy-mm")</f>
        <v/>
      </c>
    </row>
    <row r="1339">
      <c r="A1339" s="2" t="n">
        <v>45749</v>
      </c>
      <c r="B1339" t="n">
        <v>2025</v>
      </c>
      <c r="C1339" t="inlineStr">
        <is>
          <t>April</t>
        </is>
      </c>
      <c r="D1339" t="inlineStr">
        <is>
          <t>Portable Speaker</t>
        </is>
      </c>
      <c r="E1339" t="inlineStr">
        <is>
          <t>Electronics</t>
        </is>
      </c>
      <c r="F1339" t="inlineStr">
        <is>
          <t>Thomas Schmidt</t>
        </is>
      </c>
      <c r="G1339" t="inlineStr">
        <is>
          <t>United Kingdom</t>
        </is>
      </c>
      <c r="H1339" t="inlineStr">
        <is>
          <t>Web Store</t>
        </is>
      </c>
      <c r="I1339" t="n">
        <v>2</v>
      </c>
      <c r="J1339" s="3" t="n">
        <v>667.38</v>
      </c>
      <c r="K1339" s="3" t="n">
        <v>0</v>
      </c>
      <c r="L1339" s="3" t="n">
        <v>667.38</v>
      </c>
      <c r="M1339" s="3" t="n">
        <v>349.66</v>
      </c>
      <c r="N1339" s="3" t="n">
        <v>317.72</v>
      </c>
      <c r="O1339">
        <f>TEXT(A1339,"yyyy-mm")</f>
        <v/>
      </c>
    </row>
    <row r="1340">
      <c r="A1340" s="2" t="n">
        <v>45749</v>
      </c>
      <c r="B1340" t="n">
        <v>2025</v>
      </c>
      <c r="C1340" t="inlineStr">
        <is>
          <t>April</t>
        </is>
      </c>
      <c r="D1340" t="inlineStr">
        <is>
          <t>Eco Planter</t>
        </is>
      </c>
      <c r="E1340" t="inlineStr">
        <is>
          <t>Home &amp; Garden</t>
        </is>
      </c>
      <c r="F1340" t="inlineStr">
        <is>
          <t>Thomas Schmidt</t>
        </is>
      </c>
      <c r="G1340" t="inlineStr">
        <is>
          <t>United Kingdom</t>
        </is>
      </c>
      <c r="H1340" t="inlineStr">
        <is>
          <t>Web Store</t>
        </is>
      </c>
      <c r="I1340" t="n">
        <v>2</v>
      </c>
      <c r="J1340" s="3" t="n">
        <v>367.38</v>
      </c>
      <c r="K1340" s="3" t="n">
        <v>0</v>
      </c>
      <c r="L1340" s="3" t="n">
        <v>367.38</v>
      </c>
      <c r="M1340" s="3" t="n">
        <v>224.82</v>
      </c>
      <c r="N1340" s="3" t="n">
        <v>142.56</v>
      </c>
      <c r="O1340">
        <f>TEXT(A1340,"yyyy-mm")</f>
        <v/>
      </c>
    </row>
    <row r="1341">
      <c r="A1341" s="2" t="n">
        <v>45749</v>
      </c>
      <c r="B1341" t="n">
        <v>2025</v>
      </c>
      <c r="C1341" t="inlineStr">
        <is>
          <t>April</t>
        </is>
      </c>
      <c r="D1341" t="inlineStr">
        <is>
          <t>Wireless Coffee Beans</t>
        </is>
      </c>
      <c r="E1341" t="inlineStr">
        <is>
          <t>Grocery</t>
        </is>
      </c>
      <c r="F1341" t="inlineStr">
        <is>
          <t>James Moreau</t>
        </is>
      </c>
      <c r="G1341" t="inlineStr">
        <is>
          <t>Poland</t>
        </is>
      </c>
      <c r="H1341" t="inlineStr">
        <is>
          <t>Web Store</t>
        </is>
      </c>
      <c r="I1341" t="n">
        <v>2</v>
      </c>
      <c r="J1341" s="3" t="n">
        <v>234.8</v>
      </c>
      <c r="K1341" s="3" t="n">
        <v>0</v>
      </c>
      <c r="L1341" s="3" t="n">
        <v>234.8</v>
      </c>
      <c r="M1341" s="3" t="n">
        <v>158.74</v>
      </c>
      <c r="N1341" s="3" t="n">
        <v>76.06</v>
      </c>
      <c r="O1341">
        <f>TEXT(A1341,"yyyy-mm")</f>
        <v/>
      </c>
    </row>
    <row r="1342">
      <c r="A1342" s="2" t="n">
        <v>45749</v>
      </c>
      <c r="B1342" t="n">
        <v>2025</v>
      </c>
      <c r="C1342" t="inlineStr">
        <is>
          <t>April</t>
        </is>
      </c>
      <c r="D1342" t="inlineStr">
        <is>
          <t>Essential Cushion</t>
        </is>
      </c>
      <c r="E1342" t="inlineStr">
        <is>
          <t>Home &amp; Garden</t>
        </is>
      </c>
      <c r="F1342" t="inlineStr">
        <is>
          <t>James Moreau</t>
        </is>
      </c>
      <c r="G1342" t="inlineStr">
        <is>
          <t>Poland</t>
        </is>
      </c>
      <c r="H1342" t="inlineStr">
        <is>
          <t>Web Store</t>
        </is>
      </c>
      <c r="I1342" t="n">
        <v>1</v>
      </c>
      <c r="J1342" s="3" t="n">
        <v>45.04</v>
      </c>
      <c r="K1342" s="3" t="n">
        <v>0</v>
      </c>
      <c r="L1342" s="3" t="n">
        <v>45.04</v>
      </c>
      <c r="M1342" s="3" t="n">
        <v>30.55</v>
      </c>
      <c r="N1342" s="3" t="n">
        <v>14.49</v>
      </c>
      <c r="O1342">
        <f>TEXT(A1342,"yyyy-mm")</f>
        <v/>
      </c>
    </row>
    <row r="1343">
      <c r="A1343" s="2" t="n">
        <v>45749</v>
      </c>
      <c r="B1343" t="n">
        <v>2025</v>
      </c>
      <c r="C1343" t="inlineStr">
        <is>
          <t>April</t>
        </is>
      </c>
      <c r="D1343" t="inlineStr">
        <is>
          <t>Deluxe Puzzle</t>
        </is>
      </c>
      <c r="E1343" t="inlineStr">
        <is>
          <t>Toys &amp; Games</t>
        </is>
      </c>
      <c r="F1343" t="inlineStr">
        <is>
          <t>Peter Schmidt</t>
        </is>
      </c>
      <c r="G1343" t="inlineStr">
        <is>
          <t>France</t>
        </is>
      </c>
      <c r="H1343" t="inlineStr">
        <is>
          <t>Marketplace</t>
        </is>
      </c>
      <c r="I1343" t="n">
        <v>3</v>
      </c>
      <c r="J1343" s="3" t="n">
        <v>638.88</v>
      </c>
      <c r="K1343" s="3" t="n">
        <v>31.94</v>
      </c>
      <c r="L1343" s="3" t="n">
        <v>606.9400000000001</v>
      </c>
      <c r="M1343" s="3" t="n">
        <v>333.51</v>
      </c>
      <c r="N1343" s="3" t="n">
        <v>273.43</v>
      </c>
      <c r="O1343">
        <f>TEXT(A1343,"yyyy-mm")</f>
        <v/>
      </c>
    </row>
    <row r="1344">
      <c r="A1344" s="2" t="n">
        <v>45749</v>
      </c>
      <c r="B1344" t="n">
        <v>2025</v>
      </c>
      <c r="C1344" t="inlineStr">
        <is>
          <t>April</t>
        </is>
      </c>
      <c r="D1344" t="inlineStr">
        <is>
          <t>Wireless Honey</t>
        </is>
      </c>
      <c r="E1344" t="inlineStr">
        <is>
          <t>Grocery</t>
        </is>
      </c>
      <c r="F1344" t="inlineStr">
        <is>
          <t>Peter Schmidt</t>
        </is>
      </c>
      <c r="G1344" t="inlineStr">
        <is>
          <t>France</t>
        </is>
      </c>
      <c r="H1344" t="inlineStr">
        <is>
          <t>Marketplace</t>
        </is>
      </c>
      <c r="I1344" t="n">
        <v>1</v>
      </c>
      <c r="J1344" s="3" t="n">
        <v>131.53</v>
      </c>
      <c r="K1344" s="3" t="n">
        <v>0</v>
      </c>
      <c r="L1344" s="3" t="n">
        <v>131.53</v>
      </c>
      <c r="M1344" s="3" t="n">
        <v>94.06999999999999</v>
      </c>
      <c r="N1344" s="3" t="n">
        <v>37.46</v>
      </c>
      <c r="O1344">
        <f>TEXT(A1344,"yyyy-mm")</f>
        <v/>
      </c>
    </row>
    <row r="1345">
      <c r="A1345" s="2" t="n">
        <v>45749</v>
      </c>
      <c r="B1345" t="n">
        <v>2025</v>
      </c>
      <c r="C1345" t="inlineStr">
        <is>
          <t>April</t>
        </is>
      </c>
      <c r="D1345" t="inlineStr">
        <is>
          <t>Premium Tent</t>
        </is>
      </c>
      <c r="E1345" t="inlineStr">
        <is>
          <t>Sports &amp; Outdoors</t>
        </is>
      </c>
      <c r="F1345" t="inlineStr">
        <is>
          <t>Emma Rossi</t>
        </is>
      </c>
      <c r="G1345" t="inlineStr">
        <is>
          <t>France</t>
        </is>
      </c>
      <c r="H1345" t="inlineStr">
        <is>
          <t>Marketplace</t>
        </is>
      </c>
      <c r="I1345" t="n">
        <v>5</v>
      </c>
      <c r="J1345" s="3" t="n">
        <v>722.8</v>
      </c>
      <c r="K1345" s="3" t="n">
        <v>0</v>
      </c>
      <c r="L1345" s="3" t="n">
        <v>722.8</v>
      </c>
      <c r="M1345" s="3" t="n">
        <v>482</v>
      </c>
      <c r="N1345" s="3" t="n">
        <v>240.8</v>
      </c>
      <c r="O1345">
        <f>TEXT(A1345,"yyyy-mm")</f>
        <v/>
      </c>
    </row>
    <row r="1346">
      <c r="A1346" s="2" t="n">
        <v>45749</v>
      </c>
      <c r="B1346" t="n">
        <v>2025</v>
      </c>
      <c r="C1346" t="inlineStr">
        <is>
          <t>April</t>
        </is>
      </c>
      <c r="D1346" t="inlineStr">
        <is>
          <t>Smart Drone</t>
        </is>
      </c>
      <c r="E1346" t="inlineStr">
        <is>
          <t>Toys &amp; Games</t>
        </is>
      </c>
      <c r="F1346" t="inlineStr">
        <is>
          <t>James Moreau</t>
        </is>
      </c>
      <c r="G1346" t="inlineStr">
        <is>
          <t>Poland</t>
        </is>
      </c>
      <c r="H1346" t="inlineStr">
        <is>
          <t>Web Store</t>
        </is>
      </c>
      <c r="I1346" t="n">
        <v>4</v>
      </c>
      <c r="J1346" s="3" t="n">
        <v>901.24</v>
      </c>
      <c r="K1346" s="3" t="n">
        <v>0</v>
      </c>
      <c r="L1346" s="3" t="n">
        <v>901.24</v>
      </c>
      <c r="M1346" s="3" t="n">
        <v>507.8</v>
      </c>
      <c r="N1346" s="3" t="n">
        <v>393.44</v>
      </c>
      <c r="O1346">
        <f>TEXT(A1346,"yyyy-mm")</f>
        <v/>
      </c>
    </row>
    <row r="1347">
      <c r="A1347" s="2" t="n">
        <v>45749</v>
      </c>
      <c r="B1347" t="n">
        <v>2025</v>
      </c>
      <c r="C1347" t="inlineStr">
        <is>
          <t>April</t>
        </is>
      </c>
      <c r="D1347" t="inlineStr">
        <is>
          <t>Classic Tent</t>
        </is>
      </c>
      <c r="E1347" t="inlineStr">
        <is>
          <t>Sports &amp; Outdoors</t>
        </is>
      </c>
      <c r="F1347" t="inlineStr">
        <is>
          <t>Peter Schmidt</t>
        </is>
      </c>
      <c r="G1347" t="inlineStr">
        <is>
          <t>France</t>
        </is>
      </c>
      <c r="H1347" t="inlineStr">
        <is>
          <t>Marketplace</t>
        </is>
      </c>
      <c r="I1347" t="n">
        <v>3</v>
      </c>
      <c r="J1347" s="3" t="n">
        <v>640.71</v>
      </c>
      <c r="K1347" s="3" t="n">
        <v>128.14</v>
      </c>
      <c r="L1347" s="3" t="n">
        <v>512.5700000000001</v>
      </c>
      <c r="M1347" s="3" t="n">
        <v>354.06</v>
      </c>
      <c r="N1347" s="3" t="n">
        <v>158.51</v>
      </c>
      <c r="O1347">
        <f>TEXT(A1347,"yyyy-mm")</f>
        <v/>
      </c>
    </row>
    <row r="1348">
      <c r="A1348" s="2" t="n">
        <v>45749</v>
      </c>
      <c r="B1348" t="n">
        <v>2025</v>
      </c>
      <c r="C1348" t="inlineStr">
        <is>
          <t>April</t>
        </is>
      </c>
      <c r="D1348" t="inlineStr">
        <is>
          <t>Smart Charger</t>
        </is>
      </c>
      <c r="E1348" t="inlineStr">
        <is>
          <t>Electronics</t>
        </is>
      </c>
      <c r="F1348" t="inlineStr">
        <is>
          <t>Emma Rossi</t>
        </is>
      </c>
      <c r="G1348" t="inlineStr">
        <is>
          <t>France</t>
        </is>
      </c>
      <c r="H1348" t="inlineStr">
        <is>
          <t>Marketplace</t>
        </is>
      </c>
      <c r="I1348" t="n">
        <v>1</v>
      </c>
      <c r="J1348" s="3" t="n">
        <v>39.44</v>
      </c>
      <c r="K1348" s="3" t="n">
        <v>5.92</v>
      </c>
      <c r="L1348" s="3" t="n">
        <v>33.52</v>
      </c>
      <c r="M1348" s="3" t="n">
        <v>27.64</v>
      </c>
      <c r="N1348" s="3" t="n">
        <v>5.88</v>
      </c>
      <c r="O1348">
        <f>TEXT(A1348,"yyyy-mm")</f>
        <v/>
      </c>
    </row>
    <row r="1349">
      <c r="A1349" s="2" t="n">
        <v>45749</v>
      </c>
      <c r="B1349" t="n">
        <v>2025</v>
      </c>
      <c r="C1349" t="inlineStr">
        <is>
          <t>April</t>
        </is>
      </c>
      <c r="D1349" t="inlineStr">
        <is>
          <t>Smart Camera</t>
        </is>
      </c>
      <c r="E1349" t="inlineStr">
        <is>
          <t>Electronics</t>
        </is>
      </c>
      <c r="F1349" t="inlineStr">
        <is>
          <t>John Bianchi</t>
        </is>
      </c>
      <c r="G1349" t="inlineStr">
        <is>
          <t>France</t>
        </is>
      </c>
      <c r="H1349" t="inlineStr">
        <is>
          <t>Retail Store</t>
        </is>
      </c>
      <c r="I1349" t="n">
        <v>1</v>
      </c>
      <c r="J1349" s="3" t="n">
        <v>126.51</v>
      </c>
      <c r="K1349" s="3" t="n">
        <v>0</v>
      </c>
      <c r="L1349" s="3" t="n">
        <v>126.51</v>
      </c>
      <c r="M1349" s="3" t="n">
        <v>85.58</v>
      </c>
      <c r="N1349" s="3" t="n">
        <v>40.93</v>
      </c>
      <c r="O1349">
        <f>TEXT(A1349,"yyyy-mm")</f>
        <v/>
      </c>
    </row>
    <row r="1350">
      <c r="A1350" s="2" t="n">
        <v>45749</v>
      </c>
      <c r="B1350" t="n">
        <v>2025</v>
      </c>
      <c r="C1350" t="inlineStr">
        <is>
          <t>April</t>
        </is>
      </c>
      <c r="D1350" t="inlineStr">
        <is>
          <t>Essential Lamp</t>
        </is>
      </c>
      <c r="E1350" t="inlineStr">
        <is>
          <t>Home &amp; Garden</t>
        </is>
      </c>
      <c r="F1350" t="inlineStr">
        <is>
          <t>John Bianchi</t>
        </is>
      </c>
      <c r="G1350" t="inlineStr">
        <is>
          <t>France</t>
        </is>
      </c>
      <c r="H1350" t="inlineStr">
        <is>
          <t>Retail Store</t>
        </is>
      </c>
      <c r="I1350" t="n">
        <v>3</v>
      </c>
      <c r="J1350" s="3" t="n">
        <v>195.57</v>
      </c>
      <c r="K1350" s="3" t="n">
        <v>0</v>
      </c>
      <c r="L1350" s="3" t="n">
        <v>195.57</v>
      </c>
      <c r="M1350" s="3" t="n">
        <v>136.2</v>
      </c>
      <c r="N1350" s="3" t="n">
        <v>59.37</v>
      </c>
      <c r="O1350">
        <f>TEXT(A1350,"yyyy-mm")</f>
        <v/>
      </c>
    </row>
    <row r="1351">
      <c r="A1351" s="2" t="n">
        <v>45749</v>
      </c>
      <c r="B1351" t="n">
        <v>2025</v>
      </c>
      <c r="C1351" t="inlineStr">
        <is>
          <t>April</t>
        </is>
      </c>
      <c r="D1351" t="inlineStr">
        <is>
          <t>Smart Sweater</t>
        </is>
      </c>
      <c r="E1351" t="inlineStr">
        <is>
          <t>Clothing</t>
        </is>
      </c>
      <c r="F1351" t="inlineStr">
        <is>
          <t>Peter Schmidt</t>
        </is>
      </c>
      <c r="G1351" t="inlineStr">
        <is>
          <t>France</t>
        </is>
      </c>
      <c r="H1351" t="inlineStr">
        <is>
          <t>Marketplace</t>
        </is>
      </c>
      <c r="I1351" t="n">
        <v>1</v>
      </c>
      <c r="J1351" s="3" t="n">
        <v>137.71</v>
      </c>
      <c r="K1351" s="3" t="n">
        <v>27.54</v>
      </c>
      <c r="L1351" s="3" t="n">
        <v>110.17</v>
      </c>
      <c r="M1351" s="3" t="n">
        <v>77.34999999999999</v>
      </c>
      <c r="N1351" s="3" t="n">
        <v>32.82</v>
      </c>
      <c r="O1351">
        <f>TEXT(A1351,"yyyy-mm")</f>
        <v/>
      </c>
    </row>
    <row r="1352">
      <c r="A1352" s="2" t="n">
        <v>45750</v>
      </c>
      <c r="B1352" t="n">
        <v>2025</v>
      </c>
      <c r="C1352" t="inlineStr">
        <is>
          <t>April</t>
        </is>
      </c>
      <c r="D1352" t="inlineStr">
        <is>
          <t>Eco Tent</t>
        </is>
      </c>
      <c r="E1352" t="inlineStr">
        <is>
          <t>Sports &amp; Outdoors</t>
        </is>
      </c>
      <c r="F1352" t="inlineStr">
        <is>
          <t>Clara Schmidt</t>
        </is>
      </c>
      <c r="G1352" t="inlineStr">
        <is>
          <t>United States</t>
        </is>
      </c>
      <c r="H1352" t="inlineStr">
        <is>
          <t>Web Store</t>
        </is>
      </c>
      <c r="I1352" t="n">
        <v>3</v>
      </c>
      <c r="J1352" s="3" t="n">
        <v>756.09</v>
      </c>
      <c r="K1352" s="3" t="n">
        <v>113.41</v>
      </c>
      <c r="L1352" s="3" t="n">
        <v>642.6799999999999</v>
      </c>
      <c r="M1352" s="3" t="n">
        <v>405.09</v>
      </c>
      <c r="N1352" s="3" t="n">
        <v>237.59</v>
      </c>
      <c r="O1352">
        <f>TEXT(A1352,"yyyy-mm")</f>
        <v/>
      </c>
    </row>
    <row r="1353">
      <c r="A1353" s="2" t="n">
        <v>45750</v>
      </c>
      <c r="B1353" t="n">
        <v>2025</v>
      </c>
      <c r="C1353" t="inlineStr">
        <is>
          <t>April</t>
        </is>
      </c>
      <c r="D1353" t="inlineStr">
        <is>
          <t>Eco Drone</t>
        </is>
      </c>
      <c r="E1353" t="inlineStr">
        <is>
          <t>Toys &amp; Games</t>
        </is>
      </c>
      <c r="F1353" t="inlineStr">
        <is>
          <t>Clara Schmidt</t>
        </is>
      </c>
      <c r="G1353" t="inlineStr">
        <is>
          <t>United States</t>
        </is>
      </c>
      <c r="H1353" t="inlineStr">
        <is>
          <t>Web Store</t>
        </is>
      </c>
      <c r="I1353" t="n">
        <v>2</v>
      </c>
      <c r="J1353" s="3" t="n">
        <v>387.64</v>
      </c>
      <c r="K1353" s="3" t="n">
        <v>19.38</v>
      </c>
      <c r="L1353" s="3" t="n">
        <v>368.26</v>
      </c>
      <c r="M1353" s="3" t="n">
        <v>259.18</v>
      </c>
      <c r="N1353" s="3" t="n">
        <v>109.08</v>
      </c>
      <c r="O1353">
        <f>TEXT(A1353,"yyyy-mm")</f>
        <v/>
      </c>
    </row>
    <row r="1354">
      <c r="A1354" s="2" t="n">
        <v>45750</v>
      </c>
      <c r="B1354" t="n">
        <v>2025</v>
      </c>
      <c r="C1354" t="inlineStr">
        <is>
          <t>April</t>
        </is>
      </c>
      <c r="D1354" t="inlineStr">
        <is>
          <t>Smart Charger</t>
        </is>
      </c>
      <c r="E1354" t="inlineStr">
        <is>
          <t>Electronics</t>
        </is>
      </c>
      <c r="F1354" t="inlineStr">
        <is>
          <t>Clara Johnson</t>
        </is>
      </c>
      <c r="G1354" t="inlineStr">
        <is>
          <t>France</t>
        </is>
      </c>
      <c r="H1354" t="inlineStr">
        <is>
          <t>Marketplace</t>
        </is>
      </c>
      <c r="I1354" t="n">
        <v>4</v>
      </c>
      <c r="J1354" s="3" t="n">
        <v>1016.72</v>
      </c>
      <c r="K1354" s="3" t="n">
        <v>0</v>
      </c>
      <c r="L1354" s="3" t="n">
        <v>1016.72</v>
      </c>
      <c r="M1354" s="3" t="n">
        <v>570.08</v>
      </c>
      <c r="N1354" s="3" t="n">
        <v>446.64</v>
      </c>
      <c r="O1354">
        <f>TEXT(A1354,"yyyy-mm")</f>
        <v/>
      </c>
    </row>
    <row r="1355">
      <c r="A1355" s="2" t="n">
        <v>45750</v>
      </c>
      <c r="B1355" t="n">
        <v>2025</v>
      </c>
      <c r="C1355" t="inlineStr">
        <is>
          <t>April</t>
        </is>
      </c>
      <c r="D1355" t="inlineStr">
        <is>
          <t>Eco Backpack</t>
        </is>
      </c>
      <c r="E1355" t="inlineStr">
        <is>
          <t>Sports &amp; Outdoors</t>
        </is>
      </c>
      <c r="F1355" t="inlineStr">
        <is>
          <t>Clara Johnson</t>
        </is>
      </c>
      <c r="G1355" t="inlineStr">
        <is>
          <t>France</t>
        </is>
      </c>
      <c r="H1355" t="inlineStr">
        <is>
          <t>Marketplace</t>
        </is>
      </c>
      <c r="I1355" t="n">
        <v>5</v>
      </c>
      <c r="J1355" s="3" t="n">
        <v>1375.3</v>
      </c>
      <c r="K1355" s="3" t="n">
        <v>0</v>
      </c>
      <c r="L1355" s="3" t="n">
        <v>1375.3</v>
      </c>
      <c r="M1355" s="3" t="n">
        <v>732.9</v>
      </c>
      <c r="N1355" s="3" t="n">
        <v>642.4</v>
      </c>
      <c r="O1355">
        <f>TEXT(A1355,"yyyy-mm")</f>
        <v/>
      </c>
    </row>
    <row r="1356">
      <c r="A1356" s="2" t="n">
        <v>45750</v>
      </c>
      <c r="B1356" t="n">
        <v>2025</v>
      </c>
      <c r="C1356" t="inlineStr">
        <is>
          <t>April</t>
        </is>
      </c>
      <c r="D1356" t="inlineStr">
        <is>
          <t>Smart Charger</t>
        </is>
      </c>
      <c r="E1356" t="inlineStr">
        <is>
          <t>Electronics</t>
        </is>
      </c>
      <c r="F1356" t="inlineStr">
        <is>
          <t>Clara Johnson</t>
        </is>
      </c>
      <c r="G1356" t="inlineStr">
        <is>
          <t>France</t>
        </is>
      </c>
      <c r="H1356" t="inlineStr">
        <is>
          <t>Marketplace</t>
        </is>
      </c>
      <c r="I1356" t="n">
        <v>5</v>
      </c>
      <c r="J1356" s="3" t="n">
        <v>189.2</v>
      </c>
      <c r="K1356" s="3" t="n">
        <v>9.460000000000001</v>
      </c>
      <c r="L1356" s="3" t="n">
        <v>179.74</v>
      </c>
      <c r="M1356" s="3" t="n">
        <v>138.2</v>
      </c>
      <c r="N1356" s="3" t="n">
        <v>41.54</v>
      </c>
      <c r="O1356">
        <f>TEXT(A1356,"yyyy-mm")</f>
        <v/>
      </c>
    </row>
    <row r="1357">
      <c r="A1357" s="2" t="n">
        <v>45751</v>
      </c>
      <c r="B1357" t="n">
        <v>2025</v>
      </c>
      <c r="C1357" t="inlineStr">
        <is>
          <t>April</t>
        </is>
      </c>
      <c r="D1357" t="inlineStr">
        <is>
          <t>Wireless Honey</t>
        </is>
      </c>
      <c r="E1357" t="inlineStr">
        <is>
          <t>Grocery</t>
        </is>
      </c>
      <c r="F1357" t="inlineStr">
        <is>
          <t>Paul Wojcik</t>
        </is>
      </c>
      <c r="G1357" t="inlineStr">
        <is>
          <t>United States</t>
        </is>
      </c>
      <c r="H1357" t="inlineStr">
        <is>
          <t>Mobile App</t>
        </is>
      </c>
      <c r="I1357" t="n">
        <v>4</v>
      </c>
      <c r="J1357" s="3" t="n">
        <v>533.4</v>
      </c>
      <c r="K1357" s="3" t="n">
        <v>26.67</v>
      </c>
      <c r="L1357" s="3" t="n">
        <v>506.73</v>
      </c>
      <c r="M1357" s="3" t="n">
        <v>376.28</v>
      </c>
      <c r="N1357" s="3" t="n">
        <v>130.45</v>
      </c>
      <c r="O1357">
        <f>TEXT(A1357,"yyyy-mm")</f>
        <v/>
      </c>
    </row>
    <row r="1358">
      <c r="A1358" s="2" t="n">
        <v>45751</v>
      </c>
      <c r="B1358" t="n">
        <v>2025</v>
      </c>
      <c r="C1358" t="inlineStr">
        <is>
          <t>April</t>
        </is>
      </c>
      <c r="D1358" t="inlineStr">
        <is>
          <t>Portable Bike Helmet</t>
        </is>
      </c>
      <c r="E1358" t="inlineStr">
        <is>
          <t>Sports &amp; Outdoors</t>
        </is>
      </c>
      <c r="F1358" t="inlineStr">
        <is>
          <t>Paul Wojcik</t>
        </is>
      </c>
      <c r="G1358" t="inlineStr">
        <is>
          <t>United States</t>
        </is>
      </c>
      <c r="H1358" t="inlineStr">
        <is>
          <t>Mobile App</t>
        </is>
      </c>
      <c r="I1358" t="n">
        <v>3</v>
      </c>
      <c r="J1358" s="3" t="n">
        <v>951.84</v>
      </c>
      <c r="K1358" s="3" t="n">
        <v>0</v>
      </c>
      <c r="L1358" s="3" t="n">
        <v>951.84</v>
      </c>
      <c r="M1358" s="3" t="n">
        <v>496.11</v>
      </c>
      <c r="N1358" s="3" t="n">
        <v>455.73</v>
      </c>
      <c r="O1358">
        <f>TEXT(A1358,"yyyy-mm")</f>
        <v/>
      </c>
    </row>
    <row r="1359">
      <c r="A1359" s="2" t="n">
        <v>45751</v>
      </c>
      <c r="B1359" t="n">
        <v>2025</v>
      </c>
      <c r="C1359" t="inlineStr">
        <is>
          <t>April</t>
        </is>
      </c>
      <c r="D1359" t="inlineStr">
        <is>
          <t>Deluxe Puzzle</t>
        </is>
      </c>
      <c r="E1359" t="inlineStr">
        <is>
          <t>Toys &amp; Games</t>
        </is>
      </c>
      <c r="F1359" t="inlineStr">
        <is>
          <t>Paul Wojcik</t>
        </is>
      </c>
      <c r="G1359" t="inlineStr">
        <is>
          <t>United States</t>
        </is>
      </c>
      <c r="H1359" t="inlineStr">
        <is>
          <t>Mobile App</t>
        </is>
      </c>
      <c r="I1359" t="n">
        <v>2</v>
      </c>
      <c r="J1359" s="3" t="n">
        <v>416.52</v>
      </c>
      <c r="K1359" s="3" t="n">
        <v>62.48</v>
      </c>
      <c r="L1359" s="3" t="n">
        <v>354.04</v>
      </c>
      <c r="M1359" s="3" t="n">
        <v>222.34</v>
      </c>
      <c r="N1359" s="3" t="n">
        <v>131.7</v>
      </c>
      <c r="O1359">
        <f>TEXT(A1359,"yyyy-mm")</f>
        <v/>
      </c>
    </row>
    <row r="1360">
      <c r="A1360" s="2" t="n">
        <v>45751</v>
      </c>
      <c r="B1360" t="n">
        <v>2025</v>
      </c>
      <c r="C1360" t="inlineStr">
        <is>
          <t>April</t>
        </is>
      </c>
      <c r="D1360" t="inlineStr">
        <is>
          <t>Smart Charger</t>
        </is>
      </c>
      <c r="E1360" t="inlineStr">
        <is>
          <t>Electronics</t>
        </is>
      </c>
      <c r="F1360" t="inlineStr">
        <is>
          <t>Paul Wojcik</t>
        </is>
      </c>
      <c r="G1360" t="inlineStr">
        <is>
          <t>United States</t>
        </is>
      </c>
      <c r="H1360" t="inlineStr">
        <is>
          <t>Mobile App</t>
        </is>
      </c>
      <c r="I1360" t="n">
        <v>4</v>
      </c>
      <c r="J1360" s="3" t="n">
        <v>154.68</v>
      </c>
      <c r="K1360" s="3" t="n">
        <v>7.73</v>
      </c>
      <c r="L1360" s="3" t="n">
        <v>146.95</v>
      </c>
      <c r="M1360" s="3" t="n">
        <v>110.56</v>
      </c>
      <c r="N1360" s="3" t="n">
        <v>36.39</v>
      </c>
      <c r="O1360">
        <f>TEXT(A1360,"yyyy-mm")</f>
        <v/>
      </c>
    </row>
    <row r="1361">
      <c r="A1361" s="2" t="n">
        <v>45751</v>
      </c>
      <c r="B1361" t="n">
        <v>2025</v>
      </c>
      <c r="C1361" t="inlineStr">
        <is>
          <t>April</t>
        </is>
      </c>
      <c r="D1361" t="inlineStr">
        <is>
          <t>Portable Toolset</t>
        </is>
      </c>
      <c r="E1361" t="inlineStr">
        <is>
          <t>Home &amp; Garden</t>
        </is>
      </c>
      <c r="F1361" t="inlineStr">
        <is>
          <t>Emma Wilson</t>
        </is>
      </c>
      <c r="G1361" t="inlineStr">
        <is>
          <t>Italy</t>
        </is>
      </c>
      <c r="H1361" t="inlineStr">
        <is>
          <t>Marketplace</t>
        </is>
      </c>
      <c r="I1361" t="n">
        <v>5</v>
      </c>
      <c r="J1361" s="3" t="n">
        <v>459.35</v>
      </c>
      <c r="K1361" s="3" t="n">
        <v>0</v>
      </c>
      <c r="L1361" s="3" t="n">
        <v>459.35</v>
      </c>
      <c r="M1361" s="3" t="n">
        <v>252.7</v>
      </c>
      <c r="N1361" s="3" t="n">
        <v>206.65</v>
      </c>
      <c r="O1361">
        <f>TEXT(A1361,"yyyy-mm")</f>
        <v/>
      </c>
    </row>
    <row r="1362">
      <c r="A1362" s="2" t="n">
        <v>45751</v>
      </c>
      <c r="B1362" t="n">
        <v>2025</v>
      </c>
      <c r="C1362" t="inlineStr">
        <is>
          <t>April</t>
        </is>
      </c>
      <c r="D1362" t="inlineStr">
        <is>
          <t>Smart Camera</t>
        </is>
      </c>
      <c r="E1362" t="inlineStr">
        <is>
          <t>Electronics</t>
        </is>
      </c>
      <c r="F1362" t="inlineStr">
        <is>
          <t>Emma Wilson</t>
        </is>
      </c>
      <c r="G1362" t="inlineStr">
        <is>
          <t>Italy</t>
        </is>
      </c>
      <c r="H1362" t="inlineStr">
        <is>
          <t>Marketplace</t>
        </is>
      </c>
      <c r="I1362" t="n">
        <v>3</v>
      </c>
      <c r="J1362" s="3" t="n">
        <v>375.15</v>
      </c>
      <c r="K1362" s="3" t="n">
        <v>56.27</v>
      </c>
      <c r="L1362" s="3" t="n">
        <v>318.88</v>
      </c>
      <c r="M1362" s="3" t="n">
        <v>256.74</v>
      </c>
      <c r="N1362" s="3" t="n">
        <v>62.14</v>
      </c>
      <c r="O1362">
        <f>TEXT(A1362,"yyyy-mm")</f>
        <v/>
      </c>
    </row>
    <row r="1363">
      <c r="A1363" s="2" t="n">
        <v>45751</v>
      </c>
      <c r="B1363" t="n">
        <v>2025</v>
      </c>
      <c r="C1363" t="inlineStr">
        <is>
          <t>April</t>
        </is>
      </c>
      <c r="D1363" t="inlineStr">
        <is>
          <t>Ultra Backpack</t>
        </is>
      </c>
      <c r="E1363" t="inlineStr">
        <is>
          <t>Sports &amp; Outdoors</t>
        </is>
      </c>
      <c r="F1363" t="inlineStr">
        <is>
          <t>Emma Wilson</t>
        </is>
      </c>
      <c r="G1363" t="inlineStr">
        <is>
          <t>Italy</t>
        </is>
      </c>
      <c r="H1363" t="inlineStr">
        <is>
          <t>Marketplace</t>
        </is>
      </c>
      <c r="I1363" t="n">
        <v>4</v>
      </c>
      <c r="J1363" s="3" t="n">
        <v>1172.24</v>
      </c>
      <c r="K1363" s="3" t="n">
        <v>58.61</v>
      </c>
      <c r="L1363" s="3" t="n">
        <v>1113.63</v>
      </c>
      <c r="M1363" s="3" t="n">
        <v>694.76</v>
      </c>
      <c r="N1363" s="3" t="n">
        <v>418.87</v>
      </c>
      <c r="O1363">
        <f>TEXT(A1363,"yyyy-mm")</f>
        <v/>
      </c>
    </row>
    <row r="1364">
      <c r="A1364" s="2" t="n">
        <v>45751</v>
      </c>
      <c r="B1364" t="n">
        <v>2025</v>
      </c>
      <c r="C1364" t="inlineStr">
        <is>
          <t>April</t>
        </is>
      </c>
      <c r="D1364" t="inlineStr">
        <is>
          <t>Eco Tent</t>
        </is>
      </c>
      <c r="E1364" t="inlineStr">
        <is>
          <t>Sports &amp; Outdoors</t>
        </is>
      </c>
      <c r="F1364" t="inlineStr">
        <is>
          <t>David Johnson</t>
        </is>
      </c>
      <c r="G1364" t="inlineStr">
        <is>
          <t>Netherlands</t>
        </is>
      </c>
      <c r="H1364" t="inlineStr">
        <is>
          <t>Web Store</t>
        </is>
      </c>
      <c r="I1364" t="n">
        <v>2</v>
      </c>
      <c r="J1364" s="3" t="n">
        <v>134.16</v>
      </c>
      <c r="K1364" s="3" t="n">
        <v>0</v>
      </c>
      <c r="L1364" s="3" t="n">
        <v>134.16</v>
      </c>
      <c r="M1364" s="3" t="n">
        <v>87.7</v>
      </c>
      <c r="N1364" s="3" t="n">
        <v>46.46</v>
      </c>
      <c r="O1364">
        <f>TEXT(A1364,"yyyy-mm")</f>
        <v/>
      </c>
    </row>
    <row r="1365">
      <c r="A1365" s="2" t="n">
        <v>45751</v>
      </c>
      <c r="B1365" t="n">
        <v>2025</v>
      </c>
      <c r="C1365" t="inlineStr">
        <is>
          <t>April</t>
        </is>
      </c>
      <c r="D1365" t="inlineStr">
        <is>
          <t>Portable Puzzle</t>
        </is>
      </c>
      <c r="E1365" t="inlineStr">
        <is>
          <t>Toys &amp; Games</t>
        </is>
      </c>
      <c r="F1365" t="inlineStr">
        <is>
          <t>David Johnson</t>
        </is>
      </c>
      <c r="G1365" t="inlineStr">
        <is>
          <t>Netherlands</t>
        </is>
      </c>
      <c r="H1365" t="inlineStr">
        <is>
          <t>Web Store</t>
        </is>
      </c>
      <c r="I1365" t="n">
        <v>2</v>
      </c>
      <c r="J1365" s="3" t="n">
        <v>232.1</v>
      </c>
      <c r="K1365" s="3" t="n">
        <v>0</v>
      </c>
      <c r="L1365" s="3" t="n">
        <v>232.1</v>
      </c>
      <c r="M1365" s="3" t="n">
        <v>117.6</v>
      </c>
      <c r="N1365" s="3" t="n">
        <v>114.5</v>
      </c>
      <c r="O1365">
        <f>TEXT(A1365,"yyyy-mm")</f>
        <v/>
      </c>
    </row>
    <row r="1366">
      <c r="A1366" s="2" t="n">
        <v>45751</v>
      </c>
      <c r="B1366" t="n">
        <v>2025</v>
      </c>
      <c r="C1366" t="inlineStr">
        <is>
          <t>April</t>
        </is>
      </c>
      <c r="D1366" t="inlineStr">
        <is>
          <t>Smart Puzzle</t>
        </is>
      </c>
      <c r="E1366" t="inlineStr">
        <is>
          <t>Toys &amp; Games</t>
        </is>
      </c>
      <c r="F1366" t="inlineStr">
        <is>
          <t>Mark Brown</t>
        </is>
      </c>
      <c r="G1366" t="inlineStr">
        <is>
          <t>Spain</t>
        </is>
      </c>
      <c r="H1366" t="inlineStr">
        <is>
          <t>Marketplace</t>
        </is>
      </c>
      <c r="I1366" t="n">
        <v>5</v>
      </c>
      <c r="J1366" s="3" t="n">
        <v>1274.65</v>
      </c>
      <c r="K1366" s="3" t="n">
        <v>0</v>
      </c>
      <c r="L1366" s="3" t="n">
        <v>1274.65</v>
      </c>
      <c r="M1366" s="3" t="n">
        <v>963.8</v>
      </c>
      <c r="N1366" s="3" t="n">
        <v>310.85</v>
      </c>
      <c r="O1366">
        <f>TEXT(A1366,"yyyy-mm")</f>
        <v/>
      </c>
    </row>
    <row r="1367">
      <c r="A1367" s="2" t="n">
        <v>45751</v>
      </c>
      <c r="B1367" t="n">
        <v>2025</v>
      </c>
      <c r="C1367" t="inlineStr">
        <is>
          <t>April</t>
        </is>
      </c>
      <c r="D1367" t="inlineStr">
        <is>
          <t>Smart Cookbook</t>
        </is>
      </c>
      <c r="E1367" t="inlineStr">
        <is>
          <t>Books</t>
        </is>
      </c>
      <c r="F1367" t="inlineStr">
        <is>
          <t>Olivia Bianchi</t>
        </is>
      </c>
      <c r="G1367" t="inlineStr">
        <is>
          <t>Spain</t>
        </is>
      </c>
      <c r="H1367" t="inlineStr">
        <is>
          <t>Marketplace</t>
        </is>
      </c>
      <c r="I1367" t="n">
        <v>2</v>
      </c>
      <c r="J1367" s="3" t="n">
        <v>37.28</v>
      </c>
      <c r="K1367" s="3" t="n">
        <v>0</v>
      </c>
      <c r="L1367" s="3" t="n">
        <v>37.28</v>
      </c>
      <c r="M1367" s="3" t="n">
        <v>19.76</v>
      </c>
      <c r="N1367" s="3" t="n">
        <v>17.52</v>
      </c>
      <c r="O1367">
        <f>TEXT(A1367,"yyyy-mm")</f>
        <v/>
      </c>
    </row>
    <row r="1368">
      <c r="A1368" s="2" t="n">
        <v>45751</v>
      </c>
      <c r="B1368" t="n">
        <v>2025</v>
      </c>
      <c r="C1368" t="inlineStr">
        <is>
          <t>April</t>
        </is>
      </c>
      <c r="D1368" t="inlineStr">
        <is>
          <t>Essential Cushion</t>
        </is>
      </c>
      <c r="E1368" t="inlineStr">
        <is>
          <t>Home &amp; Garden</t>
        </is>
      </c>
      <c r="F1368" t="inlineStr">
        <is>
          <t>David Johnson</t>
        </is>
      </c>
      <c r="G1368" t="inlineStr">
        <is>
          <t>Netherlands</t>
        </is>
      </c>
      <c r="H1368" t="inlineStr">
        <is>
          <t>Web Store</t>
        </is>
      </c>
      <c r="I1368" t="n">
        <v>4</v>
      </c>
      <c r="J1368" s="3" t="n">
        <v>173.84</v>
      </c>
      <c r="K1368" s="3" t="n">
        <v>34.77</v>
      </c>
      <c r="L1368" s="3" t="n">
        <v>139.07</v>
      </c>
      <c r="M1368" s="3" t="n">
        <v>122.2</v>
      </c>
      <c r="N1368" s="3" t="n">
        <v>16.87</v>
      </c>
      <c r="O1368">
        <f>TEXT(A1368,"yyyy-mm")</f>
        <v/>
      </c>
    </row>
    <row r="1369">
      <c r="A1369" s="2" t="n">
        <v>45751</v>
      </c>
      <c r="B1369" t="n">
        <v>2025</v>
      </c>
      <c r="C1369" t="inlineStr">
        <is>
          <t>April</t>
        </is>
      </c>
      <c r="D1369" t="inlineStr">
        <is>
          <t>Compact Sunscreen</t>
        </is>
      </c>
      <c r="E1369" t="inlineStr">
        <is>
          <t>Beauty &amp; Health</t>
        </is>
      </c>
      <c r="F1369" t="inlineStr">
        <is>
          <t>Mark Brown</t>
        </is>
      </c>
      <c r="G1369" t="inlineStr">
        <is>
          <t>Spain</t>
        </is>
      </c>
      <c r="H1369" t="inlineStr">
        <is>
          <t>Marketplace</t>
        </is>
      </c>
      <c r="I1369" t="n">
        <v>1</v>
      </c>
      <c r="J1369" s="3" t="n">
        <v>302.58</v>
      </c>
      <c r="K1369" s="3" t="n">
        <v>60.52</v>
      </c>
      <c r="L1369" s="3" t="n">
        <v>242.06</v>
      </c>
      <c r="M1369" s="3" t="n">
        <v>177.66</v>
      </c>
      <c r="N1369" s="3" t="n">
        <v>64.40000000000001</v>
      </c>
      <c r="O1369">
        <f>TEXT(A1369,"yyyy-mm")</f>
        <v/>
      </c>
    </row>
    <row r="1370">
      <c r="A1370" s="2" t="n">
        <v>45751</v>
      </c>
      <c r="B1370" t="n">
        <v>2025</v>
      </c>
      <c r="C1370" t="inlineStr">
        <is>
          <t>April</t>
        </is>
      </c>
      <c r="D1370" t="inlineStr">
        <is>
          <t>Eco Backpack</t>
        </is>
      </c>
      <c r="E1370" t="inlineStr">
        <is>
          <t>Sports &amp; Outdoors</t>
        </is>
      </c>
      <c r="F1370" t="inlineStr">
        <is>
          <t>Mark Brown</t>
        </is>
      </c>
      <c r="G1370" t="inlineStr">
        <is>
          <t>Spain</t>
        </is>
      </c>
      <c r="H1370" t="inlineStr">
        <is>
          <t>Marketplace</t>
        </is>
      </c>
      <c r="I1370" t="n">
        <v>2</v>
      </c>
      <c r="J1370" s="3" t="n">
        <v>537.12</v>
      </c>
      <c r="K1370" s="3" t="n">
        <v>0</v>
      </c>
      <c r="L1370" s="3" t="n">
        <v>537.12</v>
      </c>
      <c r="M1370" s="3" t="n">
        <v>293.16</v>
      </c>
      <c r="N1370" s="3" t="n">
        <v>243.96</v>
      </c>
      <c r="O1370">
        <f>TEXT(A1370,"yyyy-mm")</f>
        <v/>
      </c>
    </row>
    <row r="1371">
      <c r="A1371" s="2" t="n">
        <v>45751</v>
      </c>
      <c r="B1371" t="n">
        <v>2025</v>
      </c>
      <c r="C1371" t="inlineStr">
        <is>
          <t>April</t>
        </is>
      </c>
      <c r="D1371" t="inlineStr">
        <is>
          <t>Smart Board Game</t>
        </is>
      </c>
      <c r="E1371" t="inlineStr">
        <is>
          <t>Toys &amp; Games</t>
        </is>
      </c>
      <c r="F1371" t="inlineStr">
        <is>
          <t>Mark Brown</t>
        </is>
      </c>
      <c r="G1371" t="inlineStr">
        <is>
          <t>Spain</t>
        </is>
      </c>
      <c r="H1371" t="inlineStr">
        <is>
          <t>Marketplace</t>
        </is>
      </c>
      <c r="I1371" t="n">
        <v>3</v>
      </c>
      <c r="J1371" s="3" t="n">
        <v>378.36</v>
      </c>
      <c r="K1371" s="3" t="n">
        <v>0</v>
      </c>
      <c r="L1371" s="3" t="n">
        <v>378.36</v>
      </c>
      <c r="M1371" s="3" t="n">
        <v>275.16</v>
      </c>
      <c r="N1371" s="3" t="n">
        <v>103.2</v>
      </c>
      <c r="O1371">
        <f>TEXT(A1371,"yyyy-mm")</f>
        <v/>
      </c>
    </row>
    <row r="1372">
      <c r="A1372" s="2" t="n">
        <v>45751</v>
      </c>
      <c r="B1372" t="n">
        <v>2025</v>
      </c>
      <c r="C1372" t="inlineStr">
        <is>
          <t>April</t>
        </is>
      </c>
      <c r="D1372" t="inlineStr">
        <is>
          <t>Eco Planter</t>
        </is>
      </c>
      <c r="E1372" t="inlineStr">
        <is>
          <t>Home &amp; Garden</t>
        </is>
      </c>
      <c r="F1372" t="inlineStr">
        <is>
          <t>David Johnson</t>
        </is>
      </c>
      <c r="G1372" t="inlineStr">
        <is>
          <t>Netherlands</t>
        </is>
      </c>
      <c r="H1372" t="inlineStr">
        <is>
          <t>Web Store</t>
        </is>
      </c>
      <c r="I1372" t="n">
        <v>2</v>
      </c>
      <c r="J1372" s="3" t="n">
        <v>367.96</v>
      </c>
      <c r="K1372" s="3" t="n">
        <v>0</v>
      </c>
      <c r="L1372" s="3" t="n">
        <v>367.96</v>
      </c>
      <c r="M1372" s="3" t="n">
        <v>224.82</v>
      </c>
      <c r="N1372" s="3" t="n">
        <v>143.14</v>
      </c>
      <c r="O1372">
        <f>TEXT(A1372,"yyyy-mm")</f>
        <v/>
      </c>
    </row>
    <row r="1373">
      <c r="A1373" s="2" t="n">
        <v>45752</v>
      </c>
      <c r="B1373" t="n">
        <v>2025</v>
      </c>
      <c r="C1373" t="inlineStr">
        <is>
          <t>April</t>
        </is>
      </c>
      <c r="D1373" t="inlineStr">
        <is>
          <t>Premium Cookbook</t>
        </is>
      </c>
      <c r="E1373" t="inlineStr">
        <is>
          <t>Books</t>
        </is>
      </c>
      <c r="F1373" t="inlineStr">
        <is>
          <t>Maria Brown</t>
        </is>
      </c>
      <c r="G1373" t="inlineStr">
        <is>
          <t>United Kingdom</t>
        </is>
      </c>
      <c r="H1373" t="inlineStr">
        <is>
          <t>Web Store</t>
        </is>
      </c>
      <c r="I1373" t="n">
        <v>2</v>
      </c>
      <c r="J1373" s="3" t="n">
        <v>251.52</v>
      </c>
      <c r="K1373" s="3" t="n">
        <v>0</v>
      </c>
      <c r="L1373" s="3" t="n">
        <v>251.52</v>
      </c>
      <c r="M1373" s="3" t="n">
        <v>189.96</v>
      </c>
      <c r="N1373" s="3" t="n">
        <v>61.56</v>
      </c>
      <c r="O1373">
        <f>TEXT(A1373,"yyyy-mm")</f>
        <v/>
      </c>
    </row>
    <row r="1374">
      <c r="A1374" s="2" t="n">
        <v>45752</v>
      </c>
      <c r="B1374" t="n">
        <v>2025</v>
      </c>
      <c r="C1374" t="inlineStr">
        <is>
          <t>April</t>
        </is>
      </c>
      <c r="D1374" t="inlineStr">
        <is>
          <t>Eco Tent</t>
        </is>
      </c>
      <c r="E1374" t="inlineStr">
        <is>
          <t>Sports &amp; Outdoors</t>
        </is>
      </c>
      <c r="F1374" t="inlineStr">
        <is>
          <t>Maria Brown</t>
        </is>
      </c>
      <c r="G1374" t="inlineStr">
        <is>
          <t>United Kingdom</t>
        </is>
      </c>
      <c r="H1374" t="inlineStr">
        <is>
          <t>Web Store</t>
        </is>
      </c>
      <c r="I1374" t="n">
        <v>5</v>
      </c>
      <c r="J1374" s="3" t="n">
        <v>346.9</v>
      </c>
      <c r="K1374" s="3" t="n">
        <v>0</v>
      </c>
      <c r="L1374" s="3" t="n">
        <v>346.9</v>
      </c>
      <c r="M1374" s="3" t="n">
        <v>219.25</v>
      </c>
      <c r="N1374" s="3" t="n">
        <v>127.65</v>
      </c>
      <c r="O1374">
        <f>TEXT(A1374,"yyyy-mm")</f>
        <v/>
      </c>
    </row>
    <row r="1375">
      <c r="A1375" s="2" t="n">
        <v>45752</v>
      </c>
      <c r="B1375" t="n">
        <v>2025</v>
      </c>
      <c r="C1375" t="inlineStr">
        <is>
          <t>April</t>
        </is>
      </c>
      <c r="D1375" t="inlineStr">
        <is>
          <t>Essential Charger</t>
        </is>
      </c>
      <c r="E1375" t="inlineStr">
        <is>
          <t>Electronics</t>
        </is>
      </c>
      <c r="F1375" t="inlineStr">
        <is>
          <t>Maria Brown</t>
        </is>
      </c>
      <c r="G1375" t="inlineStr">
        <is>
          <t>United Kingdom</t>
        </is>
      </c>
      <c r="H1375" t="inlineStr">
        <is>
          <t>Web Store</t>
        </is>
      </c>
      <c r="I1375" t="n">
        <v>1</v>
      </c>
      <c r="J1375" s="3" t="n">
        <v>42.86</v>
      </c>
      <c r="K1375" s="3" t="n">
        <v>8.57</v>
      </c>
      <c r="L1375" s="3" t="n">
        <v>34.29</v>
      </c>
      <c r="M1375" s="3" t="n">
        <v>29.1</v>
      </c>
      <c r="N1375" s="3" t="n">
        <v>5.19</v>
      </c>
      <c r="O1375">
        <f>TEXT(A1375,"yyyy-mm")</f>
        <v/>
      </c>
    </row>
    <row r="1376">
      <c r="A1376" s="2" t="n">
        <v>45752</v>
      </c>
      <c r="B1376" t="n">
        <v>2025</v>
      </c>
      <c r="C1376" t="inlineStr">
        <is>
          <t>April</t>
        </is>
      </c>
      <c r="D1376" t="inlineStr">
        <is>
          <t>Essential Planter</t>
        </is>
      </c>
      <c r="E1376" t="inlineStr">
        <is>
          <t>Home &amp; Garden</t>
        </is>
      </c>
      <c r="F1376" t="inlineStr">
        <is>
          <t>Mark Bianchi</t>
        </is>
      </c>
      <c r="G1376" t="inlineStr">
        <is>
          <t>Spain</t>
        </is>
      </c>
      <c r="H1376" t="inlineStr">
        <is>
          <t>Retail Store</t>
        </is>
      </c>
      <c r="I1376" t="n">
        <v>1</v>
      </c>
      <c r="J1376" s="3" t="n">
        <v>26.74</v>
      </c>
      <c r="K1376" s="3" t="n">
        <v>4.01</v>
      </c>
      <c r="L1376" s="3" t="n">
        <v>22.73</v>
      </c>
      <c r="M1376" s="3" t="n">
        <v>19.64</v>
      </c>
      <c r="N1376" s="3" t="n">
        <v>3.09</v>
      </c>
      <c r="O1376">
        <f>TEXT(A1376,"yyyy-mm")</f>
        <v/>
      </c>
    </row>
    <row r="1377">
      <c r="A1377" s="2" t="n">
        <v>45752</v>
      </c>
      <c r="B1377" t="n">
        <v>2025</v>
      </c>
      <c r="C1377" t="inlineStr">
        <is>
          <t>April</t>
        </is>
      </c>
      <c r="D1377" t="inlineStr">
        <is>
          <t>Compact Pasta</t>
        </is>
      </c>
      <c r="E1377" t="inlineStr">
        <is>
          <t>Grocery</t>
        </is>
      </c>
      <c r="F1377" t="inlineStr">
        <is>
          <t>Mark Bianchi</t>
        </is>
      </c>
      <c r="G1377" t="inlineStr">
        <is>
          <t>Spain</t>
        </is>
      </c>
      <c r="H1377" t="inlineStr">
        <is>
          <t>Retail Store</t>
        </is>
      </c>
      <c r="I1377" t="n">
        <v>2</v>
      </c>
      <c r="J1377" s="3" t="n">
        <v>615.1</v>
      </c>
      <c r="K1377" s="3" t="n">
        <v>0</v>
      </c>
      <c r="L1377" s="3" t="n">
        <v>615.1</v>
      </c>
      <c r="M1377" s="3" t="n">
        <v>398.8</v>
      </c>
      <c r="N1377" s="3" t="n">
        <v>216.3</v>
      </c>
      <c r="O1377">
        <f>TEXT(A1377,"yyyy-mm")</f>
        <v/>
      </c>
    </row>
    <row r="1378">
      <c r="A1378" s="2" t="n">
        <v>45752</v>
      </c>
      <c r="B1378" t="n">
        <v>2025</v>
      </c>
      <c r="C1378" t="inlineStr">
        <is>
          <t>April</t>
        </is>
      </c>
      <c r="D1378" t="inlineStr">
        <is>
          <t>Portable Tea Set</t>
        </is>
      </c>
      <c r="E1378" t="inlineStr">
        <is>
          <t>Grocery</t>
        </is>
      </c>
      <c r="F1378" t="inlineStr">
        <is>
          <t>Anna Schmidt</t>
        </is>
      </c>
      <c r="G1378" t="inlineStr">
        <is>
          <t>Italy</t>
        </is>
      </c>
      <c r="H1378" t="inlineStr">
        <is>
          <t>Marketplace</t>
        </is>
      </c>
      <c r="I1378" t="n">
        <v>5</v>
      </c>
      <c r="J1378" s="3" t="n">
        <v>1355.5</v>
      </c>
      <c r="K1378" s="3" t="n">
        <v>135.55</v>
      </c>
      <c r="L1378" s="3" t="n">
        <v>1219.95</v>
      </c>
      <c r="M1378" s="3" t="n">
        <v>940.6</v>
      </c>
      <c r="N1378" s="3" t="n">
        <v>279.35</v>
      </c>
      <c r="O1378">
        <f>TEXT(A1378,"yyyy-mm")</f>
        <v/>
      </c>
    </row>
    <row r="1379">
      <c r="A1379" s="2" t="n">
        <v>45753</v>
      </c>
      <c r="B1379" t="n">
        <v>2025</v>
      </c>
      <c r="C1379" t="inlineStr">
        <is>
          <t>April</t>
        </is>
      </c>
      <c r="D1379" t="inlineStr">
        <is>
          <t>Classic Bike Helmet</t>
        </is>
      </c>
      <c r="E1379" t="inlineStr">
        <is>
          <t>Sports &amp; Outdoors</t>
        </is>
      </c>
      <c r="F1379" t="inlineStr">
        <is>
          <t>Robert Wilson</t>
        </is>
      </c>
      <c r="G1379" t="inlineStr">
        <is>
          <t>Italy</t>
        </is>
      </c>
      <c r="H1379" t="inlineStr">
        <is>
          <t>Mobile App</t>
        </is>
      </c>
      <c r="I1379" t="n">
        <v>4</v>
      </c>
      <c r="J1379" s="3" t="n">
        <v>828.04</v>
      </c>
      <c r="K1379" s="3" t="n">
        <v>124.21</v>
      </c>
      <c r="L1379" s="3" t="n">
        <v>703.83</v>
      </c>
      <c r="M1379" s="3" t="n">
        <v>615.24</v>
      </c>
      <c r="N1379" s="3" t="n">
        <v>88.59</v>
      </c>
      <c r="O1379">
        <f>TEXT(A1379,"yyyy-mm")</f>
        <v/>
      </c>
    </row>
    <row r="1380">
      <c r="A1380" s="2" t="n">
        <v>45753</v>
      </c>
      <c r="B1380" t="n">
        <v>2025</v>
      </c>
      <c r="C1380" t="inlineStr">
        <is>
          <t>April</t>
        </is>
      </c>
      <c r="D1380" t="inlineStr">
        <is>
          <t>Ultra Vitamins</t>
        </is>
      </c>
      <c r="E1380" t="inlineStr">
        <is>
          <t>Beauty &amp; Health</t>
        </is>
      </c>
      <c r="F1380" t="inlineStr">
        <is>
          <t>Robert Wilson</t>
        </is>
      </c>
      <c r="G1380" t="inlineStr">
        <is>
          <t>Italy</t>
        </is>
      </c>
      <c r="H1380" t="inlineStr">
        <is>
          <t>Mobile App</t>
        </is>
      </c>
      <c r="I1380" t="n">
        <v>4</v>
      </c>
      <c r="J1380" s="3" t="n">
        <v>815.16</v>
      </c>
      <c r="K1380" s="3" t="n">
        <v>163.03</v>
      </c>
      <c r="L1380" s="3" t="n">
        <v>652.13</v>
      </c>
      <c r="M1380" s="3" t="n">
        <v>504.4</v>
      </c>
      <c r="N1380" s="3" t="n">
        <v>147.73</v>
      </c>
      <c r="O1380">
        <f>TEXT(A1380,"yyyy-mm")</f>
        <v/>
      </c>
    </row>
    <row r="1381">
      <c r="A1381" s="2" t="n">
        <v>45753</v>
      </c>
      <c r="B1381" t="n">
        <v>2025</v>
      </c>
      <c r="C1381" t="inlineStr">
        <is>
          <t>April</t>
        </is>
      </c>
      <c r="D1381" t="inlineStr">
        <is>
          <t>Ultra Rug</t>
        </is>
      </c>
      <c r="E1381" t="inlineStr">
        <is>
          <t>Home &amp; Garden</t>
        </is>
      </c>
      <c r="F1381" t="inlineStr">
        <is>
          <t>David Moreau</t>
        </is>
      </c>
      <c r="G1381" t="inlineStr">
        <is>
          <t>Poland</t>
        </is>
      </c>
      <c r="H1381" t="inlineStr">
        <is>
          <t>Web Store</t>
        </is>
      </c>
      <c r="I1381" t="n">
        <v>5</v>
      </c>
      <c r="J1381" s="3" t="n">
        <v>259.95</v>
      </c>
      <c r="K1381" s="3" t="n">
        <v>51.99</v>
      </c>
      <c r="L1381" s="3" t="n">
        <v>207.96</v>
      </c>
      <c r="M1381" s="3" t="n">
        <v>164.55</v>
      </c>
      <c r="N1381" s="3" t="n">
        <v>43.41</v>
      </c>
      <c r="O1381">
        <f>TEXT(A1381,"yyyy-mm")</f>
        <v/>
      </c>
    </row>
    <row r="1382">
      <c r="A1382" s="2" t="n">
        <v>45753</v>
      </c>
      <c r="B1382" t="n">
        <v>2025</v>
      </c>
      <c r="C1382" t="inlineStr">
        <is>
          <t>April</t>
        </is>
      </c>
      <c r="D1382" t="inlineStr">
        <is>
          <t>Deluxe Cookbook</t>
        </is>
      </c>
      <c r="E1382" t="inlineStr">
        <is>
          <t>Books</t>
        </is>
      </c>
      <c r="F1382" t="inlineStr">
        <is>
          <t>Paul Zielinski</t>
        </is>
      </c>
      <c r="G1382" t="inlineStr">
        <is>
          <t>Germany</t>
        </is>
      </c>
      <c r="H1382" t="inlineStr">
        <is>
          <t>Web Store</t>
        </is>
      </c>
      <c r="I1382" t="n">
        <v>4</v>
      </c>
      <c r="J1382" s="3" t="n">
        <v>523.48</v>
      </c>
      <c r="K1382" s="3" t="n">
        <v>0</v>
      </c>
      <c r="L1382" s="3" t="n">
        <v>523.48</v>
      </c>
      <c r="M1382" s="3" t="n">
        <v>341.08</v>
      </c>
      <c r="N1382" s="3" t="n">
        <v>182.4</v>
      </c>
      <c r="O1382">
        <f>TEXT(A1382,"yyyy-mm")</f>
        <v/>
      </c>
    </row>
    <row r="1383">
      <c r="A1383" s="2" t="n">
        <v>45753</v>
      </c>
      <c r="B1383" t="n">
        <v>2025</v>
      </c>
      <c r="C1383" t="inlineStr">
        <is>
          <t>April</t>
        </is>
      </c>
      <c r="D1383" t="inlineStr">
        <is>
          <t>Portable Speaker</t>
        </is>
      </c>
      <c r="E1383" t="inlineStr">
        <is>
          <t>Electronics</t>
        </is>
      </c>
      <c r="F1383" t="inlineStr">
        <is>
          <t>Maria Moreau</t>
        </is>
      </c>
      <c r="G1383" t="inlineStr">
        <is>
          <t>United Kingdom</t>
        </is>
      </c>
      <c r="H1383" t="inlineStr">
        <is>
          <t>Web Store</t>
        </is>
      </c>
      <c r="I1383" t="n">
        <v>2</v>
      </c>
      <c r="J1383" s="3" t="n">
        <v>661.46</v>
      </c>
      <c r="K1383" s="3" t="n">
        <v>99.22</v>
      </c>
      <c r="L1383" s="3" t="n">
        <v>562.24</v>
      </c>
      <c r="M1383" s="3" t="n">
        <v>349.66</v>
      </c>
      <c r="N1383" s="3" t="n">
        <v>212.58</v>
      </c>
      <c r="O1383">
        <f>TEXT(A1383,"yyyy-mm")</f>
        <v/>
      </c>
    </row>
    <row r="1384">
      <c r="A1384" s="2" t="n">
        <v>45755</v>
      </c>
      <c r="B1384" t="n">
        <v>2025</v>
      </c>
      <c r="C1384" t="inlineStr">
        <is>
          <t>April</t>
        </is>
      </c>
      <c r="D1384" t="inlineStr">
        <is>
          <t>Deluxe Puzzle</t>
        </is>
      </c>
      <c r="E1384" t="inlineStr">
        <is>
          <t>Toys &amp; Games</t>
        </is>
      </c>
      <c r="F1384" t="inlineStr">
        <is>
          <t>Emma Rossi</t>
        </is>
      </c>
      <c r="G1384" t="inlineStr">
        <is>
          <t>France</t>
        </is>
      </c>
      <c r="H1384" t="inlineStr">
        <is>
          <t>Mobile App</t>
        </is>
      </c>
      <c r="I1384" t="n">
        <v>2</v>
      </c>
      <c r="J1384" s="3" t="n">
        <v>412.6</v>
      </c>
      <c r="K1384" s="3" t="n">
        <v>0</v>
      </c>
      <c r="L1384" s="3" t="n">
        <v>412.6</v>
      </c>
      <c r="M1384" s="3" t="n">
        <v>222.34</v>
      </c>
      <c r="N1384" s="3" t="n">
        <v>190.26</v>
      </c>
      <c r="O1384">
        <f>TEXT(A1384,"yyyy-mm")</f>
        <v/>
      </c>
    </row>
    <row r="1385">
      <c r="A1385" s="2" t="n">
        <v>45755</v>
      </c>
      <c r="B1385" t="n">
        <v>2025</v>
      </c>
      <c r="C1385" t="inlineStr">
        <is>
          <t>April</t>
        </is>
      </c>
      <c r="D1385" t="inlineStr">
        <is>
          <t>Essential Pasta</t>
        </is>
      </c>
      <c r="E1385" t="inlineStr">
        <is>
          <t>Grocery</t>
        </is>
      </c>
      <c r="F1385" t="inlineStr">
        <is>
          <t>Laura Rossi</t>
        </is>
      </c>
      <c r="G1385" t="inlineStr">
        <is>
          <t>United States</t>
        </is>
      </c>
      <c r="H1385" t="inlineStr">
        <is>
          <t>Mobile App</t>
        </is>
      </c>
      <c r="I1385" t="n">
        <v>3</v>
      </c>
      <c r="J1385" s="3" t="n">
        <v>166.41</v>
      </c>
      <c r="K1385" s="3" t="n">
        <v>8.32</v>
      </c>
      <c r="L1385" s="3" t="n">
        <v>158.09</v>
      </c>
      <c r="M1385" s="3" t="n">
        <v>107.43</v>
      </c>
      <c r="N1385" s="3" t="n">
        <v>50.66</v>
      </c>
      <c r="O1385">
        <f>TEXT(A1385,"yyyy-mm")</f>
        <v/>
      </c>
    </row>
    <row r="1386">
      <c r="A1386" s="2" t="n">
        <v>45755</v>
      </c>
      <c r="B1386" t="n">
        <v>2025</v>
      </c>
      <c r="C1386" t="inlineStr">
        <is>
          <t>April</t>
        </is>
      </c>
      <c r="D1386" t="inlineStr">
        <is>
          <t>Eco Biography</t>
        </is>
      </c>
      <c r="E1386" t="inlineStr">
        <is>
          <t>Books</t>
        </is>
      </c>
      <c r="F1386" t="inlineStr">
        <is>
          <t>Olivia Wilson</t>
        </is>
      </c>
      <c r="G1386" t="inlineStr">
        <is>
          <t>Germany</t>
        </is>
      </c>
      <c r="H1386" t="inlineStr">
        <is>
          <t>Marketplace</t>
        </is>
      </c>
      <c r="I1386" t="n">
        <v>4</v>
      </c>
      <c r="J1386" s="3" t="n">
        <v>491.44</v>
      </c>
      <c r="K1386" s="3" t="n">
        <v>0</v>
      </c>
      <c r="L1386" s="3" t="n">
        <v>491.44</v>
      </c>
      <c r="M1386" s="3" t="n">
        <v>284.08</v>
      </c>
      <c r="N1386" s="3" t="n">
        <v>207.36</v>
      </c>
      <c r="O1386">
        <f>TEXT(A1386,"yyyy-mm")</f>
        <v/>
      </c>
    </row>
    <row r="1387">
      <c r="A1387" s="2" t="n">
        <v>45755</v>
      </c>
      <c r="B1387" t="n">
        <v>2025</v>
      </c>
      <c r="C1387" t="inlineStr">
        <is>
          <t>April</t>
        </is>
      </c>
      <c r="D1387" t="inlineStr">
        <is>
          <t>Smart Drone</t>
        </is>
      </c>
      <c r="E1387" t="inlineStr">
        <is>
          <t>Toys &amp; Games</t>
        </is>
      </c>
      <c r="F1387" t="inlineStr">
        <is>
          <t>Laura Rossi</t>
        </is>
      </c>
      <c r="G1387" t="inlineStr">
        <is>
          <t>United States</t>
        </is>
      </c>
      <c r="H1387" t="inlineStr">
        <is>
          <t>Mobile App</t>
        </is>
      </c>
      <c r="I1387" t="n">
        <v>5</v>
      </c>
      <c r="J1387" s="3" t="n">
        <v>1063.1</v>
      </c>
      <c r="K1387" s="3" t="n">
        <v>53.16</v>
      </c>
      <c r="L1387" s="3" t="n">
        <v>1009.94</v>
      </c>
      <c r="M1387" s="3" t="n">
        <v>634.75</v>
      </c>
      <c r="N1387" s="3" t="n">
        <v>375.19</v>
      </c>
      <c r="O1387">
        <f>TEXT(A1387,"yyyy-mm")</f>
        <v/>
      </c>
    </row>
    <row r="1388">
      <c r="A1388" s="2" t="n">
        <v>45755</v>
      </c>
      <c r="B1388" t="n">
        <v>2025</v>
      </c>
      <c r="C1388" t="inlineStr">
        <is>
          <t>April</t>
        </is>
      </c>
      <c r="D1388" t="inlineStr">
        <is>
          <t>Classic Sunscreen</t>
        </is>
      </c>
      <c r="E1388" t="inlineStr">
        <is>
          <t>Beauty &amp; Health</t>
        </is>
      </c>
      <c r="F1388" t="inlineStr">
        <is>
          <t>Laura Rossi</t>
        </is>
      </c>
      <c r="G1388" t="inlineStr">
        <is>
          <t>United States</t>
        </is>
      </c>
      <c r="H1388" t="inlineStr">
        <is>
          <t>Mobile App</t>
        </is>
      </c>
      <c r="I1388" t="n">
        <v>5</v>
      </c>
      <c r="J1388" s="3" t="n">
        <v>709.2</v>
      </c>
      <c r="K1388" s="3" t="n">
        <v>35.46</v>
      </c>
      <c r="L1388" s="3" t="n">
        <v>673.74</v>
      </c>
      <c r="M1388" s="3" t="n">
        <v>468.45</v>
      </c>
      <c r="N1388" s="3" t="n">
        <v>205.29</v>
      </c>
      <c r="O1388">
        <f>TEXT(A1388,"yyyy-mm")</f>
        <v/>
      </c>
    </row>
    <row r="1389">
      <c r="A1389" s="2" t="n">
        <v>45755</v>
      </c>
      <c r="B1389" t="n">
        <v>2025</v>
      </c>
      <c r="C1389" t="inlineStr">
        <is>
          <t>April</t>
        </is>
      </c>
      <c r="D1389" t="inlineStr">
        <is>
          <t>Essential Charger</t>
        </is>
      </c>
      <c r="E1389" t="inlineStr">
        <is>
          <t>Electronics</t>
        </is>
      </c>
      <c r="F1389" t="inlineStr">
        <is>
          <t>Thomas Fischer</t>
        </is>
      </c>
      <c r="G1389" t="inlineStr">
        <is>
          <t>France</t>
        </is>
      </c>
      <c r="H1389" t="inlineStr">
        <is>
          <t>Marketplace</t>
        </is>
      </c>
      <c r="I1389" t="n">
        <v>5</v>
      </c>
      <c r="J1389" s="3" t="n">
        <v>212.5</v>
      </c>
      <c r="K1389" s="3" t="n">
        <v>21.25</v>
      </c>
      <c r="L1389" s="3" t="n">
        <v>191.25</v>
      </c>
      <c r="M1389" s="3" t="n">
        <v>145.5</v>
      </c>
      <c r="N1389" s="3" t="n">
        <v>45.75</v>
      </c>
      <c r="O1389">
        <f>TEXT(A1389,"yyyy-mm")</f>
        <v/>
      </c>
    </row>
    <row r="1390">
      <c r="A1390" s="2" t="n">
        <v>45755</v>
      </c>
      <c r="B1390" t="n">
        <v>2025</v>
      </c>
      <c r="C1390" t="inlineStr">
        <is>
          <t>April</t>
        </is>
      </c>
      <c r="D1390" t="inlineStr">
        <is>
          <t>Classic Atlas</t>
        </is>
      </c>
      <c r="E1390" t="inlineStr">
        <is>
          <t>Books</t>
        </is>
      </c>
      <c r="F1390" t="inlineStr">
        <is>
          <t>Thomas Fischer</t>
        </is>
      </c>
      <c r="G1390" t="inlineStr">
        <is>
          <t>France</t>
        </is>
      </c>
      <c r="H1390" t="inlineStr">
        <is>
          <t>Marketplace</t>
        </is>
      </c>
      <c r="I1390" t="n">
        <v>2</v>
      </c>
      <c r="J1390" s="3" t="n">
        <v>122.92</v>
      </c>
      <c r="K1390" s="3" t="n">
        <v>18.44</v>
      </c>
      <c r="L1390" s="3" t="n">
        <v>104.48</v>
      </c>
      <c r="M1390" s="3" t="n">
        <v>69.18000000000001</v>
      </c>
      <c r="N1390" s="3" t="n">
        <v>35.3</v>
      </c>
      <c r="O1390">
        <f>TEXT(A1390,"yyyy-mm")</f>
        <v/>
      </c>
    </row>
    <row r="1391">
      <c r="A1391" s="2" t="n">
        <v>45755</v>
      </c>
      <c r="B1391" t="n">
        <v>2025</v>
      </c>
      <c r="C1391" t="inlineStr">
        <is>
          <t>April</t>
        </is>
      </c>
      <c r="D1391" t="inlineStr">
        <is>
          <t>Ultra Toolset</t>
        </is>
      </c>
      <c r="E1391" t="inlineStr">
        <is>
          <t>Home &amp; Garden</t>
        </is>
      </c>
      <c r="F1391" t="inlineStr">
        <is>
          <t>Laura Rossi</t>
        </is>
      </c>
      <c r="G1391" t="inlineStr">
        <is>
          <t>United States</t>
        </is>
      </c>
      <c r="H1391" t="inlineStr">
        <is>
          <t>Mobile App</t>
        </is>
      </c>
      <c r="I1391" t="n">
        <v>5</v>
      </c>
      <c r="J1391" s="3" t="n">
        <v>1781.85</v>
      </c>
      <c r="K1391" s="3" t="n">
        <v>89.09</v>
      </c>
      <c r="L1391" s="3" t="n">
        <v>1692.76</v>
      </c>
      <c r="M1391" s="3" t="n">
        <v>952</v>
      </c>
      <c r="N1391" s="3" t="n">
        <v>740.76</v>
      </c>
      <c r="O1391">
        <f>TEXT(A1391,"yyyy-mm")</f>
        <v/>
      </c>
    </row>
    <row r="1392">
      <c r="A1392" s="2" t="n">
        <v>45755</v>
      </c>
      <c r="B1392" t="n">
        <v>2025</v>
      </c>
      <c r="C1392" t="inlineStr">
        <is>
          <t>April</t>
        </is>
      </c>
      <c r="D1392" t="inlineStr">
        <is>
          <t>Wireless Drone</t>
        </is>
      </c>
      <c r="E1392" t="inlineStr">
        <is>
          <t>Toys &amp; Games</t>
        </is>
      </c>
      <c r="F1392" t="inlineStr">
        <is>
          <t>Emma Muller</t>
        </is>
      </c>
      <c r="G1392" t="inlineStr">
        <is>
          <t>United States</t>
        </is>
      </c>
      <c r="H1392" t="inlineStr">
        <is>
          <t>Mobile App</t>
        </is>
      </c>
      <c r="I1392" t="n">
        <v>1</v>
      </c>
      <c r="J1392" s="3" t="n">
        <v>227.35</v>
      </c>
      <c r="K1392" s="3" t="n">
        <v>0</v>
      </c>
      <c r="L1392" s="3" t="n">
        <v>227.35</v>
      </c>
      <c r="M1392" s="3" t="n">
        <v>131.29</v>
      </c>
      <c r="N1392" s="3" t="n">
        <v>96.06</v>
      </c>
      <c r="O1392">
        <f>TEXT(A1392,"yyyy-mm")</f>
        <v/>
      </c>
    </row>
    <row r="1393">
      <c r="A1393" s="2" t="n">
        <v>45755</v>
      </c>
      <c r="B1393" t="n">
        <v>2025</v>
      </c>
      <c r="C1393" t="inlineStr">
        <is>
          <t>April</t>
        </is>
      </c>
      <c r="D1393" t="inlineStr">
        <is>
          <t>Smart Camera</t>
        </is>
      </c>
      <c r="E1393" t="inlineStr">
        <is>
          <t>Electronics</t>
        </is>
      </c>
      <c r="F1393" t="inlineStr">
        <is>
          <t>Emma Muller</t>
        </is>
      </c>
      <c r="G1393" t="inlineStr">
        <is>
          <t>United States</t>
        </is>
      </c>
      <c r="H1393" t="inlineStr">
        <is>
          <t>Mobile App</t>
        </is>
      </c>
      <c r="I1393" t="n">
        <v>4</v>
      </c>
      <c r="J1393" s="3" t="n">
        <v>490.12</v>
      </c>
      <c r="K1393" s="3" t="n">
        <v>0</v>
      </c>
      <c r="L1393" s="3" t="n">
        <v>490.12</v>
      </c>
      <c r="M1393" s="3" t="n">
        <v>342.32</v>
      </c>
      <c r="N1393" s="3" t="n">
        <v>147.8</v>
      </c>
      <c r="O1393">
        <f>TEXT(A1393,"yyyy-mm")</f>
        <v/>
      </c>
    </row>
    <row r="1394">
      <c r="A1394" s="2" t="n">
        <v>45755</v>
      </c>
      <c r="B1394" t="n">
        <v>2025</v>
      </c>
      <c r="C1394" t="inlineStr">
        <is>
          <t>April</t>
        </is>
      </c>
      <c r="D1394" t="inlineStr">
        <is>
          <t>Essential Vitamins</t>
        </is>
      </c>
      <c r="E1394" t="inlineStr">
        <is>
          <t>Beauty &amp; Health</t>
        </is>
      </c>
      <c r="F1394" t="inlineStr">
        <is>
          <t>Laura Muller</t>
        </is>
      </c>
      <c r="G1394" t="inlineStr">
        <is>
          <t>Italy</t>
        </is>
      </c>
      <c r="H1394" t="inlineStr">
        <is>
          <t>Marketplace</t>
        </is>
      </c>
      <c r="I1394" t="n">
        <v>3</v>
      </c>
      <c r="J1394" s="3" t="n">
        <v>501.03</v>
      </c>
      <c r="K1394" s="3" t="n">
        <v>50.1</v>
      </c>
      <c r="L1394" s="3" t="n">
        <v>450.93</v>
      </c>
      <c r="M1394" s="3" t="n">
        <v>330.9</v>
      </c>
      <c r="N1394" s="3" t="n">
        <v>120.03</v>
      </c>
      <c r="O1394">
        <f>TEXT(A1394,"yyyy-mm")</f>
        <v/>
      </c>
    </row>
    <row r="1395">
      <c r="A1395" s="2" t="n">
        <v>45755</v>
      </c>
      <c r="B1395" t="n">
        <v>2025</v>
      </c>
      <c r="C1395" t="inlineStr">
        <is>
          <t>April</t>
        </is>
      </c>
      <c r="D1395" t="inlineStr">
        <is>
          <t>Compact Biography</t>
        </is>
      </c>
      <c r="E1395" t="inlineStr">
        <is>
          <t>Books</t>
        </is>
      </c>
      <c r="F1395" t="inlineStr">
        <is>
          <t>Laura Muller</t>
        </is>
      </c>
      <c r="G1395" t="inlineStr">
        <is>
          <t>Italy</t>
        </is>
      </c>
      <c r="H1395" t="inlineStr">
        <is>
          <t>Marketplace</t>
        </is>
      </c>
      <c r="I1395" t="n">
        <v>2</v>
      </c>
      <c r="J1395" s="3" t="n">
        <v>522.8</v>
      </c>
      <c r="K1395" s="3" t="n">
        <v>0</v>
      </c>
      <c r="L1395" s="3" t="n">
        <v>522.8</v>
      </c>
      <c r="M1395" s="3" t="n">
        <v>280.66</v>
      </c>
      <c r="N1395" s="3" t="n">
        <v>242.14</v>
      </c>
      <c r="O1395">
        <f>TEXT(A1395,"yyyy-mm")</f>
        <v/>
      </c>
    </row>
    <row r="1396">
      <c r="A1396" s="2" t="n">
        <v>45755</v>
      </c>
      <c r="B1396" t="n">
        <v>2025</v>
      </c>
      <c r="C1396" t="inlineStr">
        <is>
          <t>April</t>
        </is>
      </c>
      <c r="D1396" t="inlineStr">
        <is>
          <t>Deluxe Toolset</t>
        </is>
      </c>
      <c r="E1396" t="inlineStr">
        <is>
          <t>Home &amp; Garden</t>
        </is>
      </c>
      <c r="F1396" t="inlineStr">
        <is>
          <t>Thomas Fischer</t>
        </is>
      </c>
      <c r="G1396" t="inlineStr">
        <is>
          <t>France</t>
        </is>
      </c>
      <c r="H1396" t="inlineStr">
        <is>
          <t>Marketplace</t>
        </is>
      </c>
      <c r="I1396" t="n">
        <v>3</v>
      </c>
      <c r="J1396" s="3" t="n">
        <v>195.21</v>
      </c>
      <c r="K1396" s="3" t="n">
        <v>0</v>
      </c>
      <c r="L1396" s="3" t="n">
        <v>195.21</v>
      </c>
      <c r="M1396" s="3" t="n">
        <v>143.13</v>
      </c>
      <c r="N1396" s="3" t="n">
        <v>52.08</v>
      </c>
      <c r="O1396">
        <f>TEXT(A1396,"yyyy-mm")</f>
        <v/>
      </c>
    </row>
    <row r="1397">
      <c r="A1397" s="2" t="n">
        <v>45755</v>
      </c>
      <c r="B1397" t="n">
        <v>2025</v>
      </c>
      <c r="C1397" t="inlineStr">
        <is>
          <t>April</t>
        </is>
      </c>
      <c r="D1397" t="inlineStr">
        <is>
          <t>Smart Tea Set</t>
        </is>
      </c>
      <c r="E1397" t="inlineStr">
        <is>
          <t>Grocery</t>
        </is>
      </c>
      <c r="F1397" t="inlineStr">
        <is>
          <t>Emma Muller</t>
        </is>
      </c>
      <c r="G1397" t="inlineStr">
        <is>
          <t>United States</t>
        </is>
      </c>
      <c r="H1397" t="inlineStr">
        <is>
          <t>Mobile App</t>
        </is>
      </c>
      <c r="I1397" t="n">
        <v>3</v>
      </c>
      <c r="J1397" s="3" t="n">
        <v>264.57</v>
      </c>
      <c r="K1397" s="3" t="n">
        <v>52.91</v>
      </c>
      <c r="L1397" s="3" t="n">
        <v>211.66</v>
      </c>
      <c r="M1397" s="3" t="n">
        <v>185.4</v>
      </c>
      <c r="N1397" s="3" t="n">
        <v>26.26</v>
      </c>
      <c r="O1397">
        <f>TEXT(A1397,"yyyy-mm")</f>
        <v/>
      </c>
    </row>
    <row r="1398">
      <c r="A1398" s="2" t="n">
        <v>45755</v>
      </c>
      <c r="B1398" t="n">
        <v>2025</v>
      </c>
      <c r="C1398" t="inlineStr">
        <is>
          <t>April</t>
        </is>
      </c>
      <c r="D1398" t="inlineStr">
        <is>
          <t>Smart Jeans</t>
        </is>
      </c>
      <c r="E1398" t="inlineStr">
        <is>
          <t>Clothing</t>
        </is>
      </c>
      <c r="F1398" t="inlineStr">
        <is>
          <t>Emma Muller</t>
        </is>
      </c>
      <c r="G1398" t="inlineStr">
        <is>
          <t>United States</t>
        </is>
      </c>
      <c r="H1398" t="inlineStr">
        <is>
          <t>Mobile App</t>
        </is>
      </c>
      <c r="I1398" t="n">
        <v>3</v>
      </c>
      <c r="J1398" s="3" t="n">
        <v>840.75</v>
      </c>
      <c r="K1398" s="3" t="n">
        <v>168.15</v>
      </c>
      <c r="L1398" s="3" t="n">
        <v>672.6</v>
      </c>
      <c r="M1398" s="3" t="n">
        <v>580.92</v>
      </c>
      <c r="N1398" s="3" t="n">
        <v>91.68000000000001</v>
      </c>
      <c r="O1398">
        <f>TEXT(A1398,"yyyy-mm")</f>
        <v/>
      </c>
    </row>
    <row r="1399">
      <c r="A1399" s="2" t="n">
        <v>45755</v>
      </c>
      <c r="B1399" t="n">
        <v>2025</v>
      </c>
      <c r="C1399" t="inlineStr">
        <is>
          <t>April</t>
        </is>
      </c>
      <c r="D1399" t="inlineStr">
        <is>
          <t>Essential Cushion</t>
        </is>
      </c>
      <c r="E1399" t="inlineStr">
        <is>
          <t>Home &amp; Garden</t>
        </is>
      </c>
      <c r="F1399" t="inlineStr">
        <is>
          <t>Thomas Fischer</t>
        </is>
      </c>
      <c r="G1399" t="inlineStr">
        <is>
          <t>France</t>
        </is>
      </c>
      <c r="H1399" t="inlineStr">
        <is>
          <t>Marketplace</t>
        </is>
      </c>
      <c r="I1399" t="n">
        <v>5</v>
      </c>
      <c r="J1399" s="3" t="n">
        <v>232.25</v>
      </c>
      <c r="K1399" s="3" t="n">
        <v>34.84</v>
      </c>
      <c r="L1399" s="3" t="n">
        <v>197.41</v>
      </c>
      <c r="M1399" s="3" t="n">
        <v>152.75</v>
      </c>
      <c r="N1399" s="3" t="n">
        <v>44.66</v>
      </c>
      <c r="O1399">
        <f>TEXT(A1399,"yyyy-mm")</f>
        <v/>
      </c>
    </row>
    <row r="1400">
      <c r="A1400" s="2" t="n">
        <v>45756</v>
      </c>
      <c r="B1400" t="n">
        <v>2025</v>
      </c>
      <c r="C1400" t="inlineStr">
        <is>
          <t>April</t>
        </is>
      </c>
      <c r="D1400" t="inlineStr">
        <is>
          <t>Smart Jeans</t>
        </is>
      </c>
      <c r="E1400" t="inlineStr">
        <is>
          <t>Clothing</t>
        </is>
      </c>
      <c r="F1400" t="inlineStr">
        <is>
          <t>Emily Rossi</t>
        </is>
      </c>
      <c r="G1400" t="inlineStr">
        <is>
          <t>United Kingdom</t>
        </is>
      </c>
      <c r="H1400" t="inlineStr">
        <is>
          <t>Marketplace</t>
        </is>
      </c>
      <c r="I1400" t="n">
        <v>2</v>
      </c>
      <c r="J1400" s="3" t="n">
        <v>552.3</v>
      </c>
      <c r="K1400" s="3" t="n">
        <v>0</v>
      </c>
      <c r="L1400" s="3" t="n">
        <v>552.3</v>
      </c>
      <c r="M1400" s="3" t="n">
        <v>387.28</v>
      </c>
      <c r="N1400" s="3" t="n">
        <v>165.02</v>
      </c>
      <c r="O1400">
        <f>TEXT(A1400,"yyyy-mm")</f>
        <v/>
      </c>
    </row>
    <row r="1401">
      <c r="A1401" s="2" t="n">
        <v>45756</v>
      </c>
      <c r="B1401" t="n">
        <v>2025</v>
      </c>
      <c r="C1401" t="inlineStr">
        <is>
          <t>April</t>
        </is>
      </c>
      <c r="D1401" t="inlineStr">
        <is>
          <t>Essential Cushion</t>
        </is>
      </c>
      <c r="E1401" t="inlineStr">
        <is>
          <t>Home &amp; Garden</t>
        </is>
      </c>
      <c r="F1401" t="inlineStr">
        <is>
          <t>Emily Rossi</t>
        </is>
      </c>
      <c r="G1401" t="inlineStr">
        <is>
          <t>United Kingdom</t>
        </is>
      </c>
      <c r="H1401" t="inlineStr">
        <is>
          <t>Marketplace</t>
        </is>
      </c>
      <c r="I1401" t="n">
        <v>1</v>
      </c>
      <c r="J1401" s="3" t="n">
        <v>45.02</v>
      </c>
      <c r="K1401" s="3" t="n">
        <v>4.5</v>
      </c>
      <c r="L1401" s="3" t="n">
        <v>40.52</v>
      </c>
      <c r="M1401" s="3" t="n">
        <v>30.55</v>
      </c>
      <c r="N1401" s="3" t="n">
        <v>9.970000000000001</v>
      </c>
      <c r="O1401">
        <f>TEXT(A1401,"yyyy-mm")</f>
        <v/>
      </c>
    </row>
    <row r="1402">
      <c r="A1402" s="2" t="n">
        <v>45756</v>
      </c>
      <c r="B1402" t="n">
        <v>2025</v>
      </c>
      <c r="C1402" t="inlineStr">
        <is>
          <t>April</t>
        </is>
      </c>
      <c r="D1402" t="inlineStr">
        <is>
          <t>Eco Sweater</t>
        </is>
      </c>
      <c r="E1402" t="inlineStr">
        <is>
          <t>Clothing</t>
        </is>
      </c>
      <c r="F1402" t="inlineStr">
        <is>
          <t>Emily Rossi</t>
        </is>
      </c>
      <c r="G1402" t="inlineStr">
        <is>
          <t>United Kingdom</t>
        </is>
      </c>
      <c r="H1402" t="inlineStr">
        <is>
          <t>Marketplace</t>
        </is>
      </c>
      <c r="I1402" t="n">
        <v>5</v>
      </c>
      <c r="J1402" s="3" t="n">
        <v>727.75</v>
      </c>
      <c r="K1402" s="3" t="n">
        <v>0</v>
      </c>
      <c r="L1402" s="3" t="n">
        <v>727.75</v>
      </c>
      <c r="M1402" s="3" t="n">
        <v>521.15</v>
      </c>
      <c r="N1402" s="3" t="n">
        <v>206.6</v>
      </c>
      <c r="O1402">
        <f>TEXT(A1402,"yyyy-mm")</f>
        <v/>
      </c>
    </row>
    <row r="1403">
      <c r="A1403" s="2" t="n">
        <v>45756</v>
      </c>
      <c r="B1403" t="n">
        <v>2025</v>
      </c>
      <c r="C1403" t="inlineStr">
        <is>
          <t>April</t>
        </is>
      </c>
      <c r="D1403" t="inlineStr">
        <is>
          <t>Deluxe Notebook</t>
        </is>
      </c>
      <c r="E1403" t="inlineStr">
        <is>
          <t>Books</t>
        </is>
      </c>
      <c r="F1403" t="inlineStr">
        <is>
          <t>David Johnson</t>
        </is>
      </c>
      <c r="G1403" t="inlineStr">
        <is>
          <t>Spain</t>
        </is>
      </c>
      <c r="H1403" t="inlineStr">
        <is>
          <t>Retail Store</t>
        </is>
      </c>
      <c r="I1403" t="n">
        <v>4</v>
      </c>
      <c r="J1403" s="3" t="n">
        <v>872.48</v>
      </c>
      <c r="K1403" s="3" t="n">
        <v>0</v>
      </c>
      <c r="L1403" s="3" t="n">
        <v>872.48</v>
      </c>
      <c r="M1403" s="3" t="n">
        <v>603.04</v>
      </c>
      <c r="N1403" s="3" t="n">
        <v>269.44</v>
      </c>
      <c r="O1403">
        <f>TEXT(A1403,"yyyy-mm")</f>
        <v/>
      </c>
    </row>
    <row r="1404">
      <c r="A1404" s="2" t="n">
        <v>45756</v>
      </c>
      <c r="B1404" t="n">
        <v>2025</v>
      </c>
      <c r="C1404" t="inlineStr">
        <is>
          <t>April</t>
        </is>
      </c>
      <c r="D1404" t="inlineStr">
        <is>
          <t>Deluxe Scarf</t>
        </is>
      </c>
      <c r="E1404" t="inlineStr">
        <is>
          <t>Clothing</t>
        </is>
      </c>
      <c r="F1404" t="inlineStr">
        <is>
          <t>David Johnson</t>
        </is>
      </c>
      <c r="G1404" t="inlineStr">
        <is>
          <t>Spain</t>
        </is>
      </c>
      <c r="H1404" t="inlineStr">
        <is>
          <t>Retail Store</t>
        </is>
      </c>
      <c r="I1404" t="n">
        <v>2</v>
      </c>
      <c r="J1404" s="3" t="n">
        <v>385.04</v>
      </c>
      <c r="K1404" s="3" t="n">
        <v>19.25</v>
      </c>
      <c r="L1404" s="3" t="n">
        <v>365.79</v>
      </c>
      <c r="M1404" s="3" t="n">
        <v>217.04</v>
      </c>
      <c r="N1404" s="3" t="n">
        <v>148.75</v>
      </c>
      <c r="O1404">
        <f>TEXT(A1404,"yyyy-mm")</f>
        <v/>
      </c>
    </row>
    <row r="1405">
      <c r="A1405" s="2" t="n">
        <v>45756</v>
      </c>
      <c r="B1405" t="n">
        <v>2025</v>
      </c>
      <c r="C1405" t="inlineStr">
        <is>
          <t>April</t>
        </is>
      </c>
      <c r="D1405" t="inlineStr">
        <is>
          <t>Smart Puzzle</t>
        </is>
      </c>
      <c r="E1405" t="inlineStr">
        <is>
          <t>Toys &amp; Games</t>
        </is>
      </c>
      <c r="F1405" t="inlineStr">
        <is>
          <t>Maria Garcia</t>
        </is>
      </c>
      <c r="G1405" t="inlineStr">
        <is>
          <t>United Kingdom</t>
        </is>
      </c>
      <c r="H1405" t="inlineStr">
        <is>
          <t>Web Store</t>
        </is>
      </c>
      <c r="I1405" t="n">
        <v>2</v>
      </c>
      <c r="J1405" s="3" t="n">
        <v>529.6799999999999</v>
      </c>
      <c r="K1405" s="3" t="n">
        <v>0</v>
      </c>
      <c r="L1405" s="3" t="n">
        <v>529.6799999999999</v>
      </c>
      <c r="M1405" s="3" t="n">
        <v>385.52</v>
      </c>
      <c r="N1405" s="3" t="n">
        <v>144.16</v>
      </c>
      <c r="O1405">
        <f>TEXT(A1405,"yyyy-mm")</f>
        <v/>
      </c>
    </row>
    <row r="1406">
      <c r="A1406" s="2" t="n">
        <v>45756</v>
      </c>
      <c r="B1406" t="n">
        <v>2025</v>
      </c>
      <c r="C1406" t="inlineStr">
        <is>
          <t>April</t>
        </is>
      </c>
      <c r="D1406" t="inlineStr">
        <is>
          <t>Portable Bike Helmet</t>
        </is>
      </c>
      <c r="E1406" t="inlineStr">
        <is>
          <t>Sports &amp; Outdoors</t>
        </is>
      </c>
      <c r="F1406" t="inlineStr">
        <is>
          <t>Paul Smith</t>
        </is>
      </c>
      <c r="G1406" t="inlineStr">
        <is>
          <t>Italy</t>
        </is>
      </c>
      <c r="H1406" t="inlineStr">
        <is>
          <t>Retail Store</t>
        </is>
      </c>
      <c r="I1406" t="n">
        <v>4</v>
      </c>
      <c r="J1406" s="3" t="n">
        <v>1232.56</v>
      </c>
      <c r="K1406" s="3" t="n">
        <v>123.26</v>
      </c>
      <c r="L1406" s="3" t="n">
        <v>1109.3</v>
      </c>
      <c r="M1406" s="3" t="n">
        <v>661.48</v>
      </c>
      <c r="N1406" s="3" t="n">
        <v>447.82</v>
      </c>
      <c r="O1406">
        <f>TEXT(A1406,"yyyy-mm")</f>
        <v/>
      </c>
    </row>
    <row r="1407">
      <c r="A1407" s="2" t="n">
        <v>45756</v>
      </c>
      <c r="B1407" t="n">
        <v>2025</v>
      </c>
      <c r="C1407" t="inlineStr">
        <is>
          <t>April</t>
        </is>
      </c>
      <c r="D1407" t="inlineStr">
        <is>
          <t>Portable Puzzle</t>
        </is>
      </c>
      <c r="E1407" t="inlineStr">
        <is>
          <t>Toys &amp; Games</t>
        </is>
      </c>
      <c r="F1407" t="inlineStr">
        <is>
          <t>Paul Smith</t>
        </is>
      </c>
      <c r="G1407" t="inlineStr">
        <is>
          <t>Italy</t>
        </is>
      </c>
      <c r="H1407" t="inlineStr">
        <is>
          <t>Retail Store</t>
        </is>
      </c>
      <c r="I1407" t="n">
        <v>2</v>
      </c>
      <c r="J1407" s="3" t="n">
        <v>626.4</v>
      </c>
      <c r="K1407" s="3" t="n">
        <v>31.32</v>
      </c>
      <c r="L1407" s="3" t="n">
        <v>595.08</v>
      </c>
      <c r="M1407" s="3" t="n">
        <v>347.32</v>
      </c>
      <c r="N1407" s="3" t="n">
        <v>247.76</v>
      </c>
      <c r="O1407">
        <f>TEXT(A1407,"yyyy-mm")</f>
        <v/>
      </c>
    </row>
    <row r="1408">
      <c r="A1408" s="2" t="n">
        <v>45756</v>
      </c>
      <c r="B1408" t="n">
        <v>2025</v>
      </c>
      <c r="C1408" t="inlineStr">
        <is>
          <t>April</t>
        </is>
      </c>
      <c r="D1408" t="inlineStr">
        <is>
          <t>Classic Bike Helmet</t>
        </is>
      </c>
      <c r="E1408" t="inlineStr">
        <is>
          <t>Sports &amp; Outdoors</t>
        </is>
      </c>
      <c r="F1408" t="inlineStr">
        <is>
          <t>Maria Garcia</t>
        </is>
      </c>
      <c r="G1408" t="inlineStr">
        <is>
          <t>United Kingdom</t>
        </is>
      </c>
      <c r="H1408" t="inlineStr">
        <is>
          <t>Web Store</t>
        </is>
      </c>
      <c r="I1408" t="n">
        <v>1</v>
      </c>
      <c r="J1408" s="3" t="n">
        <v>222.09</v>
      </c>
      <c r="K1408" s="3" t="n">
        <v>0</v>
      </c>
      <c r="L1408" s="3" t="n">
        <v>222.09</v>
      </c>
      <c r="M1408" s="3" t="n">
        <v>153.81</v>
      </c>
      <c r="N1408" s="3" t="n">
        <v>68.28</v>
      </c>
      <c r="O1408">
        <f>TEXT(A1408,"yyyy-mm")</f>
        <v/>
      </c>
    </row>
    <row r="1409">
      <c r="A1409" s="2" t="n">
        <v>45756</v>
      </c>
      <c r="B1409" t="n">
        <v>2025</v>
      </c>
      <c r="C1409" t="inlineStr">
        <is>
          <t>April</t>
        </is>
      </c>
      <c r="D1409" t="inlineStr">
        <is>
          <t>Essential Toolset</t>
        </is>
      </c>
      <c r="E1409" t="inlineStr">
        <is>
          <t>Home &amp; Garden</t>
        </is>
      </c>
      <c r="F1409" t="inlineStr">
        <is>
          <t>Paul Smith</t>
        </is>
      </c>
      <c r="G1409" t="inlineStr">
        <is>
          <t>Italy</t>
        </is>
      </c>
      <c r="H1409" t="inlineStr">
        <is>
          <t>Retail Store</t>
        </is>
      </c>
      <c r="I1409" t="n">
        <v>2</v>
      </c>
      <c r="J1409" s="3" t="n">
        <v>411.72</v>
      </c>
      <c r="K1409" s="3" t="n">
        <v>41.17</v>
      </c>
      <c r="L1409" s="3" t="n">
        <v>370.55</v>
      </c>
      <c r="M1409" s="3" t="n">
        <v>301.06</v>
      </c>
      <c r="N1409" s="3" t="n">
        <v>69.48999999999999</v>
      </c>
      <c r="O1409">
        <f>TEXT(A1409,"yyyy-mm")</f>
        <v/>
      </c>
    </row>
    <row r="1410">
      <c r="A1410" s="2" t="n">
        <v>45756</v>
      </c>
      <c r="B1410" t="n">
        <v>2025</v>
      </c>
      <c r="C1410" t="inlineStr">
        <is>
          <t>April</t>
        </is>
      </c>
      <c r="D1410" t="inlineStr">
        <is>
          <t>Deluxe Puzzle</t>
        </is>
      </c>
      <c r="E1410" t="inlineStr">
        <is>
          <t>Toys &amp; Games</t>
        </is>
      </c>
      <c r="F1410" t="inlineStr">
        <is>
          <t>Michael Brown</t>
        </is>
      </c>
      <c r="G1410" t="inlineStr">
        <is>
          <t>Spain</t>
        </is>
      </c>
      <c r="H1410" t="inlineStr">
        <is>
          <t>Marketplace</t>
        </is>
      </c>
      <c r="I1410" t="n">
        <v>2</v>
      </c>
      <c r="J1410" s="3" t="n">
        <v>413.54</v>
      </c>
      <c r="K1410" s="3" t="n">
        <v>82.70999999999999</v>
      </c>
      <c r="L1410" s="3" t="n">
        <v>330.83</v>
      </c>
      <c r="M1410" s="3" t="n">
        <v>222.34</v>
      </c>
      <c r="N1410" s="3" t="n">
        <v>108.49</v>
      </c>
      <c r="O1410">
        <f>TEXT(A1410,"yyyy-mm")</f>
        <v/>
      </c>
    </row>
    <row r="1411">
      <c r="A1411" s="2" t="n">
        <v>45756</v>
      </c>
      <c r="B1411" t="n">
        <v>2025</v>
      </c>
      <c r="C1411" t="inlineStr">
        <is>
          <t>April</t>
        </is>
      </c>
      <c r="D1411" t="inlineStr">
        <is>
          <t>Smart Board Game</t>
        </is>
      </c>
      <c r="E1411" t="inlineStr">
        <is>
          <t>Toys &amp; Games</t>
        </is>
      </c>
      <c r="F1411" t="inlineStr">
        <is>
          <t>Maria Garcia</t>
        </is>
      </c>
      <c r="G1411" t="inlineStr">
        <is>
          <t>United Kingdom</t>
        </is>
      </c>
      <c r="H1411" t="inlineStr">
        <is>
          <t>Web Store</t>
        </is>
      </c>
      <c r="I1411" t="n">
        <v>4</v>
      </c>
      <c r="J1411" s="3" t="n">
        <v>508.76</v>
      </c>
      <c r="K1411" s="3" t="n">
        <v>0</v>
      </c>
      <c r="L1411" s="3" t="n">
        <v>508.76</v>
      </c>
      <c r="M1411" s="3" t="n">
        <v>366.88</v>
      </c>
      <c r="N1411" s="3" t="n">
        <v>141.88</v>
      </c>
      <c r="O1411">
        <f>TEXT(A1411,"yyyy-mm")</f>
        <v/>
      </c>
    </row>
    <row r="1412">
      <c r="A1412" s="2" t="n">
        <v>45757</v>
      </c>
      <c r="B1412" t="n">
        <v>2025</v>
      </c>
      <c r="C1412" t="inlineStr">
        <is>
          <t>April</t>
        </is>
      </c>
      <c r="D1412" t="inlineStr">
        <is>
          <t>Compact Jacket</t>
        </is>
      </c>
      <c r="E1412" t="inlineStr">
        <is>
          <t>Clothing</t>
        </is>
      </c>
      <c r="F1412" t="inlineStr">
        <is>
          <t>James Schmidt</t>
        </is>
      </c>
      <c r="G1412" t="inlineStr">
        <is>
          <t>Spain</t>
        </is>
      </c>
      <c r="H1412" t="inlineStr">
        <is>
          <t>Mobile App</t>
        </is>
      </c>
      <c r="I1412" t="n">
        <v>1</v>
      </c>
      <c r="J1412" s="3" t="n">
        <v>35.36</v>
      </c>
      <c r="K1412" s="3" t="n">
        <v>5.3</v>
      </c>
      <c r="L1412" s="3" t="n">
        <v>30.06</v>
      </c>
      <c r="M1412" s="3" t="n">
        <v>20.4</v>
      </c>
      <c r="N1412" s="3" t="n">
        <v>9.66</v>
      </c>
      <c r="O1412">
        <f>TEXT(A1412,"yyyy-mm")</f>
        <v/>
      </c>
    </row>
    <row r="1413">
      <c r="A1413" s="2" t="n">
        <v>45757</v>
      </c>
      <c r="B1413" t="n">
        <v>2025</v>
      </c>
      <c r="C1413" t="inlineStr">
        <is>
          <t>April</t>
        </is>
      </c>
      <c r="D1413" t="inlineStr">
        <is>
          <t>Smart Coffee Beans</t>
        </is>
      </c>
      <c r="E1413" t="inlineStr">
        <is>
          <t>Grocery</t>
        </is>
      </c>
      <c r="F1413" t="inlineStr">
        <is>
          <t>James Schmidt</t>
        </is>
      </c>
      <c r="G1413" t="inlineStr">
        <is>
          <t>Spain</t>
        </is>
      </c>
      <c r="H1413" t="inlineStr">
        <is>
          <t>Mobile App</t>
        </is>
      </c>
      <c r="I1413" t="n">
        <v>1</v>
      </c>
      <c r="J1413" s="3" t="n">
        <v>111.64</v>
      </c>
      <c r="K1413" s="3" t="n">
        <v>0</v>
      </c>
      <c r="L1413" s="3" t="n">
        <v>111.64</v>
      </c>
      <c r="M1413" s="3" t="n">
        <v>72.84999999999999</v>
      </c>
      <c r="N1413" s="3" t="n">
        <v>38.79</v>
      </c>
      <c r="O1413">
        <f>TEXT(A1413,"yyyy-mm")</f>
        <v/>
      </c>
    </row>
    <row r="1414">
      <c r="A1414" s="2" t="n">
        <v>45757</v>
      </c>
      <c r="B1414" t="n">
        <v>2025</v>
      </c>
      <c r="C1414" t="inlineStr">
        <is>
          <t>April</t>
        </is>
      </c>
      <c r="D1414" t="inlineStr">
        <is>
          <t>Eco Biography</t>
        </is>
      </c>
      <c r="E1414" t="inlineStr">
        <is>
          <t>Books</t>
        </is>
      </c>
      <c r="F1414" t="inlineStr">
        <is>
          <t>James Schmidt</t>
        </is>
      </c>
      <c r="G1414" t="inlineStr">
        <is>
          <t>Spain</t>
        </is>
      </c>
      <c r="H1414" t="inlineStr">
        <is>
          <t>Mobile App</t>
        </is>
      </c>
      <c r="I1414" t="n">
        <v>4</v>
      </c>
      <c r="J1414" s="3" t="n">
        <v>490.64</v>
      </c>
      <c r="K1414" s="3" t="n">
        <v>0</v>
      </c>
      <c r="L1414" s="3" t="n">
        <v>490.64</v>
      </c>
      <c r="M1414" s="3" t="n">
        <v>284.08</v>
      </c>
      <c r="N1414" s="3" t="n">
        <v>206.56</v>
      </c>
      <c r="O1414">
        <f>TEXT(A1414,"yyyy-mm")</f>
        <v/>
      </c>
    </row>
    <row r="1415">
      <c r="A1415" s="2" t="n">
        <v>45758</v>
      </c>
      <c r="B1415" t="n">
        <v>2025</v>
      </c>
      <c r="C1415" t="inlineStr">
        <is>
          <t>April</t>
        </is>
      </c>
      <c r="D1415" t="inlineStr">
        <is>
          <t>Portable Bike Helmet</t>
        </is>
      </c>
      <c r="E1415" t="inlineStr">
        <is>
          <t>Sports &amp; Outdoors</t>
        </is>
      </c>
      <c r="F1415" t="inlineStr">
        <is>
          <t>Sophie Wilson</t>
        </is>
      </c>
      <c r="G1415" t="inlineStr">
        <is>
          <t>Poland</t>
        </is>
      </c>
      <c r="H1415" t="inlineStr">
        <is>
          <t>Retail Store</t>
        </is>
      </c>
      <c r="I1415" t="n">
        <v>1</v>
      </c>
      <c r="J1415" s="3" t="n">
        <v>304.99</v>
      </c>
      <c r="K1415" s="3" t="n">
        <v>0</v>
      </c>
      <c r="L1415" s="3" t="n">
        <v>304.99</v>
      </c>
      <c r="M1415" s="3" t="n">
        <v>165.37</v>
      </c>
      <c r="N1415" s="3" t="n">
        <v>139.62</v>
      </c>
      <c r="O1415">
        <f>TEXT(A1415,"yyyy-mm")</f>
        <v/>
      </c>
    </row>
    <row r="1416">
      <c r="A1416" s="2" t="n">
        <v>45758</v>
      </c>
      <c r="B1416" t="n">
        <v>2025</v>
      </c>
      <c r="C1416" t="inlineStr">
        <is>
          <t>April</t>
        </is>
      </c>
      <c r="D1416" t="inlineStr">
        <is>
          <t>Eco Drone</t>
        </is>
      </c>
      <c r="E1416" t="inlineStr">
        <is>
          <t>Toys &amp; Games</t>
        </is>
      </c>
      <c r="F1416" t="inlineStr">
        <is>
          <t>Sophie Wilson</t>
        </is>
      </c>
      <c r="G1416" t="inlineStr">
        <is>
          <t>Poland</t>
        </is>
      </c>
      <c r="H1416" t="inlineStr">
        <is>
          <t>Retail Store</t>
        </is>
      </c>
      <c r="I1416" t="n">
        <v>4</v>
      </c>
      <c r="J1416" s="3" t="n">
        <v>797.4400000000001</v>
      </c>
      <c r="K1416" s="3" t="n">
        <v>39.87</v>
      </c>
      <c r="L1416" s="3" t="n">
        <v>757.5700000000001</v>
      </c>
      <c r="M1416" s="3" t="n">
        <v>518.36</v>
      </c>
      <c r="N1416" s="3" t="n">
        <v>239.21</v>
      </c>
      <c r="O1416">
        <f>TEXT(A1416,"yyyy-mm")</f>
        <v/>
      </c>
    </row>
    <row r="1417">
      <c r="A1417" s="2" t="n">
        <v>45758</v>
      </c>
      <c r="B1417" t="n">
        <v>2025</v>
      </c>
      <c r="C1417" t="inlineStr">
        <is>
          <t>April</t>
        </is>
      </c>
      <c r="D1417" t="inlineStr">
        <is>
          <t>Essential Jacket</t>
        </is>
      </c>
      <c r="E1417" t="inlineStr">
        <is>
          <t>Clothing</t>
        </is>
      </c>
      <c r="F1417" t="inlineStr">
        <is>
          <t>David Wojcik</t>
        </is>
      </c>
      <c r="G1417" t="inlineStr">
        <is>
          <t>Germany</t>
        </is>
      </c>
      <c r="H1417" t="inlineStr">
        <is>
          <t>Web Store</t>
        </is>
      </c>
      <c r="I1417" t="n">
        <v>4</v>
      </c>
      <c r="J1417" s="3" t="n">
        <v>555.36</v>
      </c>
      <c r="K1417" s="3" t="n">
        <v>27.77</v>
      </c>
      <c r="L1417" s="3" t="n">
        <v>527.59</v>
      </c>
      <c r="M1417" s="3" t="n">
        <v>341.4</v>
      </c>
      <c r="N1417" s="3" t="n">
        <v>186.19</v>
      </c>
      <c r="O1417">
        <f>TEXT(A1417,"yyyy-mm")</f>
        <v/>
      </c>
    </row>
    <row r="1418">
      <c r="A1418" s="2" t="n">
        <v>45758</v>
      </c>
      <c r="B1418" t="n">
        <v>2025</v>
      </c>
      <c r="C1418" t="inlineStr">
        <is>
          <t>April</t>
        </is>
      </c>
      <c r="D1418" t="inlineStr">
        <is>
          <t>Deluxe Smartwatch</t>
        </is>
      </c>
      <c r="E1418" t="inlineStr">
        <is>
          <t>Electronics</t>
        </is>
      </c>
      <c r="F1418" t="inlineStr">
        <is>
          <t>David Wojcik</t>
        </is>
      </c>
      <c r="G1418" t="inlineStr">
        <is>
          <t>Germany</t>
        </is>
      </c>
      <c r="H1418" t="inlineStr">
        <is>
          <t>Web Store</t>
        </is>
      </c>
      <c r="I1418" t="n">
        <v>5</v>
      </c>
      <c r="J1418" s="3" t="n">
        <v>829.35</v>
      </c>
      <c r="K1418" s="3" t="n">
        <v>0</v>
      </c>
      <c r="L1418" s="3" t="n">
        <v>829.35</v>
      </c>
      <c r="M1418" s="3" t="n">
        <v>613.6</v>
      </c>
      <c r="N1418" s="3" t="n">
        <v>215.75</v>
      </c>
      <c r="O1418">
        <f>TEXT(A1418,"yyyy-mm")</f>
        <v/>
      </c>
    </row>
    <row r="1419">
      <c r="A1419" s="2" t="n">
        <v>45758</v>
      </c>
      <c r="B1419" t="n">
        <v>2025</v>
      </c>
      <c r="C1419" t="inlineStr">
        <is>
          <t>April</t>
        </is>
      </c>
      <c r="D1419" t="inlineStr">
        <is>
          <t>Wireless Cookbook</t>
        </is>
      </c>
      <c r="E1419" t="inlineStr">
        <is>
          <t>Books</t>
        </is>
      </c>
      <c r="F1419" t="inlineStr">
        <is>
          <t>Sophie Wilson</t>
        </is>
      </c>
      <c r="G1419" t="inlineStr">
        <is>
          <t>Poland</t>
        </is>
      </c>
      <c r="H1419" t="inlineStr">
        <is>
          <t>Retail Store</t>
        </is>
      </c>
      <c r="I1419" t="n">
        <v>1</v>
      </c>
      <c r="J1419" s="3" t="n">
        <v>75.36</v>
      </c>
      <c r="K1419" s="3" t="n">
        <v>0</v>
      </c>
      <c r="L1419" s="3" t="n">
        <v>75.36</v>
      </c>
      <c r="M1419" s="3" t="n">
        <v>56.61</v>
      </c>
      <c r="N1419" s="3" t="n">
        <v>18.75</v>
      </c>
      <c r="O1419">
        <f>TEXT(A1419,"yyyy-mm")</f>
        <v/>
      </c>
    </row>
    <row r="1420">
      <c r="A1420" s="2" t="n">
        <v>45758</v>
      </c>
      <c r="B1420" t="n">
        <v>2025</v>
      </c>
      <c r="C1420" t="inlineStr">
        <is>
          <t>April</t>
        </is>
      </c>
      <c r="D1420" t="inlineStr">
        <is>
          <t>Classic Tea Set</t>
        </is>
      </c>
      <c r="E1420" t="inlineStr">
        <is>
          <t>Grocery</t>
        </is>
      </c>
      <c r="F1420" t="inlineStr">
        <is>
          <t>Sophie Wilson</t>
        </is>
      </c>
      <c r="G1420" t="inlineStr">
        <is>
          <t>Poland</t>
        </is>
      </c>
      <c r="H1420" t="inlineStr">
        <is>
          <t>Retail Store</t>
        </is>
      </c>
      <c r="I1420" t="n">
        <v>5</v>
      </c>
      <c r="J1420" s="3" t="n">
        <v>938.35</v>
      </c>
      <c r="K1420" s="3" t="n">
        <v>0</v>
      </c>
      <c r="L1420" s="3" t="n">
        <v>938.35</v>
      </c>
      <c r="M1420" s="3" t="n">
        <v>627</v>
      </c>
      <c r="N1420" s="3" t="n">
        <v>311.35</v>
      </c>
      <c r="O1420">
        <f>TEXT(A1420,"yyyy-mm")</f>
        <v/>
      </c>
    </row>
    <row r="1421">
      <c r="A1421" s="2" t="n">
        <v>45759</v>
      </c>
      <c r="B1421" t="n">
        <v>2025</v>
      </c>
      <c r="C1421" t="inlineStr">
        <is>
          <t>April</t>
        </is>
      </c>
      <c r="D1421" t="inlineStr">
        <is>
          <t>Premium Rug</t>
        </is>
      </c>
      <c r="E1421" t="inlineStr">
        <is>
          <t>Home &amp; Garden</t>
        </is>
      </c>
      <c r="F1421" t="inlineStr">
        <is>
          <t>John Rossi</t>
        </is>
      </c>
      <c r="G1421" t="inlineStr">
        <is>
          <t>United Kingdom</t>
        </is>
      </c>
      <c r="H1421" t="inlineStr">
        <is>
          <t>Mobile App</t>
        </is>
      </c>
      <c r="I1421" t="n">
        <v>2</v>
      </c>
      <c r="J1421" s="3" t="n">
        <v>384.8</v>
      </c>
      <c r="K1421" s="3" t="n">
        <v>57.72</v>
      </c>
      <c r="L1421" s="3" t="n">
        <v>327.08</v>
      </c>
      <c r="M1421" s="3" t="n">
        <v>222.38</v>
      </c>
      <c r="N1421" s="3" t="n">
        <v>104.7</v>
      </c>
      <c r="O1421">
        <f>TEXT(A1421,"yyyy-mm")</f>
        <v/>
      </c>
    </row>
    <row r="1422">
      <c r="A1422" s="2" t="n">
        <v>45759</v>
      </c>
      <c r="B1422" t="n">
        <v>2025</v>
      </c>
      <c r="C1422" t="inlineStr">
        <is>
          <t>April</t>
        </is>
      </c>
      <c r="D1422" t="inlineStr">
        <is>
          <t>Portable Notebook</t>
        </is>
      </c>
      <c r="E1422" t="inlineStr">
        <is>
          <t>Books</t>
        </is>
      </c>
      <c r="F1422" t="inlineStr">
        <is>
          <t>John Rossi</t>
        </is>
      </c>
      <c r="G1422" t="inlineStr">
        <is>
          <t>United Kingdom</t>
        </is>
      </c>
      <c r="H1422" t="inlineStr">
        <is>
          <t>Mobile App</t>
        </is>
      </c>
      <c r="I1422" t="n">
        <v>2</v>
      </c>
      <c r="J1422" s="3" t="n">
        <v>247.92</v>
      </c>
      <c r="K1422" s="3" t="n">
        <v>12.4</v>
      </c>
      <c r="L1422" s="3" t="n">
        <v>235.52</v>
      </c>
      <c r="M1422" s="3" t="n">
        <v>142.56</v>
      </c>
      <c r="N1422" s="3" t="n">
        <v>92.95999999999999</v>
      </c>
      <c r="O1422">
        <f>TEXT(A1422,"yyyy-mm")</f>
        <v/>
      </c>
    </row>
    <row r="1423">
      <c r="A1423" s="2" t="n">
        <v>45759</v>
      </c>
      <c r="B1423" t="n">
        <v>2025</v>
      </c>
      <c r="C1423" t="inlineStr">
        <is>
          <t>April</t>
        </is>
      </c>
      <c r="D1423" t="inlineStr">
        <is>
          <t>Portable Puzzle</t>
        </is>
      </c>
      <c r="E1423" t="inlineStr">
        <is>
          <t>Toys &amp; Games</t>
        </is>
      </c>
      <c r="F1423" t="inlineStr">
        <is>
          <t>Laura Moreau</t>
        </is>
      </c>
      <c r="G1423" t="inlineStr">
        <is>
          <t>Spain</t>
        </is>
      </c>
      <c r="H1423" t="inlineStr">
        <is>
          <t>Retail Store</t>
        </is>
      </c>
      <c r="I1423" t="n">
        <v>1</v>
      </c>
      <c r="J1423" s="3" t="n">
        <v>112.42</v>
      </c>
      <c r="K1423" s="3" t="n">
        <v>16.86</v>
      </c>
      <c r="L1423" s="3" t="n">
        <v>95.56</v>
      </c>
      <c r="M1423" s="3" t="n">
        <v>58.8</v>
      </c>
      <c r="N1423" s="3" t="n">
        <v>36.76</v>
      </c>
      <c r="O1423">
        <f>TEXT(A1423,"yyyy-mm")</f>
        <v/>
      </c>
    </row>
    <row r="1424">
      <c r="A1424" s="2" t="n">
        <v>45759</v>
      </c>
      <c r="B1424" t="n">
        <v>2025</v>
      </c>
      <c r="C1424" t="inlineStr">
        <is>
          <t>April</t>
        </is>
      </c>
      <c r="D1424" t="inlineStr">
        <is>
          <t>Portable Toolset</t>
        </is>
      </c>
      <c r="E1424" t="inlineStr">
        <is>
          <t>Home &amp; Garden</t>
        </is>
      </c>
      <c r="F1424" t="inlineStr">
        <is>
          <t>Laura Moreau</t>
        </is>
      </c>
      <c r="G1424" t="inlineStr">
        <is>
          <t>Spain</t>
        </is>
      </c>
      <c r="H1424" t="inlineStr">
        <is>
          <t>Retail Store</t>
        </is>
      </c>
      <c r="I1424" t="n">
        <v>3</v>
      </c>
      <c r="J1424" s="3" t="n">
        <v>267.72</v>
      </c>
      <c r="K1424" s="3" t="n">
        <v>26.77</v>
      </c>
      <c r="L1424" s="3" t="n">
        <v>240.95</v>
      </c>
      <c r="M1424" s="3" t="n">
        <v>151.62</v>
      </c>
      <c r="N1424" s="3" t="n">
        <v>89.33</v>
      </c>
      <c r="O1424">
        <f>TEXT(A1424,"yyyy-mm")</f>
        <v/>
      </c>
    </row>
    <row r="1425">
      <c r="A1425" s="2" t="n">
        <v>45759</v>
      </c>
      <c r="B1425" t="n">
        <v>2025</v>
      </c>
      <c r="C1425" t="inlineStr">
        <is>
          <t>April</t>
        </is>
      </c>
      <c r="D1425" t="inlineStr">
        <is>
          <t>Eco Biography</t>
        </is>
      </c>
      <c r="E1425" t="inlineStr">
        <is>
          <t>Books</t>
        </is>
      </c>
      <c r="F1425" t="inlineStr">
        <is>
          <t>Laura Moreau</t>
        </is>
      </c>
      <c r="G1425" t="inlineStr">
        <is>
          <t>Spain</t>
        </is>
      </c>
      <c r="H1425" t="inlineStr">
        <is>
          <t>Retail Store</t>
        </is>
      </c>
      <c r="I1425" t="n">
        <v>4</v>
      </c>
      <c r="J1425" s="3" t="n">
        <v>473.96</v>
      </c>
      <c r="K1425" s="3" t="n">
        <v>23.7</v>
      </c>
      <c r="L1425" s="3" t="n">
        <v>450.26</v>
      </c>
      <c r="M1425" s="3" t="n">
        <v>284.08</v>
      </c>
      <c r="N1425" s="3" t="n">
        <v>166.18</v>
      </c>
      <c r="O1425">
        <f>TEXT(A1425,"yyyy-mm")</f>
        <v/>
      </c>
    </row>
    <row r="1426">
      <c r="A1426" s="2" t="n">
        <v>45759</v>
      </c>
      <c r="B1426" t="n">
        <v>2025</v>
      </c>
      <c r="C1426" t="inlineStr">
        <is>
          <t>April</t>
        </is>
      </c>
      <c r="D1426" t="inlineStr">
        <is>
          <t>Essential Jacket</t>
        </is>
      </c>
      <c r="E1426" t="inlineStr">
        <is>
          <t>Clothing</t>
        </is>
      </c>
      <c r="F1426" t="inlineStr">
        <is>
          <t>Clara Smith</t>
        </is>
      </c>
      <c r="G1426" t="inlineStr">
        <is>
          <t>Poland</t>
        </is>
      </c>
      <c r="H1426" t="inlineStr">
        <is>
          <t>Retail Store</t>
        </is>
      </c>
      <c r="I1426" t="n">
        <v>3</v>
      </c>
      <c r="J1426" s="3" t="n">
        <v>439.53</v>
      </c>
      <c r="K1426" s="3" t="n">
        <v>0</v>
      </c>
      <c r="L1426" s="3" t="n">
        <v>439.53</v>
      </c>
      <c r="M1426" s="3" t="n">
        <v>256.05</v>
      </c>
      <c r="N1426" s="3" t="n">
        <v>183.48</v>
      </c>
      <c r="O1426">
        <f>TEXT(A1426,"yyyy-mm")</f>
        <v/>
      </c>
    </row>
    <row r="1427">
      <c r="A1427" s="2" t="n">
        <v>45759</v>
      </c>
      <c r="B1427" t="n">
        <v>2025</v>
      </c>
      <c r="C1427" t="inlineStr">
        <is>
          <t>April</t>
        </is>
      </c>
      <c r="D1427" t="inlineStr">
        <is>
          <t>Smart Jeans</t>
        </is>
      </c>
      <c r="E1427" t="inlineStr">
        <is>
          <t>Clothing</t>
        </is>
      </c>
      <c r="F1427" t="inlineStr">
        <is>
          <t>Clara Smith</t>
        </is>
      </c>
      <c r="G1427" t="inlineStr">
        <is>
          <t>Poland</t>
        </is>
      </c>
      <c r="H1427" t="inlineStr">
        <is>
          <t>Retail Store</t>
        </is>
      </c>
      <c r="I1427" t="n">
        <v>5</v>
      </c>
      <c r="J1427" s="3" t="n">
        <v>1465.25</v>
      </c>
      <c r="K1427" s="3" t="n">
        <v>219.79</v>
      </c>
      <c r="L1427" s="3" t="n">
        <v>1245.46</v>
      </c>
      <c r="M1427" s="3" t="n">
        <v>968.2</v>
      </c>
      <c r="N1427" s="3" t="n">
        <v>277.26</v>
      </c>
      <c r="O1427">
        <f>TEXT(A1427,"yyyy-mm")</f>
        <v/>
      </c>
    </row>
    <row r="1428">
      <c r="A1428" s="2" t="n">
        <v>45759</v>
      </c>
      <c r="B1428" t="n">
        <v>2025</v>
      </c>
      <c r="C1428" t="inlineStr">
        <is>
          <t>April</t>
        </is>
      </c>
      <c r="D1428" t="inlineStr">
        <is>
          <t>Premium Water Bottle</t>
        </is>
      </c>
      <c r="E1428" t="inlineStr">
        <is>
          <t>Sports &amp; Outdoors</t>
        </is>
      </c>
      <c r="F1428" t="inlineStr">
        <is>
          <t>John Rossi</t>
        </is>
      </c>
      <c r="G1428" t="inlineStr">
        <is>
          <t>United Kingdom</t>
        </is>
      </c>
      <c r="H1428" t="inlineStr">
        <is>
          <t>Mobile App</t>
        </is>
      </c>
      <c r="I1428" t="n">
        <v>3</v>
      </c>
      <c r="J1428" s="3" t="n">
        <v>948.21</v>
      </c>
      <c r="K1428" s="3" t="n">
        <v>142.23</v>
      </c>
      <c r="L1428" s="3" t="n">
        <v>805.98</v>
      </c>
      <c r="M1428" s="3" t="n">
        <v>543.48</v>
      </c>
      <c r="N1428" s="3" t="n">
        <v>262.5</v>
      </c>
      <c r="O1428">
        <f>TEXT(A1428,"yyyy-mm")</f>
        <v/>
      </c>
    </row>
    <row r="1429">
      <c r="A1429" s="2" t="n">
        <v>45759</v>
      </c>
      <c r="B1429" t="n">
        <v>2025</v>
      </c>
      <c r="C1429" t="inlineStr">
        <is>
          <t>April</t>
        </is>
      </c>
      <c r="D1429" t="inlineStr">
        <is>
          <t>Eco Backpack</t>
        </is>
      </c>
      <c r="E1429" t="inlineStr">
        <is>
          <t>Sports &amp; Outdoors</t>
        </is>
      </c>
      <c r="F1429" t="inlineStr">
        <is>
          <t>Clara Smith</t>
        </is>
      </c>
      <c r="G1429" t="inlineStr">
        <is>
          <t>Poland</t>
        </is>
      </c>
      <c r="H1429" t="inlineStr">
        <is>
          <t>Retail Store</t>
        </is>
      </c>
      <c r="I1429" t="n">
        <v>3</v>
      </c>
      <c r="J1429" s="3" t="n">
        <v>820.8</v>
      </c>
      <c r="K1429" s="3" t="n">
        <v>0</v>
      </c>
      <c r="L1429" s="3" t="n">
        <v>820.8</v>
      </c>
      <c r="M1429" s="3" t="n">
        <v>439.74</v>
      </c>
      <c r="N1429" s="3" t="n">
        <v>381.06</v>
      </c>
      <c r="O1429">
        <f>TEXT(A1429,"yyyy-mm")</f>
        <v/>
      </c>
    </row>
    <row r="1430">
      <c r="A1430" s="2" t="n">
        <v>45759</v>
      </c>
      <c r="B1430" t="n">
        <v>2025</v>
      </c>
      <c r="C1430" t="inlineStr">
        <is>
          <t>April</t>
        </is>
      </c>
      <c r="D1430" t="inlineStr">
        <is>
          <t>Essential Jacket</t>
        </is>
      </c>
      <c r="E1430" t="inlineStr">
        <is>
          <t>Clothing</t>
        </is>
      </c>
      <c r="F1430" t="inlineStr">
        <is>
          <t>Laura Moreau</t>
        </is>
      </c>
      <c r="G1430" t="inlineStr">
        <is>
          <t>Spain</t>
        </is>
      </c>
      <c r="H1430" t="inlineStr">
        <is>
          <t>Retail Store</t>
        </is>
      </c>
      <c r="I1430" t="n">
        <v>4</v>
      </c>
      <c r="J1430" s="3" t="n">
        <v>598.48</v>
      </c>
      <c r="K1430" s="3" t="n">
        <v>0</v>
      </c>
      <c r="L1430" s="3" t="n">
        <v>598.48</v>
      </c>
      <c r="M1430" s="3" t="n">
        <v>341.4</v>
      </c>
      <c r="N1430" s="3" t="n">
        <v>257.08</v>
      </c>
      <c r="O1430">
        <f>TEXT(A1430,"yyyy-mm")</f>
        <v/>
      </c>
    </row>
    <row r="1431">
      <c r="A1431" s="2" t="n">
        <v>45759</v>
      </c>
      <c r="B1431" t="n">
        <v>2025</v>
      </c>
      <c r="C1431" t="inlineStr">
        <is>
          <t>April</t>
        </is>
      </c>
      <c r="D1431" t="inlineStr">
        <is>
          <t>Classic Charger</t>
        </is>
      </c>
      <c r="E1431" t="inlineStr">
        <is>
          <t>Electronics</t>
        </is>
      </c>
      <c r="F1431" t="inlineStr">
        <is>
          <t>Olivia Wilson</t>
        </is>
      </c>
      <c r="G1431" t="inlineStr">
        <is>
          <t>France</t>
        </is>
      </c>
      <c r="H1431" t="inlineStr">
        <is>
          <t>Marketplace</t>
        </is>
      </c>
      <c r="I1431" t="n">
        <v>4</v>
      </c>
      <c r="J1431" s="3" t="n">
        <v>391.92</v>
      </c>
      <c r="K1431" s="3" t="n">
        <v>39.19</v>
      </c>
      <c r="L1431" s="3" t="n">
        <v>352.73</v>
      </c>
      <c r="M1431" s="3" t="n">
        <v>248.84</v>
      </c>
      <c r="N1431" s="3" t="n">
        <v>103.89</v>
      </c>
      <c r="O1431">
        <f>TEXT(A1431,"yyyy-mm")</f>
        <v/>
      </c>
    </row>
    <row r="1432">
      <c r="A1432" s="2" t="n">
        <v>45760</v>
      </c>
      <c r="B1432" t="n">
        <v>2025</v>
      </c>
      <c r="C1432" t="inlineStr">
        <is>
          <t>April</t>
        </is>
      </c>
      <c r="D1432" t="inlineStr">
        <is>
          <t>Smart Puzzle</t>
        </is>
      </c>
      <c r="E1432" t="inlineStr">
        <is>
          <t>Toys &amp; Games</t>
        </is>
      </c>
      <c r="F1432" t="inlineStr">
        <is>
          <t>Robert Rossi</t>
        </is>
      </c>
      <c r="G1432" t="inlineStr">
        <is>
          <t>Italy</t>
        </is>
      </c>
      <c r="H1432" t="inlineStr">
        <is>
          <t>Retail Store</t>
        </is>
      </c>
      <c r="I1432" t="n">
        <v>5</v>
      </c>
      <c r="J1432" s="3" t="n">
        <v>216.65</v>
      </c>
      <c r="K1432" s="3" t="n">
        <v>21.66</v>
      </c>
      <c r="L1432" s="3" t="n">
        <v>194.98</v>
      </c>
      <c r="M1432" s="3" t="n">
        <v>122.2</v>
      </c>
      <c r="N1432" s="3" t="n">
        <v>72.78</v>
      </c>
      <c r="O1432">
        <f>TEXT(A1432,"yyyy-mm")</f>
        <v/>
      </c>
    </row>
    <row r="1433">
      <c r="A1433" s="2" t="n">
        <v>45760</v>
      </c>
      <c r="B1433" t="n">
        <v>2025</v>
      </c>
      <c r="C1433" t="inlineStr">
        <is>
          <t>April</t>
        </is>
      </c>
      <c r="D1433" t="inlineStr">
        <is>
          <t>Portable Bike Helmet</t>
        </is>
      </c>
      <c r="E1433" t="inlineStr">
        <is>
          <t>Sports &amp; Outdoors</t>
        </is>
      </c>
      <c r="F1433" t="inlineStr">
        <is>
          <t>Robert Rossi</t>
        </is>
      </c>
      <c r="G1433" t="inlineStr">
        <is>
          <t>Italy</t>
        </is>
      </c>
      <c r="H1433" t="inlineStr">
        <is>
          <t>Retail Store</t>
        </is>
      </c>
      <c r="I1433" t="n">
        <v>3</v>
      </c>
      <c r="J1433" s="3" t="n">
        <v>930.51</v>
      </c>
      <c r="K1433" s="3" t="n">
        <v>93.05</v>
      </c>
      <c r="L1433" s="3" t="n">
        <v>837.46</v>
      </c>
      <c r="M1433" s="3" t="n">
        <v>496.11</v>
      </c>
      <c r="N1433" s="3" t="n">
        <v>341.35</v>
      </c>
      <c r="O1433">
        <f>TEXT(A1433,"yyyy-mm")</f>
        <v/>
      </c>
    </row>
    <row r="1434">
      <c r="A1434" s="2" t="n">
        <v>45760</v>
      </c>
      <c r="B1434" t="n">
        <v>2025</v>
      </c>
      <c r="C1434" t="inlineStr">
        <is>
          <t>April</t>
        </is>
      </c>
      <c r="D1434" t="inlineStr">
        <is>
          <t>Essential Lamp</t>
        </is>
      </c>
      <c r="E1434" t="inlineStr">
        <is>
          <t>Home &amp; Garden</t>
        </is>
      </c>
      <c r="F1434" t="inlineStr">
        <is>
          <t>Robert Rossi</t>
        </is>
      </c>
      <c r="G1434" t="inlineStr">
        <is>
          <t>Italy</t>
        </is>
      </c>
      <c r="H1434" t="inlineStr">
        <is>
          <t>Retail Store</t>
        </is>
      </c>
      <c r="I1434" t="n">
        <v>5</v>
      </c>
      <c r="J1434" s="3" t="n">
        <v>317.45</v>
      </c>
      <c r="K1434" s="3" t="n">
        <v>47.62</v>
      </c>
      <c r="L1434" s="3" t="n">
        <v>269.83</v>
      </c>
      <c r="M1434" s="3" t="n">
        <v>227</v>
      </c>
      <c r="N1434" s="3" t="n">
        <v>42.83</v>
      </c>
      <c r="O1434">
        <f>TEXT(A1434,"yyyy-mm")</f>
        <v/>
      </c>
    </row>
    <row r="1435">
      <c r="A1435" s="2" t="n">
        <v>45760</v>
      </c>
      <c r="B1435" t="n">
        <v>2025</v>
      </c>
      <c r="C1435" t="inlineStr">
        <is>
          <t>April</t>
        </is>
      </c>
      <c r="D1435" t="inlineStr">
        <is>
          <t>Essential Pasta</t>
        </is>
      </c>
      <c r="E1435" t="inlineStr">
        <is>
          <t>Grocery</t>
        </is>
      </c>
      <c r="F1435" t="inlineStr">
        <is>
          <t>Robert Rossi</t>
        </is>
      </c>
      <c r="G1435" t="inlineStr">
        <is>
          <t>Italy</t>
        </is>
      </c>
      <c r="H1435" t="inlineStr">
        <is>
          <t>Retail Store</t>
        </is>
      </c>
      <c r="I1435" t="n">
        <v>1</v>
      </c>
      <c r="J1435" s="3" t="n">
        <v>55.94</v>
      </c>
      <c r="K1435" s="3" t="n">
        <v>0</v>
      </c>
      <c r="L1435" s="3" t="n">
        <v>55.94</v>
      </c>
      <c r="M1435" s="3" t="n">
        <v>35.81</v>
      </c>
      <c r="N1435" s="3" t="n">
        <v>20.13</v>
      </c>
      <c r="O1435">
        <f>TEXT(A1435,"yyyy-mm")</f>
        <v/>
      </c>
    </row>
    <row r="1436">
      <c r="A1436" s="2" t="n">
        <v>45760</v>
      </c>
      <c r="B1436" t="n">
        <v>2025</v>
      </c>
      <c r="C1436" t="inlineStr">
        <is>
          <t>April</t>
        </is>
      </c>
      <c r="D1436" t="inlineStr">
        <is>
          <t>Deluxe Cookbook</t>
        </is>
      </c>
      <c r="E1436" t="inlineStr">
        <is>
          <t>Books</t>
        </is>
      </c>
      <c r="F1436" t="inlineStr">
        <is>
          <t>James Weber</t>
        </is>
      </c>
      <c r="G1436" t="inlineStr">
        <is>
          <t>Germany</t>
        </is>
      </c>
      <c r="H1436" t="inlineStr">
        <is>
          <t>Retail Store</t>
        </is>
      </c>
      <c r="I1436" t="n">
        <v>4</v>
      </c>
      <c r="J1436" s="3" t="n">
        <v>542.16</v>
      </c>
      <c r="K1436" s="3" t="n">
        <v>0</v>
      </c>
      <c r="L1436" s="3" t="n">
        <v>542.16</v>
      </c>
      <c r="M1436" s="3" t="n">
        <v>341.08</v>
      </c>
      <c r="N1436" s="3" t="n">
        <v>201.08</v>
      </c>
      <c r="O1436">
        <f>TEXT(A1436,"yyyy-mm")</f>
        <v/>
      </c>
    </row>
    <row r="1437">
      <c r="A1437" s="2" t="n">
        <v>45760</v>
      </c>
      <c r="B1437" t="n">
        <v>2025</v>
      </c>
      <c r="C1437" t="inlineStr">
        <is>
          <t>April</t>
        </is>
      </c>
      <c r="D1437" t="inlineStr">
        <is>
          <t>Classic Coffee Beans</t>
        </is>
      </c>
      <c r="E1437" t="inlineStr">
        <is>
          <t>Grocery</t>
        </is>
      </c>
      <c r="F1437" t="inlineStr">
        <is>
          <t>James Weber</t>
        </is>
      </c>
      <c r="G1437" t="inlineStr">
        <is>
          <t>Germany</t>
        </is>
      </c>
      <c r="H1437" t="inlineStr">
        <is>
          <t>Retail Store</t>
        </is>
      </c>
      <c r="I1437" t="n">
        <v>3</v>
      </c>
      <c r="J1437" s="3" t="n">
        <v>996.33</v>
      </c>
      <c r="K1437" s="3" t="n">
        <v>0</v>
      </c>
      <c r="L1437" s="3" t="n">
        <v>996.33</v>
      </c>
      <c r="M1437" s="3" t="n">
        <v>584.28</v>
      </c>
      <c r="N1437" s="3" t="n">
        <v>412.05</v>
      </c>
      <c r="O1437">
        <f>TEXT(A1437,"yyyy-mm")</f>
        <v/>
      </c>
    </row>
    <row r="1438">
      <c r="A1438" s="2" t="n">
        <v>45760</v>
      </c>
      <c r="B1438" t="n">
        <v>2025</v>
      </c>
      <c r="C1438" t="inlineStr">
        <is>
          <t>April</t>
        </is>
      </c>
      <c r="D1438" t="inlineStr">
        <is>
          <t>Essential Vitamins</t>
        </is>
      </c>
      <c r="E1438" t="inlineStr">
        <is>
          <t>Beauty &amp; Health</t>
        </is>
      </c>
      <c r="F1438" t="inlineStr">
        <is>
          <t>James Weber</t>
        </is>
      </c>
      <c r="G1438" t="inlineStr">
        <is>
          <t>Germany</t>
        </is>
      </c>
      <c r="H1438" t="inlineStr">
        <is>
          <t>Retail Store</t>
        </is>
      </c>
      <c r="I1438" t="n">
        <v>4</v>
      </c>
      <c r="J1438" s="3" t="n">
        <v>720.6799999999999</v>
      </c>
      <c r="K1438" s="3" t="n">
        <v>0</v>
      </c>
      <c r="L1438" s="3" t="n">
        <v>720.6799999999999</v>
      </c>
      <c r="M1438" s="3" t="n">
        <v>441.2</v>
      </c>
      <c r="N1438" s="3" t="n">
        <v>279.48</v>
      </c>
      <c r="O1438">
        <f>TEXT(A1438,"yyyy-mm")</f>
        <v/>
      </c>
    </row>
    <row r="1439">
      <c r="A1439" s="2" t="n">
        <v>45761</v>
      </c>
      <c r="B1439" t="n">
        <v>2025</v>
      </c>
      <c r="C1439" t="inlineStr">
        <is>
          <t>April</t>
        </is>
      </c>
      <c r="D1439" t="inlineStr">
        <is>
          <t>Deluxe Toolset</t>
        </is>
      </c>
      <c r="E1439" t="inlineStr">
        <is>
          <t>Home &amp; Garden</t>
        </is>
      </c>
      <c r="F1439" t="inlineStr">
        <is>
          <t>David Moreau</t>
        </is>
      </c>
      <c r="G1439" t="inlineStr">
        <is>
          <t>Poland</t>
        </is>
      </c>
      <c r="H1439" t="inlineStr">
        <is>
          <t>Web Store</t>
        </is>
      </c>
      <c r="I1439" t="n">
        <v>4</v>
      </c>
      <c r="J1439" s="3" t="n">
        <v>262.28</v>
      </c>
      <c r="K1439" s="3" t="n">
        <v>13.11</v>
      </c>
      <c r="L1439" s="3" t="n">
        <v>249.17</v>
      </c>
      <c r="M1439" s="3" t="n">
        <v>190.84</v>
      </c>
      <c r="N1439" s="3" t="n">
        <v>58.33</v>
      </c>
      <c r="O1439">
        <f>TEXT(A1439,"yyyy-mm")</f>
        <v/>
      </c>
    </row>
    <row r="1440">
      <c r="A1440" s="2" t="n">
        <v>45761</v>
      </c>
      <c r="B1440" t="n">
        <v>2025</v>
      </c>
      <c r="C1440" t="inlineStr">
        <is>
          <t>April</t>
        </is>
      </c>
      <c r="D1440" t="inlineStr">
        <is>
          <t>Essential Toolset</t>
        </is>
      </c>
      <c r="E1440" t="inlineStr">
        <is>
          <t>Home &amp; Garden</t>
        </is>
      </c>
      <c r="F1440" t="inlineStr">
        <is>
          <t>David Moreau</t>
        </is>
      </c>
      <c r="G1440" t="inlineStr">
        <is>
          <t>Poland</t>
        </is>
      </c>
      <c r="H1440" t="inlineStr">
        <is>
          <t>Web Store</t>
        </is>
      </c>
      <c r="I1440" t="n">
        <v>4</v>
      </c>
      <c r="J1440" s="3" t="n">
        <v>838</v>
      </c>
      <c r="K1440" s="3" t="n">
        <v>167.6</v>
      </c>
      <c r="L1440" s="3" t="n">
        <v>670.4</v>
      </c>
      <c r="M1440" s="3" t="n">
        <v>602.12</v>
      </c>
      <c r="N1440" s="3" t="n">
        <v>68.28</v>
      </c>
      <c r="O1440">
        <f>TEXT(A1440,"yyyy-mm")</f>
        <v/>
      </c>
    </row>
    <row r="1441">
      <c r="A1441" s="2" t="n">
        <v>45761</v>
      </c>
      <c r="B1441" t="n">
        <v>2025</v>
      </c>
      <c r="C1441" t="inlineStr">
        <is>
          <t>April</t>
        </is>
      </c>
      <c r="D1441" t="inlineStr">
        <is>
          <t>Wireless Cookbook</t>
        </is>
      </c>
      <c r="E1441" t="inlineStr">
        <is>
          <t>Books</t>
        </is>
      </c>
      <c r="F1441" t="inlineStr">
        <is>
          <t>Emma Johnson</t>
        </is>
      </c>
      <c r="G1441" t="inlineStr">
        <is>
          <t>United Kingdom</t>
        </is>
      </c>
      <c r="H1441" t="inlineStr">
        <is>
          <t>Mobile App</t>
        </is>
      </c>
      <c r="I1441" t="n">
        <v>1</v>
      </c>
      <c r="J1441" s="3" t="n">
        <v>76.92</v>
      </c>
      <c r="K1441" s="3" t="n">
        <v>0</v>
      </c>
      <c r="L1441" s="3" t="n">
        <v>76.92</v>
      </c>
      <c r="M1441" s="3" t="n">
        <v>56.61</v>
      </c>
      <c r="N1441" s="3" t="n">
        <v>20.31</v>
      </c>
      <c r="O1441">
        <f>TEXT(A1441,"yyyy-mm")</f>
        <v/>
      </c>
    </row>
    <row r="1442">
      <c r="A1442" s="2" t="n">
        <v>45761</v>
      </c>
      <c r="B1442" t="n">
        <v>2025</v>
      </c>
      <c r="C1442" t="inlineStr">
        <is>
          <t>April</t>
        </is>
      </c>
      <c r="D1442" t="inlineStr">
        <is>
          <t>Eco Sweater</t>
        </is>
      </c>
      <c r="E1442" t="inlineStr">
        <is>
          <t>Clothing</t>
        </is>
      </c>
      <c r="F1442" t="inlineStr">
        <is>
          <t>Julia Dubois</t>
        </is>
      </c>
      <c r="G1442" t="inlineStr">
        <is>
          <t>United States</t>
        </is>
      </c>
      <c r="H1442" t="inlineStr">
        <is>
          <t>Mobile App</t>
        </is>
      </c>
      <c r="I1442" t="n">
        <v>4</v>
      </c>
      <c r="J1442" s="3" t="n">
        <v>597.12</v>
      </c>
      <c r="K1442" s="3" t="n">
        <v>59.71</v>
      </c>
      <c r="L1442" s="3" t="n">
        <v>537.41</v>
      </c>
      <c r="M1442" s="3" t="n">
        <v>416.92</v>
      </c>
      <c r="N1442" s="3" t="n">
        <v>120.49</v>
      </c>
      <c r="O1442">
        <f>TEXT(A1442,"yyyy-mm")</f>
        <v/>
      </c>
    </row>
    <row r="1443">
      <c r="A1443" s="2" t="n">
        <v>45761</v>
      </c>
      <c r="B1443" t="n">
        <v>2025</v>
      </c>
      <c r="C1443" t="inlineStr">
        <is>
          <t>April</t>
        </is>
      </c>
      <c r="D1443" t="inlineStr">
        <is>
          <t>Eco Drone</t>
        </is>
      </c>
      <c r="E1443" t="inlineStr">
        <is>
          <t>Toys &amp; Games</t>
        </is>
      </c>
      <c r="F1443" t="inlineStr">
        <is>
          <t>Olivia Weber</t>
        </is>
      </c>
      <c r="G1443" t="inlineStr">
        <is>
          <t>Poland</t>
        </is>
      </c>
      <c r="H1443" t="inlineStr">
        <is>
          <t>Retail Store</t>
        </is>
      </c>
      <c r="I1443" t="n">
        <v>3</v>
      </c>
      <c r="J1443" s="3" t="n">
        <v>583.8</v>
      </c>
      <c r="K1443" s="3" t="n">
        <v>29.19</v>
      </c>
      <c r="L1443" s="3" t="n">
        <v>554.61</v>
      </c>
      <c r="M1443" s="3" t="n">
        <v>388.77</v>
      </c>
      <c r="N1443" s="3" t="n">
        <v>165.84</v>
      </c>
      <c r="O1443">
        <f>TEXT(A1443,"yyyy-mm")</f>
        <v/>
      </c>
    </row>
    <row r="1444">
      <c r="A1444" s="2" t="n">
        <v>45761</v>
      </c>
      <c r="B1444" t="n">
        <v>2025</v>
      </c>
      <c r="C1444" t="inlineStr">
        <is>
          <t>April</t>
        </is>
      </c>
      <c r="D1444" t="inlineStr">
        <is>
          <t>Smart Board Game</t>
        </is>
      </c>
      <c r="E1444" t="inlineStr">
        <is>
          <t>Toys &amp; Games</t>
        </is>
      </c>
      <c r="F1444" t="inlineStr">
        <is>
          <t>Olivia Weber</t>
        </is>
      </c>
      <c r="G1444" t="inlineStr">
        <is>
          <t>Poland</t>
        </is>
      </c>
      <c r="H1444" t="inlineStr">
        <is>
          <t>Retail Store</t>
        </is>
      </c>
      <c r="I1444" t="n">
        <v>3</v>
      </c>
      <c r="J1444" s="3" t="n">
        <v>413.49</v>
      </c>
      <c r="K1444" s="3" t="n">
        <v>20.67</v>
      </c>
      <c r="L1444" s="3" t="n">
        <v>392.82</v>
      </c>
      <c r="M1444" s="3" t="n">
        <v>275.16</v>
      </c>
      <c r="N1444" s="3" t="n">
        <v>117.66</v>
      </c>
      <c r="O1444">
        <f>TEXT(A1444,"yyyy-mm")</f>
        <v/>
      </c>
    </row>
    <row r="1445">
      <c r="A1445" s="2" t="n">
        <v>45761</v>
      </c>
      <c r="B1445" t="n">
        <v>2025</v>
      </c>
      <c r="C1445" t="inlineStr">
        <is>
          <t>April</t>
        </is>
      </c>
      <c r="D1445" t="inlineStr">
        <is>
          <t>Smart Coffee Beans</t>
        </is>
      </c>
      <c r="E1445" t="inlineStr">
        <is>
          <t>Grocery</t>
        </is>
      </c>
      <c r="F1445" t="inlineStr">
        <is>
          <t>Julia Dubois</t>
        </is>
      </c>
      <c r="G1445" t="inlineStr">
        <is>
          <t>United States</t>
        </is>
      </c>
      <c r="H1445" t="inlineStr">
        <is>
          <t>Mobile App</t>
        </is>
      </c>
      <c r="I1445" t="n">
        <v>1</v>
      </c>
      <c r="J1445" s="3" t="n">
        <v>111.93</v>
      </c>
      <c r="K1445" s="3" t="n">
        <v>16.79</v>
      </c>
      <c r="L1445" s="3" t="n">
        <v>95.14</v>
      </c>
      <c r="M1445" s="3" t="n">
        <v>72.84999999999999</v>
      </c>
      <c r="N1445" s="3" t="n">
        <v>22.29</v>
      </c>
      <c r="O1445">
        <f>TEXT(A1445,"yyyy-mm")</f>
        <v/>
      </c>
    </row>
    <row r="1446">
      <c r="A1446" s="2" t="n">
        <v>45762</v>
      </c>
      <c r="B1446" t="n">
        <v>2025</v>
      </c>
      <c r="C1446" t="inlineStr">
        <is>
          <t>April</t>
        </is>
      </c>
      <c r="D1446" t="inlineStr">
        <is>
          <t>Deluxe Toothbrush</t>
        </is>
      </c>
      <c r="E1446" t="inlineStr">
        <is>
          <t>Beauty &amp; Health</t>
        </is>
      </c>
      <c r="F1446" t="inlineStr">
        <is>
          <t>Daniel Wilson</t>
        </is>
      </c>
      <c r="G1446" t="inlineStr">
        <is>
          <t>Italy</t>
        </is>
      </c>
      <c r="H1446" t="inlineStr">
        <is>
          <t>Marketplace</t>
        </is>
      </c>
      <c r="I1446" t="n">
        <v>2</v>
      </c>
      <c r="J1446" s="3" t="n">
        <v>641.14</v>
      </c>
      <c r="K1446" s="3" t="n">
        <v>64.11</v>
      </c>
      <c r="L1446" s="3" t="n">
        <v>577.03</v>
      </c>
      <c r="M1446" s="3" t="n">
        <v>349.14</v>
      </c>
      <c r="N1446" s="3" t="n">
        <v>227.89</v>
      </c>
      <c r="O1446">
        <f>TEXT(A1446,"yyyy-mm")</f>
        <v/>
      </c>
    </row>
    <row r="1447">
      <c r="A1447" s="2" t="n">
        <v>45762</v>
      </c>
      <c r="B1447" t="n">
        <v>2025</v>
      </c>
      <c r="C1447" t="inlineStr">
        <is>
          <t>April</t>
        </is>
      </c>
      <c r="D1447" t="inlineStr">
        <is>
          <t>Smart Charger</t>
        </is>
      </c>
      <c r="E1447" t="inlineStr">
        <is>
          <t>Electronics</t>
        </is>
      </c>
      <c r="F1447" t="inlineStr">
        <is>
          <t>Daniel Wilson</t>
        </is>
      </c>
      <c r="G1447" t="inlineStr">
        <is>
          <t>Italy</t>
        </is>
      </c>
      <c r="H1447" t="inlineStr">
        <is>
          <t>Marketplace</t>
        </is>
      </c>
      <c r="I1447" t="n">
        <v>2</v>
      </c>
      <c r="J1447" s="3" t="n">
        <v>78</v>
      </c>
      <c r="K1447" s="3" t="n">
        <v>11.7</v>
      </c>
      <c r="L1447" s="3" t="n">
        <v>66.3</v>
      </c>
      <c r="M1447" s="3" t="n">
        <v>55.28</v>
      </c>
      <c r="N1447" s="3" t="n">
        <v>11.02</v>
      </c>
      <c r="O1447">
        <f>TEXT(A1447,"yyyy-mm")</f>
        <v/>
      </c>
    </row>
    <row r="1448">
      <c r="A1448" s="2" t="n">
        <v>45762</v>
      </c>
      <c r="B1448" t="n">
        <v>2025</v>
      </c>
      <c r="C1448" t="inlineStr">
        <is>
          <t>April</t>
        </is>
      </c>
      <c r="D1448" t="inlineStr">
        <is>
          <t>Ultra Toolset</t>
        </is>
      </c>
      <c r="E1448" t="inlineStr">
        <is>
          <t>Home &amp; Garden</t>
        </is>
      </c>
      <c r="F1448" t="inlineStr">
        <is>
          <t>Daniel Wilson</t>
        </is>
      </c>
      <c r="G1448" t="inlineStr">
        <is>
          <t>Italy</t>
        </is>
      </c>
      <c r="H1448" t="inlineStr">
        <is>
          <t>Marketplace</t>
        </is>
      </c>
      <c r="I1448" t="n">
        <v>2</v>
      </c>
      <c r="J1448" s="3" t="n">
        <v>755.4</v>
      </c>
      <c r="K1448" s="3" t="n">
        <v>0</v>
      </c>
      <c r="L1448" s="3" t="n">
        <v>755.4</v>
      </c>
      <c r="M1448" s="3" t="n">
        <v>380.8</v>
      </c>
      <c r="N1448" s="3" t="n">
        <v>374.6</v>
      </c>
      <c r="O1448">
        <f>TEXT(A1448,"yyyy-mm")</f>
        <v/>
      </c>
    </row>
    <row r="1449">
      <c r="A1449" s="2" t="n">
        <v>45762</v>
      </c>
      <c r="B1449" t="n">
        <v>2025</v>
      </c>
      <c r="C1449" t="inlineStr">
        <is>
          <t>April</t>
        </is>
      </c>
      <c r="D1449" t="inlineStr">
        <is>
          <t>Premium Tent</t>
        </is>
      </c>
      <c r="E1449" t="inlineStr">
        <is>
          <t>Sports &amp; Outdoors</t>
        </is>
      </c>
      <c r="F1449" t="inlineStr">
        <is>
          <t>Maria Martin</t>
        </is>
      </c>
      <c r="G1449" t="inlineStr">
        <is>
          <t>Poland</t>
        </is>
      </c>
      <c r="H1449" t="inlineStr">
        <is>
          <t>Mobile App</t>
        </is>
      </c>
      <c r="I1449" t="n">
        <v>4</v>
      </c>
      <c r="J1449" s="3" t="n">
        <v>569.76</v>
      </c>
      <c r="K1449" s="3" t="n">
        <v>0</v>
      </c>
      <c r="L1449" s="3" t="n">
        <v>569.76</v>
      </c>
      <c r="M1449" s="3" t="n">
        <v>385.6</v>
      </c>
      <c r="N1449" s="3" t="n">
        <v>184.16</v>
      </c>
      <c r="O1449">
        <f>TEXT(A1449,"yyyy-mm")</f>
        <v/>
      </c>
    </row>
    <row r="1450">
      <c r="A1450" s="2" t="n">
        <v>45762</v>
      </c>
      <c r="B1450" t="n">
        <v>2025</v>
      </c>
      <c r="C1450" t="inlineStr">
        <is>
          <t>April</t>
        </is>
      </c>
      <c r="D1450" t="inlineStr">
        <is>
          <t>Smart Drone</t>
        </is>
      </c>
      <c r="E1450" t="inlineStr">
        <is>
          <t>Toys &amp; Games</t>
        </is>
      </c>
      <c r="F1450" t="inlineStr">
        <is>
          <t>Clara Nowak</t>
        </is>
      </c>
      <c r="G1450" t="inlineStr">
        <is>
          <t>United States</t>
        </is>
      </c>
      <c r="H1450" t="inlineStr">
        <is>
          <t>Marketplace</t>
        </is>
      </c>
      <c r="I1450" t="n">
        <v>3</v>
      </c>
      <c r="J1450" s="3" t="n">
        <v>645.33</v>
      </c>
      <c r="K1450" s="3" t="n">
        <v>0</v>
      </c>
      <c r="L1450" s="3" t="n">
        <v>645.33</v>
      </c>
      <c r="M1450" s="3" t="n">
        <v>380.85</v>
      </c>
      <c r="N1450" s="3" t="n">
        <v>264.48</v>
      </c>
      <c r="O1450">
        <f>TEXT(A1450,"yyyy-mm")</f>
        <v/>
      </c>
    </row>
    <row r="1451">
      <c r="A1451" s="2" t="n">
        <v>45762</v>
      </c>
      <c r="B1451" t="n">
        <v>2025</v>
      </c>
      <c r="C1451" t="inlineStr">
        <is>
          <t>April</t>
        </is>
      </c>
      <c r="D1451" t="inlineStr">
        <is>
          <t>Classic Sunscreen</t>
        </is>
      </c>
      <c r="E1451" t="inlineStr">
        <is>
          <t>Beauty &amp; Health</t>
        </is>
      </c>
      <c r="F1451" t="inlineStr">
        <is>
          <t>Clara Nowak</t>
        </is>
      </c>
      <c r="G1451" t="inlineStr">
        <is>
          <t>United States</t>
        </is>
      </c>
      <c r="H1451" t="inlineStr">
        <is>
          <t>Marketplace</t>
        </is>
      </c>
      <c r="I1451" t="n">
        <v>4</v>
      </c>
      <c r="J1451" s="3" t="n">
        <v>539.84</v>
      </c>
      <c r="K1451" s="3" t="n">
        <v>80.98</v>
      </c>
      <c r="L1451" s="3" t="n">
        <v>458.86</v>
      </c>
      <c r="M1451" s="3" t="n">
        <v>374.76</v>
      </c>
      <c r="N1451" s="3" t="n">
        <v>84.09999999999999</v>
      </c>
      <c r="O1451">
        <f>TEXT(A1451,"yyyy-mm")</f>
        <v/>
      </c>
    </row>
    <row r="1452">
      <c r="A1452" s="2" t="n">
        <v>45762</v>
      </c>
      <c r="B1452" t="n">
        <v>2025</v>
      </c>
      <c r="C1452" t="inlineStr">
        <is>
          <t>April</t>
        </is>
      </c>
      <c r="D1452" t="inlineStr">
        <is>
          <t>Classic Atlas</t>
        </is>
      </c>
      <c r="E1452" t="inlineStr">
        <is>
          <t>Books</t>
        </is>
      </c>
      <c r="F1452" t="inlineStr">
        <is>
          <t>Clara Nowak</t>
        </is>
      </c>
      <c r="G1452" t="inlineStr">
        <is>
          <t>United States</t>
        </is>
      </c>
      <c r="H1452" t="inlineStr">
        <is>
          <t>Marketplace</t>
        </is>
      </c>
      <c r="I1452" t="n">
        <v>3</v>
      </c>
      <c r="J1452" s="3" t="n">
        <v>188.82</v>
      </c>
      <c r="K1452" s="3" t="n">
        <v>0</v>
      </c>
      <c r="L1452" s="3" t="n">
        <v>188.82</v>
      </c>
      <c r="M1452" s="3" t="n">
        <v>103.77</v>
      </c>
      <c r="N1452" s="3" t="n">
        <v>85.05</v>
      </c>
      <c r="O1452">
        <f>TEXT(A1452,"yyyy-mm")</f>
        <v/>
      </c>
    </row>
    <row r="1453">
      <c r="A1453" s="2" t="n">
        <v>45762</v>
      </c>
      <c r="B1453" t="n">
        <v>2025</v>
      </c>
      <c r="C1453" t="inlineStr">
        <is>
          <t>April</t>
        </is>
      </c>
      <c r="D1453" t="inlineStr">
        <is>
          <t>Essential Jacket</t>
        </is>
      </c>
      <c r="E1453" t="inlineStr">
        <is>
          <t>Clothing</t>
        </is>
      </c>
      <c r="F1453" t="inlineStr">
        <is>
          <t>Clara Nowak</t>
        </is>
      </c>
      <c r="G1453" t="inlineStr">
        <is>
          <t>United States</t>
        </is>
      </c>
      <c r="H1453" t="inlineStr">
        <is>
          <t>Marketplace</t>
        </is>
      </c>
      <c r="I1453" t="n">
        <v>5</v>
      </c>
      <c r="J1453" s="3" t="n">
        <v>757</v>
      </c>
      <c r="K1453" s="3" t="n">
        <v>37.85</v>
      </c>
      <c r="L1453" s="3" t="n">
        <v>719.15</v>
      </c>
      <c r="M1453" s="3" t="n">
        <v>426.75</v>
      </c>
      <c r="N1453" s="3" t="n">
        <v>292.4</v>
      </c>
      <c r="O1453">
        <f>TEXT(A1453,"yyyy-mm")</f>
        <v/>
      </c>
    </row>
    <row r="1454">
      <c r="A1454" s="2" t="n">
        <v>45764</v>
      </c>
      <c r="B1454" t="n">
        <v>2025</v>
      </c>
      <c r="C1454" t="inlineStr">
        <is>
          <t>April</t>
        </is>
      </c>
      <c r="D1454" t="inlineStr">
        <is>
          <t>Wireless Drone</t>
        </is>
      </c>
      <c r="E1454" t="inlineStr">
        <is>
          <t>Toys &amp; Games</t>
        </is>
      </c>
      <c r="F1454" t="inlineStr">
        <is>
          <t>Thomas Lopez</t>
        </is>
      </c>
      <c r="G1454" t="inlineStr">
        <is>
          <t>Spain</t>
        </is>
      </c>
      <c r="H1454" t="inlineStr">
        <is>
          <t>Mobile App</t>
        </is>
      </c>
      <c r="I1454" t="n">
        <v>3</v>
      </c>
      <c r="J1454" s="3" t="n">
        <v>686.01</v>
      </c>
      <c r="K1454" s="3" t="n">
        <v>137.2</v>
      </c>
      <c r="L1454" s="3" t="n">
        <v>548.8099999999999</v>
      </c>
      <c r="M1454" s="3" t="n">
        <v>393.87</v>
      </c>
      <c r="N1454" s="3" t="n">
        <v>154.94</v>
      </c>
      <c r="O1454">
        <f>TEXT(A1454,"yyyy-mm")</f>
        <v/>
      </c>
    </row>
    <row r="1455">
      <c r="A1455" s="2" t="n">
        <v>45764</v>
      </c>
      <c r="B1455" t="n">
        <v>2025</v>
      </c>
      <c r="C1455" t="inlineStr">
        <is>
          <t>April</t>
        </is>
      </c>
      <c r="D1455" t="inlineStr">
        <is>
          <t>Deluxe Notebook</t>
        </is>
      </c>
      <c r="E1455" t="inlineStr">
        <is>
          <t>Books</t>
        </is>
      </c>
      <c r="F1455" t="inlineStr">
        <is>
          <t>Thomas Lopez</t>
        </is>
      </c>
      <c r="G1455" t="inlineStr">
        <is>
          <t>Spain</t>
        </is>
      </c>
      <c r="H1455" t="inlineStr">
        <is>
          <t>Mobile App</t>
        </is>
      </c>
      <c r="I1455" t="n">
        <v>5</v>
      </c>
      <c r="J1455" s="3" t="n">
        <v>1024.95</v>
      </c>
      <c r="K1455" s="3" t="n">
        <v>0</v>
      </c>
      <c r="L1455" s="3" t="n">
        <v>1024.95</v>
      </c>
      <c r="M1455" s="3" t="n">
        <v>753.8</v>
      </c>
      <c r="N1455" s="3" t="n">
        <v>271.15</v>
      </c>
      <c r="O1455">
        <f>TEXT(A1455,"yyyy-mm")</f>
        <v/>
      </c>
    </row>
    <row r="1456">
      <c r="A1456" s="2" t="n">
        <v>45764</v>
      </c>
      <c r="B1456" t="n">
        <v>2025</v>
      </c>
      <c r="C1456" t="inlineStr">
        <is>
          <t>April</t>
        </is>
      </c>
      <c r="D1456" t="inlineStr">
        <is>
          <t>Smart Puzzle</t>
        </is>
      </c>
      <c r="E1456" t="inlineStr">
        <is>
          <t>Toys &amp; Games</t>
        </is>
      </c>
      <c r="F1456" t="inlineStr">
        <is>
          <t>Thomas Lopez</t>
        </is>
      </c>
      <c r="G1456" t="inlineStr">
        <is>
          <t>Spain</t>
        </is>
      </c>
      <c r="H1456" t="inlineStr">
        <is>
          <t>Mobile App</t>
        </is>
      </c>
      <c r="I1456" t="n">
        <v>1</v>
      </c>
      <c r="J1456" s="3" t="n">
        <v>275.68</v>
      </c>
      <c r="K1456" s="3" t="n">
        <v>0</v>
      </c>
      <c r="L1456" s="3" t="n">
        <v>275.68</v>
      </c>
      <c r="M1456" s="3" t="n">
        <v>192.76</v>
      </c>
      <c r="N1456" s="3" t="n">
        <v>82.92</v>
      </c>
      <c r="O1456">
        <f>TEXT(A1456,"yyyy-mm")</f>
        <v/>
      </c>
    </row>
    <row r="1457">
      <c r="A1457" s="2" t="n">
        <v>45764</v>
      </c>
      <c r="B1457" t="n">
        <v>2025</v>
      </c>
      <c r="C1457" t="inlineStr">
        <is>
          <t>April</t>
        </is>
      </c>
      <c r="D1457" t="inlineStr">
        <is>
          <t>Essential Vitamins</t>
        </is>
      </c>
      <c r="E1457" t="inlineStr">
        <is>
          <t>Beauty &amp; Health</t>
        </is>
      </c>
      <c r="F1457" t="inlineStr">
        <is>
          <t>Thomas Lopez</t>
        </is>
      </c>
      <c r="G1457" t="inlineStr">
        <is>
          <t>Spain</t>
        </is>
      </c>
      <c r="H1457" t="inlineStr">
        <is>
          <t>Mobile App</t>
        </is>
      </c>
      <c r="I1457" t="n">
        <v>5</v>
      </c>
      <c r="J1457" s="3" t="n">
        <v>892.7</v>
      </c>
      <c r="K1457" s="3" t="n">
        <v>0</v>
      </c>
      <c r="L1457" s="3" t="n">
        <v>892.7</v>
      </c>
      <c r="M1457" s="3" t="n">
        <v>551.5</v>
      </c>
      <c r="N1457" s="3" t="n">
        <v>341.2</v>
      </c>
      <c r="O1457">
        <f>TEXT(A1457,"yyyy-mm")</f>
        <v/>
      </c>
    </row>
    <row r="1458">
      <c r="A1458" s="2" t="n">
        <v>45764</v>
      </c>
      <c r="B1458" t="n">
        <v>2025</v>
      </c>
      <c r="C1458" t="inlineStr">
        <is>
          <t>April</t>
        </is>
      </c>
      <c r="D1458" t="inlineStr">
        <is>
          <t>Portable Bike Helmet</t>
        </is>
      </c>
      <c r="E1458" t="inlineStr">
        <is>
          <t>Sports &amp; Outdoors</t>
        </is>
      </c>
      <c r="F1458" t="inlineStr">
        <is>
          <t>Thomas Fischer</t>
        </is>
      </c>
      <c r="G1458" t="inlineStr">
        <is>
          <t>France</t>
        </is>
      </c>
      <c r="H1458" t="inlineStr">
        <is>
          <t>Web Store</t>
        </is>
      </c>
      <c r="I1458" t="n">
        <v>4</v>
      </c>
      <c r="J1458" s="3" t="n">
        <v>1181.6</v>
      </c>
      <c r="K1458" s="3" t="n">
        <v>236.32</v>
      </c>
      <c r="L1458" s="3" t="n">
        <v>945.28</v>
      </c>
      <c r="M1458" s="3" t="n">
        <v>661.48</v>
      </c>
      <c r="N1458" s="3" t="n">
        <v>283.8</v>
      </c>
      <c r="O1458">
        <f>TEXT(A1458,"yyyy-mm")</f>
        <v/>
      </c>
    </row>
    <row r="1459">
      <c r="A1459" s="2" t="n">
        <v>45764</v>
      </c>
      <c r="B1459" t="n">
        <v>2025</v>
      </c>
      <c r="C1459" t="inlineStr">
        <is>
          <t>April</t>
        </is>
      </c>
      <c r="D1459" t="inlineStr">
        <is>
          <t>Smart Olive Oil</t>
        </is>
      </c>
      <c r="E1459" t="inlineStr">
        <is>
          <t>Grocery</t>
        </is>
      </c>
      <c r="F1459" t="inlineStr">
        <is>
          <t>Thomas Fischer</t>
        </is>
      </c>
      <c r="G1459" t="inlineStr">
        <is>
          <t>France</t>
        </is>
      </c>
      <c r="H1459" t="inlineStr">
        <is>
          <t>Web Store</t>
        </is>
      </c>
      <c r="I1459" t="n">
        <v>4</v>
      </c>
      <c r="J1459" s="3" t="n">
        <v>686</v>
      </c>
      <c r="K1459" s="3" t="n">
        <v>137.2</v>
      </c>
      <c r="L1459" s="3" t="n">
        <v>548.8</v>
      </c>
      <c r="M1459" s="3" t="n">
        <v>440.08</v>
      </c>
      <c r="N1459" s="3" t="n">
        <v>108.72</v>
      </c>
      <c r="O1459">
        <f>TEXT(A1459,"yyyy-mm")</f>
        <v/>
      </c>
    </row>
    <row r="1460">
      <c r="A1460" s="2" t="n">
        <v>45764</v>
      </c>
      <c r="B1460" t="n">
        <v>2025</v>
      </c>
      <c r="C1460" t="inlineStr">
        <is>
          <t>April</t>
        </is>
      </c>
      <c r="D1460" t="inlineStr">
        <is>
          <t>Portable Toolset</t>
        </is>
      </c>
      <c r="E1460" t="inlineStr">
        <is>
          <t>Home &amp; Garden</t>
        </is>
      </c>
      <c r="F1460" t="inlineStr">
        <is>
          <t>Thomas Fischer</t>
        </is>
      </c>
      <c r="G1460" t="inlineStr">
        <is>
          <t>France</t>
        </is>
      </c>
      <c r="H1460" t="inlineStr">
        <is>
          <t>Web Store</t>
        </is>
      </c>
      <c r="I1460" t="n">
        <v>3</v>
      </c>
      <c r="J1460" s="3" t="n">
        <v>277.8</v>
      </c>
      <c r="K1460" s="3" t="n">
        <v>0</v>
      </c>
      <c r="L1460" s="3" t="n">
        <v>277.8</v>
      </c>
      <c r="M1460" s="3" t="n">
        <v>151.62</v>
      </c>
      <c r="N1460" s="3" t="n">
        <v>126.18</v>
      </c>
      <c r="O1460">
        <f>TEXT(A1460,"yyyy-mm")</f>
        <v/>
      </c>
    </row>
    <row r="1461">
      <c r="A1461" s="2" t="n">
        <v>45764</v>
      </c>
      <c r="B1461" t="n">
        <v>2025</v>
      </c>
      <c r="C1461" t="inlineStr">
        <is>
          <t>April</t>
        </is>
      </c>
      <c r="D1461" t="inlineStr">
        <is>
          <t>Essential Rug</t>
        </is>
      </c>
      <c r="E1461" t="inlineStr">
        <is>
          <t>Home &amp; Garden</t>
        </is>
      </c>
      <c r="F1461" t="inlineStr">
        <is>
          <t>Thomas Fischer</t>
        </is>
      </c>
      <c r="G1461" t="inlineStr">
        <is>
          <t>France</t>
        </is>
      </c>
      <c r="H1461" t="inlineStr">
        <is>
          <t>Web Store</t>
        </is>
      </c>
      <c r="I1461" t="n">
        <v>2</v>
      </c>
      <c r="J1461" s="3" t="n">
        <v>269.72</v>
      </c>
      <c r="K1461" s="3" t="n">
        <v>13.49</v>
      </c>
      <c r="L1461" s="3" t="n">
        <v>256.23</v>
      </c>
      <c r="M1461" s="3" t="n">
        <v>152.66</v>
      </c>
      <c r="N1461" s="3" t="n">
        <v>103.57</v>
      </c>
      <c r="O1461">
        <f>TEXT(A1461,"yyyy-mm")</f>
        <v/>
      </c>
    </row>
    <row r="1462">
      <c r="A1462" s="2" t="n">
        <v>45765</v>
      </c>
      <c r="B1462" t="n">
        <v>2025</v>
      </c>
      <c r="C1462" t="inlineStr">
        <is>
          <t>April</t>
        </is>
      </c>
      <c r="D1462" t="inlineStr">
        <is>
          <t>Deluxe Smartwatch</t>
        </is>
      </c>
      <c r="E1462" t="inlineStr">
        <is>
          <t>Electronics</t>
        </is>
      </c>
      <c r="F1462" t="inlineStr">
        <is>
          <t>John Dubois</t>
        </is>
      </c>
      <c r="G1462" t="inlineStr">
        <is>
          <t>Netherlands</t>
        </is>
      </c>
      <c r="H1462" t="inlineStr">
        <is>
          <t>Retail Store</t>
        </is>
      </c>
      <c r="I1462" t="n">
        <v>1</v>
      </c>
      <c r="J1462" s="3" t="n">
        <v>154.81</v>
      </c>
      <c r="K1462" s="3" t="n">
        <v>23.22</v>
      </c>
      <c r="L1462" s="3" t="n">
        <v>131.59</v>
      </c>
      <c r="M1462" s="3" t="n">
        <v>122.72</v>
      </c>
      <c r="N1462" s="3" t="n">
        <v>8.869999999999999</v>
      </c>
      <c r="O1462">
        <f>TEXT(A1462,"yyyy-mm")</f>
        <v/>
      </c>
    </row>
    <row r="1463">
      <c r="A1463" s="2" t="n">
        <v>45765</v>
      </c>
      <c r="B1463" t="n">
        <v>2025</v>
      </c>
      <c r="C1463" t="inlineStr">
        <is>
          <t>April</t>
        </is>
      </c>
      <c r="D1463" t="inlineStr">
        <is>
          <t>Smart Face Cream</t>
        </is>
      </c>
      <c r="E1463" t="inlineStr">
        <is>
          <t>Beauty &amp; Health</t>
        </is>
      </c>
      <c r="F1463" t="inlineStr">
        <is>
          <t>John Dubois</t>
        </is>
      </c>
      <c r="G1463" t="inlineStr">
        <is>
          <t>Netherlands</t>
        </is>
      </c>
      <c r="H1463" t="inlineStr">
        <is>
          <t>Retail Store</t>
        </is>
      </c>
      <c r="I1463" t="n">
        <v>5</v>
      </c>
      <c r="J1463" s="3" t="n">
        <v>1386.65</v>
      </c>
      <c r="K1463" s="3" t="n">
        <v>208</v>
      </c>
      <c r="L1463" s="3" t="n">
        <v>1178.65</v>
      </c>
      <c r="M1463" s="3" t="n">
        <v>965.7</v>
      </c>
      <c r="N1463" s="3" t="n">
        <v>212.95</v>
      </c>
      <c r="O1463">
        <f>TEXT(A1463,"yyyy-mm")</f>
        <v/>
      </c>
    </row>
    <row r="1464">
      <c r="A1464" s="2" t="n">
        <v>45765</v>
      </c>
      <c r="B1464" t="n">
        <v>2025</v>
      </c>
      <c r="C1464" t="inlineStr">
        <is>
          <t>April</t>
        </is>
      </c>
      <c r="D1464" t="inlineStr">
        <is>
          <t>Deluxe Toolset</t>
        </is>
      </c>
      <c r="E1464" t="inlineStr">
        <is>
          <t>Home &amp; Garden</t>
        </is>
      </c>
      <c r="F1464" t="inlineStr">
        <is>
          <t>Julia Schmidt</t>
        </is>
      </c>
      <c r="G1464" t="inlineStr">
        <is>
          <t>France</t>
        </is>
      </c>
      <c r="H1464" t="inlineStr">
        <is>
          <t>Web Store</t>
        </is>
      </c>
      <c r="I1464" t="n">
        <v>3</v>
      </c>
      <c r="J1464" s="3" t="n">
        <v>203.94</v>
      </c>
      <c r="K1464" s="3" t="n">
        <v>10.2</v>
      </c>
      <c r="L1464" s="3" t="n">
        <v>193.74</v>
      </c>
      <c r="M1464" s="3" t="n">
        <v>143.13</v>
      </c>
      <c r="N1464" s="3" t="n">
        <v>50.61</v>
      </c>
      <c r="O1464">
        <f>TEXT(A1464,"yyyy-mm")</f>
        <v/>
      </c>
    </row>
    <row r="1465">
      <c r="A1465" s="2" t="n">
        <v>45765</v>
      </c>
      <c r="B1465" t="n">
        <v>2025</v>
      </c>
      <c r="C1465" t="inlineStr">
        <is>
          <t>April</t>
        </is>
      </c>
      <c r="D1465" t="inlineStr">
        <is>
          <t>Smart Sweater</t>
        </is>
      </c>
      <c r="E1465" t="inlineStr">
        <is>
          <t>Clothing</t>
        </is>
      </c>
      <c r="F1465" t="inlineStr">
        <is>
          <t>Daniel Garcia</t>
        </is>
      </c>
      <c r="G1465" t="inlineStr">
        <is>
          <t>Italy</t>
        </is>
      </c>
      <c r="H1465" t="inlineStr">
        <is>
          <t>Retail Store</t>
        </is>
      </c>
      <c r="I1465" t="n">
        <v>5</v>
      </c>
      <c r="J1465" s="3" t="n">
        <v>691.2</v>
      </c>
      <c r="K1465" s="3" t="n">
        <v>0</v>
      </c>
      <c r="L1465" s="3" t="n">
        <v>691.2</v>
      </c>
      <c r="M1465" s="3" t="n">
        <v>386.75</v>
      </c>
      <c r="N1465" s="3" t="n">
        <v>304.45</v>
      </c>
      <c r="O1465">
        <f>TEXT(A1465,"yyyy-mm")</f>
        <v/>
      </c>
    </row>
    <row r="1466">
      <c r="A1466" s="2" t="n">
        <v>45765</v>
      </c>
      <c r="B1466" t="n">
        <v>2025</v>
      </c>
      <c r="C1466" t="inlineStr">
        <is>
          <t>April</t>
        </is>
      </c>
      <c r="D1466" t="inlineStr">
        <is>
          <t>Deluxe Puzzle</t>
        </is>
      </c>
      <c r="E1466" t="inlineStr">
        <is>
          <t>Toys &amp; Games</t>
        </is>
      </c>
      <c r="F1466" t="inlineStr">
        <is>
          <t>Daniel Garcia</t>
        </is>
      </c>
      <c r="G1466" t="inlineStr">
        <is>
          <t>Italy</t>
        </is>
      </c>
      <c r="H1466" t="inlineStr">
        <is>
          <t>Retail Store</t>
        </is>
      </c>
      <c r="I1466" t="n">
        <v>4</v>
      </c>
      <c r="J1466" s="3" t="n">
        <v>848.72</v>
      </c>
      <c r="K1466" s="3" t="n">
        <v>0</v>
      </c>
      <c r="L1466" s="3" t="n">
        <v>848.72</v>
      </c>
      <c r="M1466" s="3" t="n">
        <v>444.68</v>
      </c>
      <c r="N1466" s="3" t="n">
        <v>404.04</v>
      </c>
      <c r="O1466">
        <f>TEXT(A1466,"yyyy-mm")</f>
        <v/>
      </c>
    </row>
    <row r="1467">
      <c r="A1467" s="2" t="n">
        <v>45765</v>
      </c>
      <c r="B1467" t="n">
        <v>2025</v>
      </c>
      <c r="C1467" t="inlineStr">
        <is>
          <t>April</t>
        </is>
      </c>
      <c r="D1467" t="inlineStr">
        <is>
          <t>Eco Biography</t>
        </is>
      </c>
      <c r="E1467" t="inlineStr">
        <is>
          <t>Books</t>
        </is>
      </c>
      <c r="F1467" t="inlineStr">
        <is>
          <t>Laura Moreau</t>
        </is>
      </c>
      <c r="G1467" t="inlineStr">
        <is>
          <t>Spain</t>
        </is>
      </c>
      <c r="H1467" t="inlineStr">
        <is>
          <t>Web Store</t>
        </is>
      </c>
      <c r="I1467" t="n">
        <v>2</v>
      </c>
      <c r="J1467" s="3" t="n">
        <v>245.78</v>
      </c>
      <c r="K1467" s="3" t="n">
        <v>49.16</v>
      </c>
      <c r="L1467" s="3" t="n">
        <v>196.62</v>
      </c>
      <c r="M1467" s="3" t="n">
        <v>142.04</v>
      </c>
      <c r="N1467" s="3" t="n">
        <v>54.58</v>
      </c>
      <c r="O1467">
        <f>TEXT(A1467,"yyyy-mm")</f>
        <v/>
      </c>
    </row>
    <row r="1468">
      <c r="A1468" s="2" t="n">
        <v>45765</v>
      </c>
      <c r="B1468" t="n">
        <v>2025</v>
      </c>
      <c r="C1468" t="inlineStr">
        <is>
          <t>April</t>
        </is>
      </c>
      <c r="D1468" t="inlineStr">
        <is>
          <t>Wireless Backpack</t>
        </is>
      </c>
      <c r="E1468" t="inlineStr">
        <is>
          <t>Sports &amp; Outdoors</t>
        </is>
      </c>
      <c r="F1468" t="inlineStr">
        <is>
          <t>Laura Moreau</t>
        </is>
      </c>
      <c r="G1468" t="inlineStr">
        <is>
          <t>Spain</t>
        </is>
      </c>
      <c r="H1468" t="inlineStr">
        <is>
          <t>Web Store</t>
        </is>
      </c>
      <c r="I1468" t="n">
        <v>1</v>
      </c>
      <c r="J1468" s="3" t="n">
        <v>47.47</v>
      </c>
      <c r="K1468" s="3" t="n">
        <v>0</v>
      </c>
      <c r="L1468" s="3" t="n">
        <v>47.47</v>
      </c>
      <c r="M1468" s="3" t="n">
        <v>28.1</v>
      </c>
      <c r="N1468" s="3" t="n">
        <v>19.37</v>
      </c>
      <c r="O1468">
        <f>TEXT(A1468,"yyyy-mm")</f>
        <v/>
      </c>
    </row>
    <row r="1469">
      <c r="A1469" s="2" t="n">
        <v>45765</v>
      </c>
      <c r="B1469" t="n">
        <v>2025</v>
      </c>
      <c r="C1469" t="inlineStr">
        <is>
          <t>April</t>
        </is>
      </c>
      <c r="D1469" t="inlineStr">
        <is>
          <t>Smart Honey</t>
        </is>
      </c>
      <c r="E1469" t="inlineStr">
        <is>
          <t>Grocery</t>
        </is>
      </c>
      <c r="F1469" t="inlineStr">
        <is>
          <t>Laura Moreau</t>
        </is>
      </c>
      <c r="G1469" t="inlineStr">
        <is>
          <t>Spain</t>
        </is>
      </c>
      <c r="H1469" t="inlineStr">
        <is>
          <t>Web Store</t>
        </is>
      </c>
      <c r="I1469" t="n">
        <v>4</v>
      </c>
      <c r="J1469" s="3" t="n">
        <v>520.5599999999999</v>
      </c>
      <c r="K1469" s="3" t="n">
        <v>52.06</v>
      </c>
      <c r="L1469" s="3" t="n">
        <v>468.5</v>
      </c>
      <c r="M1469" s="3" t="n">
        <v>285.76</v>
      </c>
      <c r="N1469" s="3" t="n">
        <v>182.74</v>
      </c>
      <c r="O1469">
        <f>TEXT(A1469,"yyyy-mm")</f>
        <v/>
      </c>
    </row>
    <row r="1470">
      <c r="A1470" s="2" t="n">
        <v>45765</v>
      </c>
      <c r="B1470" t="n">
        <v>2025</v>
      </c>
      <c r="C1470" t="inlineStr">
        <is>
          <t>April</t>
        </is>
      </c>
      <c r="D1470" t="inlineStr">
        <is>
          <t>Smart Tea Set</t>
        </is>
      </c>
      <c r="E1470" t="inlineStr">
        <is>
          <t>Grocery</t>
        </is>
      </c>
      <c r="F1470" t="inlineStr">
        <is>
          <t>Daniel Garcia</t>
        </is>
      </c>
      <c r="G1470" t="inlineStr">
        <is>
          <t>Italy</t>
        </is>
      </c>
      <c r="H1470" t="inlineStr">
        <is>
          <t>Retail Store</t>
        </is>
      </c>
      <c r="I1470" t="n">
        <v>2</v>
      </c>
      <c r="J1470" s="3" t="n">
        <v>180.24</v>
      </c>
      <c r="K1470" s="3" t="n">
        <v>18.02</v>
      </c>
      <c r="L1470" s="3" t="n">
        <v>162.22</v>
      </c>
      <c r="M1470" s="3" t="n">
        <v>123.6</v>
      </c>
      <c r="N1470" s="3" t="n">
        <v>38.62</v>
      </c>
      <c r="O1470">
        <f>TEXT(A1470,"yyyy-mm")</f>
        <v/>
      </c>
    </row>
    <row r="1471">
      <c r="A1471" s="2" t="n">
        <v>45765</v>
      </c>
      <c r="B1471" t="n">
        <v>2025</v>
      </c>
      <c r="C1471" t="inlineStr">
        <is>
          <t>April</t>
        </is>
      </c>
      <c r="D1471" t="inlineStr">
        <is>
          <t>Smart Puzzle</t>
        </is>
      </c>
      <c r="E1471" t="inlineStr">
        <is>
          <t>Toys &amp; Games</t>
        </is>
      </c>
      <c r="F1471" t="inlineStr">
        <is>
          <t>Daniel Garcia</t>
        </is>
      </c>
      <c r="G1471" t="inlineStr">
        <is>
          <t>Italy</t>
        </is>
      </c>
      <c r="H1471" t="inlineStr">
        <is>
          <t>Retail Store</t>
        </is>
      </c>
      <c r="I1471" t="n">
        <v>3</v>
      </c>
      <c r="J1471" s="3" t="n">
        <v>131.22</v>
      </c>
      <c r="K1471" s="3" t="n">
        <v>19.68</v>
      </c>
      <c r="L1471" s="3" t="n">
        <v>111.54</v>
      </c>
      <c r="M1471" s="3" t="n">
        <v>73.31999999999999</v>
      </c>
      <c r="N1471" s="3" t="n">
        <v>38.22</v>
      </c>
      <c r="O1471">
        <f>TEXT(A1471,"yyyy-mm")</f>
        <v/>
      </c>
    </row>
    <row r="1472">
      <c r="A1472" s="2" t="n">
        <v>45765</v>
      </c>
      <c r="B1472" t="n">
        <v>2025</v>
      </c>
      <c r="C1472" t="inlineStr">
        <is>
          <t>April</t>
        </is>
      </c>
      <c r="D1472" t="inlineStr">
        <is>
          <t>Premium Water Bottle</t>
        </is>
      </c>
      <c r="E1472" t="inlineStr">
        <is>
          <t>Sports &amp; Outdoors</t>
        </is>
      </c>
      <c r="F1472" t="inlineStr">
        <is>
          <t>John Dubois</t>
        </is>
      </c>
      <c r="G1472" t="inlineStr">
        <is>
          <t>Netherlands</t>
        </is>
      </c>
      <c r="H1472" t="inlineStr">
        <is>
          <t>Retail Store</t>
        </is>
      </c>
      <c r="I1472" t="n">
        <v>1</v>
      </c>
      <c r="J1472" s="3" t="n">
        <v>29.75</v>
      </c>
      <c r="K1472" s="3" t="n">
        <v>0</v>
      </c>
      <c r="L1472" s="3" t="n">
        <v>29.75</v>
      </c>
      <c r="M1472" s="3" t="n">
        <v>16.63</v>
      </c>
      <c r="N1472" s="3" t="n">
        <v>13.12</v>
      </c>
      <c r="O1472">
        <f>TEXT(A1472,"yyyy-mm")</f>
        <v/>
      </c>
    </row>
    <row r="1473">
      <c r="A1473" s="2" t="n">
        <v>45765</v>
      </c>
      <c r="B1473" t="n">
        <v>2025</v>
      </c>
      <c r="C1473" t="inlineStr">
        <is>
          <t>April</t>
        </is>
      </c>
      <c r="D1473" t="inlineStr">
        <is>
          <t>Essential Planter</t>
        </is>
      </c>
      <c r="E1473" t="inlineStr">
        <is>
          <t>Home &amp; Garden</t>
        </is>
      </c>
      <c r="F1473" t="inlineStr">
        <is>
          <t>Julia Schmidt</t>
        </is>
      </c>
      <c r="G1473" t="inlineStr">
        <is>
          <t>France</t>
        </is>
      </c>
      <c r="H1473" t="inlineStr">
        <is>
          <t>Web Store</t>
        </is>
      </c>
      <c r="I1473" t="n">
        <v>2</v>
      </c>
      <c r="J1473" s="3" t="n">
        <v>50.12</v>
      </c>
      <c r="K1473" s="3" t="n">
        <v>0</v>
      </c>
      <c r="L1473" s="3" t="n">
        <v>50.12</v>
      </c>
      <c r="M1473" s="3" t="n">
        <v>39.28</v>
      </c>
      <c r="N1473" s="3" t="n">
        <v>10.84</v>
      </c>
      <c r="O1473">
        <f>TEXT(A1473,"yyyy-mm")</f>
        <v/>
      </c>
    </row>
    <row r="1474">
      <c r="A1474" s="2" t="n">
        <v>45766</v>
      </c>
      <c r="B1474" t="n">
        <v>2025</v>
      </c>
      <c r="C1474" t="inlineStr">
        <is>
          <t>April</t>
        </is>
      </c>
      <c r="D1474" t="inlineStr">
        <is>
          <t>Deluxe Headphones</t>
        </is>
      </c>
      <c r="E1474" t="inlineStr">
        <is>
          <t>Electronics</t>
        </is>
      </c>
      <c r="F1474" t="inlineStr">
        <is>
          <t>Clara Kowalski</t>
        </is>
      </c>
      <c r="G1474" t="inlineStr">
        <is>
          <t>France</t>
        </is>
      </c>
      <c r="H1474" t="inlineStr">
        <is>
          <t>Retail Store</t>
        </is>
      </c>
      <c r="I1474" t="n">
        <v>3</v>
      </c>
      <c r="J1474" s="3" t="n">
        <v>214.32</v>
      </c>
      <c r="K1474" s="3" t="n">
        <v>32.15</v>
      </c>
      <c r="L1474" s="3" t="n">
        <v>182.17</v>
      </c>
      <c r="M1474" s="3" t="n">
        <v>157.5</v>
      </c>
      <c r="N1474" s="3" t="n">
        <v>24.67</v>
      </c>
      <c r="O1474">
        <f>TEXT(A1474,"yyyy-mm")</f>
        <v/>
      </c>
    </row>
    <row r="1475">
      <c r="A1475" s="2" t="n">
        <v>45766</v>
      </c>
      <c r="B1475" t="n">
        <v>2025</v>
      </c>
      <c r="C1475" t="inlineStr">
        <is>
          <t>April</t>
        </is>
      </c>
      <c r="D1475" t="inlineStr">
        <is>
          <t>Smart Olive Oil</t>
        </is>
      </c>
      <c r="E1475" t="inlineStr">
        <is>
          <t>Grocery</t>
        </is>
      </c>
      <c r="F1475" t="inlineStr">
        <is>
          <t>Clara Kowalski</t>
        </is>
      </c>
      <c r="G1475" t="inlineStr">
        <is>
          <t>France</t>
        </is>
      </c>
      <c r="H1475" t="inlineStr">
        <is>
          <t>Retail Store</t>
        </is>
      </c>
      <c r="I1475" t="n">
        <v>3</v>
      </c>
      <c r="J1475" s="3" t="n">
        <v>511.8</v>
      </c>
      <c r="K1475" s="3" t="n">
        <v>0</v>
      </c>
      <c r="L1475" s="3" t="n">
        <v>511.8</v>
      </c>
      <c r="M1475" s="3" t="n">
        <v>330.06</v>
      </c>
      <c r="N1475" s="3" t="n">
        <v>181.74</v>
      </c>
      <c r="O1475">
        <f>TEXT(A1475,"yyyy-mm")</f>
        <v/>
      </c>
    </row>
    <row r="1476">
      <c r="A1476" s="2" t="n">
        <v>45766</v>
      </c>
      <c r="B1476" t="n">
        <v>2025</v>
      </c>
      <c r="C1476" t="inlineStr">
        <is>
          <t>April</t>
        </is>
      </c>
      <c r="D1476" t="inlineStr">
        <is>
          <t>Wireless Honey</t>
        </is>
      </c>
      <c r="E1476" t="inlineStr">
        <is>
          <t>Grocery</t>
        </is>
      </c>
      <c r="F1476" t="inlineStr">
        <is>
          <t>David Nowak</t>
        </is>
      </c>
      <c r="G1476" t="inlineStr">
        <is>
          <t>Spain</t>
        </is>
      </c>
      <c r="H1476" t="inlineStr">
        <is>
          <t>Mobile App</t>
        </is>
      </c>
      <c r="I1476" t="n">
        <v>4</v>
      </c>
      <c r="J1476" s="3" t="n">
        <v>515.8</v>
      </c>
      <c r="K1476" s="3" t="n">
        <v>0</v>
      </c>
      <c r="L1476" s="3" t="n">
        <v>515.8</v>
      </c>
      <c r="M1476" s="3" t="n">
        <v>376.28</v>
      </c>
      <c r="N1476" s="3" t="n">
        <v>139.52</v>
      </c>
      <c r="O1476">
        <f>TEXT(A1476,"yyyy-mm")</f>
        <v/>
      </c>
    </row>
    <row r="1477">
      <c r="A1477" s="2" t="n">
        <v>45766</v>
      </c>
      <c r="B1477" t="n">
        <v>2025</v>
      </c>
      <c r="C1477" t="inlineStr">
        <is>
          <t>April</t>
        </is>
      </c>
      <c r="D1477" t="inlineStr">
        <is>
          <t>Premium Tent</t>
        </is>
      </c>
      <c r="E1477" t="inlineStr">
        <is>
          <t>Sports &amp; Outdoors</t>
        </is>
      </c>
      <c r="F1477" t="inlineStr">
        <is>
          <t>Nina Muller</t>
        </is>
      </c>
      <c r="G1477" t="inlineStr">
        <is>
          <t>Spain</t>
        </is>
      </c>
      <c r="H1477" t="inlineStr">
        <is>
          <t>Web Store</t>
        </is>
      </c>
      <c r="I1477" t="n">
        <v>2</v>
      </c>
      <c r="J1477" s="3" t="n">
        <v>489.18</v>
      </c>
      <c r="K1477" s="3" t="n">
        <v>0</v>
      </c>
      <c r="L1477" s="3" t="n">
        <v>489.18</v>
      </c>
      <c r="M1477" s="3" t="n">
        <v>330.62</v>
      </c>
      <c r="N1477" s="3" t="n">
        <v>158.56</v>
      </c>
      <c r="O1477">
        <f>TEXT(A1477,"yyyy-mm")</f>
        <v/>
      </c>
    </row>
    <row r="1478">
      <c r="A1478" s="2" t="n">
        <v>45767</v>
      </c>
      <c r="B1478" t="n">
        <v>2025</v>
      </c>
      <c r="C1478" t="inlineStr">
        <is>
          <t>April</t>
        </is>
      </c>
      <c r="D1478" t="inlineStr">
        <is>
          <t>Smart Face Cream</t>
        </is>
      </c>
      <c r="E1478" t="inlineStr">
        <is>
          <t>Beauty &amp; Health</t>
        </is>
      </c>
      <c r="F1478" t="inlineStr">
        <is>
          <t>Maria Weber</t>
        </is>
      </c>
      <c r="G1478" t="inlineStr">
        <is>
          <t>Spain</t>
        </is>
      </c>
      <c r="H1478" t="inlineStr">
        <is>
          <t>Web Store</t>
        </is>
      </c>
      <c r="I1478" t="n">
        <v>3</v>
      </c>
      <c r="J1478" s="3" t="n">
        <v>768.78</v>
      </c>
      <c r="K1478" s="3" t="n">
        <v>115.32</v>
      </c>
      <c r="L1478" s="3" t="n">
        <v>653.46</v>
      </c>
      <c r="M1478" s="3" t="n">
        <v>579.42</v>
      </c>
      <c r="N1478" s="3" t="n">
        <v>74.04000000000001</v>
      </c>
      <c r="O1478">
        <f>TEXT(A1478,"yyyy-mm")</f>
        <v/>
      </c>
    </row>
    <row r="1479">
      <c r="A1479" s="2" t="n">
        <v>45767</v>
      </c>
      <c r="B1479" t="n">
        <v>2025</v>
      </c>
      <c r="C1479" t="inlineStr">
        <is>
          <t>April</t>
        </is>
      </c>
      <c r="D1479" t="inlineStr">
        <is>
          <t>Classic Bike Helmet</t>
        </is>
      </c>
      <c r="E1479" t="inlineStr">
        <is>
          <t>Sports &amp; Outdoors</t>
        </is>
      </c>
      <c r="F1479" t="inlineStr">
        <is>
          <t>Maria Weber</t>
        </is>
      </c>
      <c r="G1479" t="inlineStr">
        <is>
          <t>Spain</t>
        </is>
      </c>
      <c r="H1479" t="inlineStr">
        <is>
          <t>Web Store</t>
        </is>
      </c>
      <c r="I1479" t="n">
        <v>4</v>
      </c>
      <c r="J1479" s="3" t="n">
        <v>822.6</v>
      </c>
      <c r="K1479" s="3" t="n">
        <v>0</v>
      </c>
      <c r="L1479" s="3" t="n">
        <v>822.6</v>
      </c>
      <c r="M1479" s="3" t="n">
        <v>615.24</v>
      </c>
      <c r="N1479" s="3" t="n">
        <v>207.36</v>
      </c>
      <c r="O1479">
        <f>TEXT(A1479,"yyyy-mm")</f>
        <v/>
      </c>
    </row>
    <row r="1480">
      <c r="A1480" s="2" t="n">
        <v>45767</v>
      </c>
      <c r="B1480" t="n">
        <v>2025</v>
      </c>
      <c r="C1480" t="inlineStr">
        <is>
          <t>April</t>
        </is>
      </c>
      <c r="D1480" t="inlineStr">
        <is>
          <t>Smart Drone</t>
        </is>
      </c>
      <c r="E1480" t="inlineStr">
        <is>
          <t>Toys &amp; Games</t>
        </is>
      </c>
      <c r="F1480" t="inlineStr">
        <is>
          <t>Maria Weber</t>
        </is>
      </c>
      <c r="G1480" t="inlineStr">
        <is>
          <t>Spain</t>
        </is>
      </c>
      <c r="H1480" t="inlineStr">
        <is>
          <t>Web Store</t>
        </is>
      </c>
      <c r="I1480" t="n">
        <v>2</v>
      </c>
      <c r="J1480" s="3" t="n">
        <v>433.12</v>
      </c>
      <c r="K1480" s="3" t="n">
        <v>43.31</v>
      </c>
      <c r="L1480" s="3" t="n">
        <v>389.81</v>
      </c>
      <c r="M1480" s="3" t="n">
        <v>253.9</v>
      </c>
      <c r="N1480" s="3" t="n">
        <v>135.91</v>
      </c>
      <c r="O1480">
        <f>TEXT(A1480,"yyyy-mm")</f>
        <v/>
      </c>
    </row>
    <row r="1481">
      <c r="A1481" s="2" t="n">
        <v>45767</v>
      </c>
      <c r="B1481" t="n">
        <v>2025</v>
      </c>
      <c r="C1481" t="inlineStr">
        <is>
          <t>April</t>
        </is>
      </c>
      <c r="D1481" t="inlineStr">
        <is>
          <t>Deluxe Puzzle</t>
        </is>
      </c>
      <c r="E1481" t="inlineStr">
        <is>
          <t>Toys &amp; Games</t>
        </is>
      </c>
      <c r="F1481" t="inlineStr">
        <is>
          <t>Mark Brown</t>
        </is>
      </c>
      <c r="G1481" t="inlineStr">
        <is>
          <t>Spain</t>
        </is>
      </c>
      <c r="H1481" t="inlineStr">
        <is>
          <t>Mobile App</t>
        </is>
      </c>
      <c r="I1481" t="n">
        <v>5</v>
      </c>
      <c r="J1481" s="3" t="n">
        <v>1080.85</v>
      </c>
      <c r="K1481" s="3" t="n">
        <v>162.13</v>
      </c>
      <c r="L1481" s="3" t="n">
        <v>918.72</v>
      </c>
      <c r="M1481" s="3" t="n">
        <v>555.85</v>
      </c>
      <c r="N1481" s="3" t="n">
        <v>362.87</v>
      </c>
      <c r="O1481">
        <f>TEXT(A1481,"yyyy-mm")</f>
        <v/>
      </c>
    </row>
    <row r="1482">
      <c r="A1482" s="2" t="n">
        <v>45767</v>
      </c>
      <c r="B1482" t="n">
        <v>2025</v>
      </c>
      <c r="C1482" t="inlineStr">
        <is>
          <t>April</t>
        </is>
      </c>
      <c r="D1482" t="inlineStr">
        <is>
          <t>Smart Charger</t>
        </is>
      </c>
      <c r="E1482" t="inlineStr">
        <is>
          <t>Electronics</t>
        </is>
      </c>
      <c r="F1482" t="inlineStr">
        <is>
          <t>Mark Brown</t>
        </is>
      </c>
      <c r="G1482" t="inlineStr">
        <is>
          <t>Spain</t>
        </is>
      </c>
      <c r="H1482" t="inlineStr">
        <is>
          <t>Mobile App</t>
        </is>
      </c>
      <c r="I1482" t="n">
        <v>1</v>
      </c>
      <c r="J1482" s="3" t="n">
        <v>255.38</v>
      </c>
      <c r="K1482" s="3" t="n">
        <v>0</v>
      </c>
      <c r="L1482" s="3" t="n">
        <v>255.38</v>
      </c>
      <c r="M1482" s="3" t="n">
        <v>142.52</v>
      </c>
      <c r="N1482" s="3" t="n">
        <v>112.86</v>
      </c>
      <c r="O1482">
        <f>TEXT(A1482,"yyyy-mm")</f>
        <v/>
      </c>
    </row>
    <row r="1483">
      <c r="A1483" s="2" t="n">
        <v>45767</v>
      </c>
      <c r="B1483" t="n">
        <v>2025</v>
      </c>
      <c r="C1483" t="inlineStr">
        <is>
          <t>April</t>
        </is>
      </c>
      <c r="D1483" t="inlineStr">
        <is>
          <t>Essential Rug</t>
        </is>
      </c>
      <c r="E1483" t="inlineStr">
        <is>
          <t>Home &amp; Garden</t>
        </is>
      </c>
      <c r="F1483" t="inlineStr">
        <is>
          <t>Mark Brown</t>
        </is>
      </c>
      <c r="G1483" t="inlineStr">
        <is>
          <t>Spain</t>
        </is>
      </c>
      <c r="H1483" t="inlineStr">
        <is>
          <t>Mobile App</t>
        </is>
      </c>
      <c r="I1483" t="n">
        <v>5</v>
      </c>
      <c r="J1483" s="3" t="n">
        <v>697.6</v>
      </c>
      <c r="K1483" s="3" t="n">
        <v>69.76000000000001</v>
      </c>
      <c r="L1483" s="3" t="n">
        <v>627.84</v>
      </c>
      <c r="M1483" s="3" t="n">
        <v>381.65</v>
      </c>
      <c r="N1483" s="3" t="n">
        <v>246.19</v>
      </c>
      <c r="O1483">
        <f>TEXT(A1483,"yyyy-mm")</f>
        <v/>
      </c>
    </row>
    <row r="1484">
      <c r="A1484" s="2" t="n">
        <v>45767</v>
      </c>
      <c r="B1484" t="n">
        <v>2025</v>
      </c>
      <c r="C1484" t="inlineStr">
        <is>
          <t>April</t>
        </is>
      </c>
      <c r="D1484" t="inlineStr">
        <is>
          <t>Smart Board Game</t>
        </is>
      </c>
      <c r="E1484" t="inlineStr">
        <is>
          <t>Toys &amp; Games</t>
        </is>
      </c>
      <c r="F1484" t="inlineStr">
        <is>
          <t>Robert Weber</t>
        </is>
      </c>
      <c r="G1484" t="inlineStr">
        <is>
          <t>United States</t>
        </is>
      </c>
      <c r="H1484" t="inlineStr">
        <is>
          <t>Marketplace</t>
        </is>
      </c>
      <c r="I1484" t="n">
        <v>2</v>
      </c>
      <c r="J1484" s="3" t="n">
        <v>268.38</v>
      </c>
      <c r="K1484" s="3" t="n">
        <v>0</v>
      </c>
      <c r="L1484" s="3" t="n">
        <v>268.38</v>
      </c>
      <c r="M1484" s="3" t="n">
        <v>183.44</v>
      </c>
      <c r="N1484" s="3" t="n">
        <v>84.94</v>
      </c>
      <c r="O1484">
        <f>TEXT(A1484,"yyyy-mm")</f>
        <v/>
      </c>
    </row>
    <row r="1485">
      <c r="A1485" s="2" t="n">
        <v>45767</v>
      </c>
      <c r="B1485" t="n">
        <v>2025</v>
      </c>
      <c r="C1485" t="inlineStr">
        <is>
          <t>April</t>
        </is>
      </c>
      <c r="D1485" t="inlineStr">
        <is>
          <t>Compact Jacket</t>
        </is>
      </c>
      <c r="E1485" t="inlineStr">
        <is>
          <t>Clothing</t>
        </is>
      </c>
      <c r="F1485" t="inlineStr">
        <is>
          <t>Robert Weber</t>
        </is>
      </c>
      <c r="G1485" t="inlineStr">
        <is>
          <t>United States</t>
        </is>
      </c>
      <c r="H1485" t="inlineStr">
        <is>
          <t>Marketplace</t>
        </is>
      </c>
      <c r="I1485" t="n">
        <v>4</v>
      </c>
      <c r="J1485" s="3" t="n">
        <v>142.52</v>
      </c>
      <c r="K1485" s="3" t="n">
        <v>0</v>
      </c>
      <c r="L1485" s="3" t="n">
        <v>142.52</v>
      </c>
      <c r="M1485" s="3" t="n">
        <v>81.59999999999999</v>
      </c>
      <c r="N1485" s="3" t="n">
        <v>60.92</v>
      </c>
      <c r="O1485">
        <f>TEXT(A1485,"yyyy-mm")</f>
        <v/>
      </c>
    </row>
    <row r="1486">
      <c r="A1486" s="2" t="n">
        <v>45767</v>
      </c>
      <c r="B1486" t="n">
        <v>2025</v>
      </c>
      <c r="C1486" t="inlineStr">
        <is>
          <t>April</t>
        </is>
      </c>
      <c r="D1486" t="inlineStr">
        <is>
          <t>Smart Camera</t>
        </is>
      </c>
      <c r="E1486" t="inlineStr">
        <is>
          <t>Electronics</t>
        </is>
      </c>
      <c r="F1486" t="inlineStr">
        <is>
          <t>Robert Weber</t>
        </is>
      </c>
      <c r="G1486" t="inlineStr">
        <is>
          <t>United States</t>
        </is>
      </c>
      <c r="H1486" t="inlineStr">
        <is>
          <t>Marketplace</t>
        </is>
      </c>
      <c r="I1486" t="n">
        <v>3</v>
      </c>
      <c r="J1486" s="3" t="n">
        <v>968.8200000000001</v>
      </c>
      <c r="K1486" s="3" t="n">
        <v>0</v>
      </c>
      <c r="L1486" s="3" t="n">
        <v>968.8200000000001</v>
      </c>
      <c r="M1486" s="3" t="n">
        <v>502.2</v>
      </c>
      <c r="N1486" s="3" t="n">
        <v>466.62</v>
      </c>
      <c r="O1486">
        <f>TEXT(A1486,"yyyy-mm")</f>
        <v/>
      </c>
    </row>
    <row r="1487">
      <c r="A1487" s="2" t="n">
        <v>45767</v>
      </c>
      <c r="B1487" t="n">
        <v>2025</v>
      </c>
      <c r="C1487" t="inlineStr">
        <is>
          <t>April</t>
        </is>
      </c>
      <c r="D1487" t="inlineStr">
        <is>
          <t>Smart Charger</t>
        </is>
      </c>
      <c r="E1487" t="inlineStr">
        <is>
          <t>Electronics</t>
        </is>
      </c>
      <c r="F1487" t="inlineStr">
        <is>
          <t>Robert Weber</t>
        </is>
      </c>
      <c r="G1487" t="inlineStr">
        <is>
          <t>United States</t>
        </is>
      </c>
      <c r="H1487" t="inlineStr">
        <is>
          <t>Marketplace</t>
        </is>
      </c>
      <c r="I1487" t="n">
        <v>5</v>
      </c>
      <c r="J1487" s="3" t="n">
        <v>196.75</v>
      </c>
      <c r="K1487" s="3" t="n">
        <v>29.51</v>
      </c>
      <c r="L1487" s="3" t="n">
        <v>167.24</v>
      </c>
      <c r="M1487" s="3" t="n">
        <v>138.2</v>
      </c>
      <c r="N1487" s="3" t="n">
        <v>29.04</v>
      </c>
      <c r="O1487">
        <f>TEXT(A1487,"yyyy-mm")</f>
        <v/>
      </c>
    </row>
    <row r="1488">
      <c r="A1488" s="2" t="n">
        <v>45767</v>
      </c>
      <c r="B1488" t="n">
        <v>2025</v>
      </c>
      <c r="C1488" t="inlineStr">
        <is>
          <t>April</t>
        </is>
      </c>
      <c r="D1488" t="inlineStr">
        <is>
          <t>Eco Tent</t>
        </is>
      </c>
      <c r="E1488" t="inlineStr">
        <is>
          <t>Sports &amp; Outdoors</t>
        </is>
      </c>
      <c r="F1488" t="inlineStr">
        <is>
          <t>Clara Smith</t>
        </is>
      </c>
      <c r="G1488" t="inlineStr">
        <is>
          <t>France</t>
        </is>
      </c>
      <c r="H1488" t="inlineStr">
        <is>
          <t>Marketplace</t>
        </is>
      </c>
      <c r="I1488" t="n">
        <v>3</v>
      </c>
      <c r="J1488" s="3" t="n">
        <v>205.83</v>
      </c>
      <c r="K1488" s="3" t="n">
        <v>0</v>
      </c>
      <c r="L1488" s="3" t="n">
        <v>205.83</v>
      </c>
      <c r="M1488" s="3" t="n">
        <v>131.55</v>
      </c>
      <c r="N1488" s="3" t="n">
        <v>74.28</v>
      </c>
      <c r="O1488">
        <f>TEXT(A1488,"yyyy-mm")</f>
        <v/>
      </c>
    </row>
    <row r="1489">
      <c r="A1489" s="2" t="n">
        <v>45767</v>
      </c>
      <c r="B1489" t="n">
        <v>2025</v>
      </c>
      <c r="C1489" t="inlineStr">
        <is>
          <t>April</t>
        </is>
      </c>
      <c r="D1489" t="inlineStr">
        <is>
          <t>Deluxe Notebook</t>
        </is>
      </c>
      <c r="E1489" t="inlineStr">
        <is>
          <t>Books</t>
        </is>
      </c>
      <c r="F1489" t="inlineStr">
        <is>
          <t>Clara Smith</t>
        </is>
      </c>
      <c r="G1489" t="inlineStr">
        <is>
          <t>France</t>
        </is>
      </c>
      <c r="H1489" t="inlineStr">
        <is>
          <t>Marketplace</t>
        </is>
      </c>
      <c r="I1489" t="n">
        <v>1</v>
      </c>
      <c r="J1489" s="3" t="n">
        <v>215.09</v>
      </c>
      <c r="K1489" s="3" t="n">
        <v>21.51</v>
      </c>
      <c r="L1489" s="3" t="n">
        <v>193.58</v>
      </c>
      <c r="M1489" s="3" t="n">
        <v>150.76</v>
      </c>
      <c r="N1489" s="3" t="n">
        <v>42.82</v>
      </c>
      <c r="O1489">
        <f>TEXT(A1489,"yyyy-mm")</f>
        <v/>
      </c>
    </row>
    <row r="1490">
      <c r="A1490" s="2" t="n">
        <v>45768</v>
      </c>
      <c r="B1490" t="n">
        <v>2025</v>
      </c>
      <c r="C1490" t="inlineStr">
        <is>
          <t>April</t>
        </is>
      </c>
      <c r="D1490" t="inlineStr">
        <is>
          <t>Essential Pasta</t>
        </is>
      </c>
      <c r="E1490" t="inlineStr">
        <is>
          <t>Grocery</t>
        </is>
      </c>
      <c r="F1490" t="inlineStr">
        <is>
          <t>Thomas Muller</t>
        </is>
      </c>
      <c r="G1490" t="inlineStr">
        <is>
          <t>Germany</t>
        </is>
      </c>
      <c r="H1490" t="inlineStr">
        <is>
          <t>Web Store</t>
        </is>
      </c>
      <c r="I1490" t="n">
        <v>4</v>
      </c>
      <c r="J1490" s="3" t="n">
        <v>217.56</v>
      </c>
      <c r="K1490" s="3" t="n">
        <v>43.51</v>
      </c>
      <c r="L1490" s="3" t="n">
        <v>174.05</v>
      </c>
      <c r="M1490" s="3" t="n">
        <v>143.24</v>
      </c>
      <c r="N1490" s="3" t="n">
        <v>30.81</v>
      </c>
      <c r="O1490">
        <f>TEXT(A1490,"yyyy-mm")</f>
        <v/>
      </c>
    </row>
    <row r="1491">
      <c r="A1491" s="2" t="n">
        <v>45768</v>
      </c>
      <c r="B1491" t="n">
        <v>2025</v>
      </c>
      <c r="C1491" t="inlineStr">
        <is>
          <t>April</t>
        </is>
      </c>
      <c r="D1491" t="inlineStr">
        <is>
          <t>Premium Tent</t>
        </is>
      </c>
      <c r="E1491" t="inlineStr">
        <is>
          <t>Sports &amp; Outdoors</t>
        </is>
      </c>
      <c r="F1491" t="inlineStr">
        <is>
          <t>Thomas Muller</t>
        </is>
      </c>
      <c r="G1491" t="inlineStr">
        <is>
          <t>Germany</t>
        </is>
      </c>
      <c r="H1491" t="inlineStr">
        <is>
          <t>Web Store</t>
        </is>
      </c>
      <c r="I1491" t="n">
        <v>2</v>
      </c>
      <c r="J1491" s="3" t="n">
        <v>281.46</v>
      </c>
      <c r="K1491" s="3" t="n">
        <v>0</v>
      </c>
      <c r="L1491" s="3" t="n">
        <v>281.46</v>
      </c>
      <c r="M1491" s="3" t="n">
        <v>192.8</v>
      </c>
      <c r="N1491" s="3" t="n">
        <v>88.66</v>
      </c>
      <c r="O1491">
        <f>TEXT(A1491,"yyyy-mm")</f>
        <v/>
      </c>
    </row>
    <row r="1492">
      <c r="A1492" s="2" t="n">
        <v>45768</v>
      </c>
      <c r="B1492" t="n">
        <v>2025</v>
      </c>
      <c r="C1492" t="inlineStr">
        <is>
          <t>April</t>
        </is>
      </c>
      <c r="D1492" t="inlineStr">
        <is>
          <t>Eco Sweater</t>
        </is>
      </c>
      <c r="E1492" t="inlineStr">
        <is>
          <t>Clothing</t>
        </is>
      </c>
      <c r="F1492" t="inlineStr">
        <is>
          <t>Thomas Muller</t>
        </is>
      </c>
      <c r="G1492" t="inlineStr">
        <is>
          <t>Germany</t>
        </is>
      </c>
      <c r="H1492" t="inlineStr">
        <is>
          <t>Web Store</t>
        </is>
      </c>
      <c r="I1492" t="n">
        <v>5</v>
      </c>
      <c r="J1492" s="3" t="n">
        <v>746.8</v>
      </c>
      <c r="K1492" s="3" t="n">
        <v>0</v>
      </c>
      <c r="L1492" s="3" t="n">
        <v>746.8</v>
      </c>
      <c r="M1492" s="3" t="n">
        <v>521.15</v>
      </c>
      <c r="N1492" s="3" t="n">
        <v>225.65</v>
      </c>
      <c r="O1492">
        <f>TEXT(A1492,"yyyy-mm")</f>
        <v/>
      </c>
    </row>
    <row r="1493">
      <c r="A1493" s="2" t="n">
        <v>45768</v>
      </c>
      <c r="B1493" t="n">
        <v>2025</v>
      </c>
      <c r="C1493" t="inlineStr">
        <is>
          <t>April</t>
        </is>
      </c>
      <c r="D1493" t="inlineStr">
        <is>
          <t>Deluxe Toothbrush</t>
        </is>
      </c>
      <c r="E1493" t="inlineStr">
        <is>
          <t>Beauty &amp; Health</t>
        </is>
      </c>
      <c r="F1493" t="inlineStr">
        <is>
          <t>Thomas Muller</t>
        </is>
      </c>
      <c r="G1493" t="inlineStr">
        <is>
          <t>Germany</t>
        </is>
      </c>
      <c r="H1493" t="inlineStr">
        <is>
          <t>Web Store</t>
        </is>
      </c>
      <c r="I1493" t="n">
        <v>1</v>
      </c>
      <c r="J1493" s="3" t="n">
        <v>319.29</v>
      </c>
      <c r="K1493" s="3" t="n">
        <v>47.89</v>
      </c>
      <c r="L1493" s="3" t="n">
        <v>271.4</v>
      </c>
      <c r="M1493" s="3" t="n">
        <v>174.57</v>
      </c>
      <c r="N1493" s="3" t="n">
        <v>96.83</v>
      </c>
      <c r="O1493">
        <f>TEXT(A1493,"yyyy-mm")</f>
        <v/>
      </c>
    </row>
    <row r="1494">
      <c r="A1494" s="2" t="n">
        <v>45768</v>
      </c>
      <c r="B1494" t="n">
        <v>2025</v>
      </c>
      <c r="C1494" t="inlineStr">
        <is>
          <t>April</t>
        </is>
      </c>
      <c r="D1494" t="inlineStr">
        <is>
          <t>Compact Pasta</t>
        </is>
      </c>
      <c r="E1494" t="inlineStr">
        <is>
          <t>Grocery</t>
        </is>
      </c>
      <c r="F1494" t="inlineStr">
        <is>
          <t>Paul Smith</t>
        </is>
      </c>
      <c r="G1494" t="inlineStr">
        <is>
          <t>United Kingdom</t>
        </is>
      </c>
      <c r="H1494" t="inlineStr">
        <is>
          <t>Marketplace</t>
        </is>
      </c>
      <c r="I1494" t="n">
        <v>5</v>
      </c>
      <c r="J1494" s="3" t="n">
        <v>1626.05</v>
      </c>
      <c r="K1494" s="3" t="n">
        <v>0</v>
      </c>
      <c r="L1494" s="3" t="n">
        <v>1626.05</v>
      </c>
      <c r="M1494" s="3" t="n">
        <v>997</v>
      </c>
      <c r="N1494" s="3" t="n">
        <v>629.05</v>
      </c>
      <c r="O1494">
        <f>TEXT(A1494,"yyyy-mm")</f>
        <v/>
      </c>
    </row>
    <row r="1495">
      <c r="A1495" s="2" t="n">
        <v>45768</v>
      </c>
      <c r="B1495" t="n">
        <v>2025</v>
      </c>
      <c r="C1495" t="inlineStr">
        <is>
          <t>April</t>
        </is>
      </c>
      <c r="D1495" t="inlineStr">
        <is>
          <t>Eco Drone</t>
        </is>
      </c>
      <c r="E1495" t="inlineStr">
        <is>
          <t>Toys &amp; Games</t>
        </is>
      </c>
      <c r="F1495" t="inlineStr">
        <is>
          <t>Paul Smith</t>
        </is>
      </c>
      <c r="G1495" t="inlineStr">
        <is>
          <t>United Kingdom</t>
        </is>
      </c>
      <c r="H1495" t="inlineStr">
        <is>
          <t>Marketplace</t>
        </is>
      </c>
      <c r="I1495" t="n">
        <v>2</v>
      </c>
      <c r="J1495" s="3" t="n">
        <v>400.64</v>
      </c>
      <c r="K1495" s="3" t="n">
        <v>60.1</v>
      </c>
      <c r="L1495" s="3" t="n">
        <v>340.54</v>
      </c>
      <c r="M1495" s="3" t="n">
        <v>259.18</v>
      </c>
      <c r="N1495" s="3" t="n">
        <v>81.36</v>
      </c>
      <c r="O1495">
        <f>TEXT(A1495,"yyyy-mm")</f>
        <v/>
      </c>
    </row>
    <row r="1496">
      <c r="A1496" s="2" t="n">
        <v>45768</v>
      </c>
      <c r="B1496" t="n">
        <v>2025</v>
      </c>
      <c r="C1496" t="inlineStr">
        <is>
          <t>April</t>
        </is>
      </c>
      <c r="D1496" t="inlineStr">
        <is>
          <t>Ultra Toolset</t>
        </is>
      </c>
      <c r="E1496" t="inlineStr">
        <is>
          <t>Home &amp; Garden</t>
        </is>
      </c>
      <c r="F1496" t="inlineStr">
        <is>
          <t>Paul Smith</t>
        </is>
      </c>
      <c r="G1496" t="inlineStr">
        <is>
          <t>United Kingdom</t>
        </is>
      </c>
      <c r="H1496" t="inlineStr">
        <is>
          <t>Marketplace</t>
        </is>
      </c>
      <c r="I1496" t="n">
        <v>3</v>
      </c>
      <c r="J1496" s="3" t="n">
        <v>1113.42</v>
      </c>
      <c r="K1496" s="3" t="n">
        <v>0</v>
      </c>
      <c r="L1496" s="3" t="n">
        <v>1113.42</v>
      </c>
      <c r="M1496" s="3" t="n">
        <v>571.2</v>
      </c>
      <c r="N1496" s="3" t="n">
        <v>542.22</v>
      </c>
      <c r="O1496">
        <f>TEXT(A1496,"yyyy-mm")</f>
        <v/>
      </c>
    </row>
    <row r="1497">
      <c r="A1497" s="2" t="n">
        <v>45768</v>
      </c>
      <c r="B1497" t="n">
        <v>2025</v>
      </c>
      <c r="C1497" t="inlineStr">
        <is>
          <t>April</t>
        </is>
      </c>
      <c r="D1497" t="inlineStr">
        <is>
          <t>Eco Tent</t>
        </is>
      </c>
      <c r="E1497" t="inlineStr">
        <is>
          <t>Sports &amp; Outdoors</t>
        </is>
      </c>
      <c r="F1497" t="inlineStr">
        <is>
          <t>Emma Rossi</t>
        </is>
      </c>
      <c r="G1497" t="inlineStr">
        <is>
          <t>France</t>
        </is>
      </c>
      <c r="H1497" t="inlineStr">
        <is>
          <t>Mobile App</t>
        </is>
      </c>
      <c r="I1497" t="n">
        <v>3</v>
      </c>
      <c r="J1497" s="3" t="n">
        <v>767.16</v>
      </c>
      <c r="K1497" s="3" t="n">
        <v>0</v>
      </c>
      <c r="L1497" s="3" t="n">
        <v>767.16</v>
      </c>
      <c r="M1497" s="3" t="n">
        <v>405.09</v>
      </c>
      <c r="N1497" s="3" t="n">
        <v>362.07</v>
      </c>
      <c r="O1497">
        <f>TEXT(A1497,"yyyy-mm")</f>
        <v/>
      </c>
    </row>
    <row r="1498">
      <c r="A1498" s="2" t="n">
        <v>45768</v>
      </c>
      <c r="B1498" t="n">
        <v>2025</v>
      </c>
      <c r="C1498" t="inlineStr">
        <is>
          <t>April</t>
        </is>
      </c>
      <c r="D1498" t="inlineStr">
        <is>
          <t>Smart Puzzle</t>
        </is>
      </c>
      <c r="E1498" t="inlineStr">
        <is>
          <t>Toys &amp; Games</t>
        </is>
      </c>
      <c r="F1498" t="inlineStr">
        <is>
          <t>Emma Rossi</t>
        </is>
      </c>
      <c r="G1498" t="inlineStr">
        <is>
          <t>France</t>
        </is>
      </c>
      <c r="H1498" t="inlineStr">
        <is>
          <t>Mobile App</t>
        </is>
      </c>
      <c r="I1498" t="n">
        <v>5</v>
      </c>
      <c r="J1498" s="3" t="n">
        <v>224</v>
      </c>
      <c r="K1498" s="3" t="n">
        <v>0</v>
      </c>
      <c r="L1498" s="3" t="n">
        <v>224</v>
      </c>
      <c r="M1498" s="3" t="n">
        <v>122.2</v>
      </c>
      <c r="N1498" s="3" t="n">
        <v>101.8</v>
      </c>
      <c r="O1498">
        <f>TEXT(A1498,"yyyy-mm")</f>
        <v/>
      </c>
    </row>
    <row r="1499">
      <c r="A1499" s="2" t="n">
        <v>45768</v>
      </c>
      <c r="B1499" t="n">
        <v>2025</v>
      </c>
      <c r="C1499" t="inlineStr">
        <is>
          <t>April</t>
        </is>
      </c>
      <c r="D1499" t="inlineStr">
        <is>
          <t>Deluxe Cookbook</t>
        </is>
      </c>
      <c r="E1499" t="inlineStr">
        <is>
          <t>Books</t>
        </is>
      </c>
      <c r="F1499" t="inlineStr">
        <is>
          <t>Clara Wojcik</t>
        </is>
      </c>
      <c r="G1499" t="inlineStr">
        <is>
          <t>Germany</t>
        </is>
      </c>
      <c r="H1499" t="inlineStr">
        <is>
          <t>Marketplace</t>
        </is>
      </c>
      <c r="I1499" t="n">
        <v>3</v>
      </c>
      <c r="J1499" s="3" t="n">
        <v>408.21</v>
      </c>
      <c r="K1499" s="3" t="n">
        <v>0</v>
      </c>
      <c r="L1499" s="3" t="n">
        <v>408.21</v>
      </c>
      <c r="M1499" s="3" t="n">
        <v>255.81</v>
      </c>
      <c r="N1499" s="3" t="n">
        <v>152.4</v>
      </c>
      <c r="O1499">
        <f>TEXT(A1499,"yyyy-mm")</f>
        <v/>
      </c>
    </row>
    <row r="1500">
      <c r="A1500" s="2" t="n">
        <v>45768</v>
      </c>
      <c r="B1500" t="n">
        <v>2025</v>
      </c>
      <c r="C1500" t="inlineStr">
        <is>
          <t>April</t>
        </is>
      </c>
      <c r="D1500" t="inlineStr">
        <is>
          <t>Smart Honey</t>
        </is>
      </c>
      <c r="E1500" t="inlineStr">
        <is>
          <t>Grocery</t>
        </is>
      </c>
      <c r="F1500" t="inlineStr">
        <is>
          <t>Clara Wojcik</t>
        </is>
      </c>
      <c r="G1500" t="inlineStr">
        <is>
          <t>Germany</t>
        </is>
      </c>
      <c r="H1500" t="inlineStr">
        <is>
          <t>Marketplace</t>
        </is>
      </c>
      <c r="I1500" t="n">
        <v>2</v>
      </c>
      <c r="J1500" s="3" t="n">
        <v>255.42</v>
      </c>
      <c r="K1500" s="3" t="n">
        <v>0</v>
      </c>
      <c r="L1500" s="3" t="n">
        <v>255.42</v>
      </c>
      <c r="M1500" s="3" t="n">
        <v>142.88</v>
      </c>
      <c r="N1500" s="3" t="n">
        <v>112.54</v>
      </c>
      <c r="O1500">
        <f>TEXT(A1500,"yyyy-mm")</f>
        <v/>
      </c>
    </row>
    <row r="1501">
      <c r="A1501" s="2" t="n">
        <v>45768</v>
      </c>
      <c r="B1501" t="n">
        <v>2025</v>
      </c>
      <c r="C1501" t="inlineStr">
        <is>
          <t>April</t>
        </is>
      </c>
      <c r="D1501" t="inlineStr">
        <is>
          <t>Wireless Coffee Beans</t>
        </is>
      </c>
      <c r="E1501" t="inlineStr">
        <is>
          <t>Grocery</t>
        </is>
      </c>
      <c r="F1501" t="inlineStr">
        <is>
          <t>Clara Wojcik</t>
        </is>
      </c>
      <c r="G1501" t="inlineStr">
        <is>
          <t>Germany</t>
        </is>
      </c>
      <c r="H1501" t="inlineStr">
        <is>
          <t>Marketplace</t>
        </is>
      </c>
      <c r="I1501" t="n">
        <v>3</v>
      </c>
      <c r="J1501" s="3" t="n">
        <v>357.84</v>
      </c>
      <c r="K1501" s="3" t="n">
        <v>0</v>
      </c>
      <c r="L1501" s="3" t="n">
        <v>357.84</v>
      </c>
      <c r="M1501" s="3" t="n">
        <v>238.11</v>
      </c>
      <c r="N1501" s="3" t="n">
        <v>119.73</v>
      </c>
      <c r="O1501">
        <f>TEXT(A1501,"yyyy-mm")</f>
        <v/>
      </c>
    </row>
    <row r="1502">
      <c r="A1502" s="2" t="n">
        <v>45768</v>
      </c>
      <c r="B1502" t="n">
        <v>2025</v>
      </c>
      <c r="C1502" t="inlineStr">
        <is>
          <t>April</t>
        </is>
      </c>
      <c r="D1502" t="inlineStr">
        <is>
          <t>Smart Camera</t>
        </is>
      </c>
      <c r="E1502" t="inlineStr">
        <is>
          <t>Electronics</t>
        </is>
      </c>
      <c r="F1502" t="inlineStr">
        <is>
          <t>Clara Wojcik</t>
        </is>
      </c>
      <c r="G1502" t="inlineStr">
        <is>
          <t>Germany</t>
        </is>
      </c>
      <c r="H1502" t="inlineStr">
        <is>
          <t>Marketplace</t>
        </is>
      </c>
      <c r="I1502" t="n">
        <v>4</v>
      </c>
      <c r="J1502" s="3" t="n">
        <v>489.36</v>
      </c>
      <c r="K1502" s="3" t="n">
        <v>0</v>
      </c>
      <c r="L1502" s="3" t="n">
        <v>489.36</v>
      </c>
      <c r="M1502" s="3" t="n">
        <v>342.32</v>
      </c>
      <c r="N1502" s="3" t="n">
        <v>147.04</v>
      </c>
      <c r="O1502">
        <f>TEXT(A1502,"yyyy-mm")</f>
        <v/>
      </c>
    </row>
    <row r="1503">
      <c r="A1503" s="2" t="n">
        <v>45769</v>
      </c>
      <c r="B1503" t="n">
        <v>2025</v>
      </c>
      <c r="C1503" t="inlineStr">
        <is>
          <t>April</t>
        </is>
      </c>
      <c r="D1503" t="inlineStr">
        <is>
          <t>Compact Jacket</t>
        </is>
      </c>
      <c r="E1503" t="inlineStr">
        <is>
          <t>Clothing</t>
        </is>
      </c>
      <c r="F1503" t="inlineStr">
        <is>
          <t>Peter Schmidt</t>
        </is>
      </c>
      <c r="G1503" t="inlineStr">
        <is>
          <t>France</t>
        </is>
      </c>
      <c r="H1503" t="inlineStr">
        <is>
          <t>Mobile App</t>
        </is>
      </c>
      <c r="I1503" t="n">
        <v>3</v>
      </c>
      <c r="J1503" s="3" t="n">
        <v>109.14</v>
      </c>
      <c r="K1503" s="3" t="n">
        <v>0</v>
      </c>
      <c r="L1503" s="3" t="n">
        <v>109.14</v>
      </c>
      <c r="M1503" s="3" t="n">
        <v>61.2</v>
      </c>
      <c r="N1503" s="3" t="n">
        <v>47.94</v>
      </c>
      <c r="O1503">
        <f>TEXT(A1503,"yyyy-mm")</f>
        <v/>
      </c>
    </row>
    <row r="1504">
      <c r="A1504" s="2" t="n">
        <v>45769</v>
      </c>
      <c r="B1504" t="n">
        <v>2025</v>
      </c>
      <c r="C1504" t="inlineStr">
        <is>
          <t>April</t>
        </is>
      </c>
      <c r="D1504" t="inlineStr">
        <is>
          <t>Smart Charger</t>
        </is>
      </c>
      <c r="E1504" t="inlineStr">
        <is>
          <t>Electronics</t>
        </is>
      </c>
      <c r="F1504" t="inlineStr">
        <is>
          <t>Peter Schmidt</t>
        </is>
      </c>
      <c r="G1504" t="inlineStr">
        <is>
          <t>France</t>
        </is>
      </c>
      <c r="H1504" t="inlineStr">
        <is>
          <t>Mobile App</t>
        </is>
      </c>
      <c r="I1504" t="n">
        <v>5</v>
      </c>
      <c r="J1504" s="3" t="n">
        <v>1327.3</v>
      </c>
      <c r="K1504" s="3" t="n">
        <v>199.1</v>
      </c>
      <c r="L1504" s="3" t="n">
        <v>1128.2</v>
      </c>
      <c r="M1504" s="3" t="n">
        <v>712.6</v>
      </c>
      <c r="N1504" s="3" t="n">
        <v>415.6</v>
      </c>
      <c r="O1504">
        <f>TEXT(A1504,"yyyy-mm")</f>
        <v/>
      </c>
    </row>
    <row r="1505">
      <c r="A1505" s="2" t="n">
        <v>45769</v>
      </c>
      <c r="B1505" t="n">
        <v>2025</v>
      </c>
      <c r="C1505" t="inlineStr">
        <is>
          <t>April</t>
        </is>
      </c>
      <c r="D1505" t="inlineStr">
        <is>
          <t>Wireless Cookbook</t>
        </is>
      </c>
      <c r="E1505" t="inlineStr">
        <is>
          <t>Books</t>
        </is>
      </c>
      <c r="F1505" t="inlineStr">
        <is>
          <t>Peter Schmidt</t>
        </is>
      </c>
      <c r="G1505" t="inlineStr">
        <is>
          <t>France</t>
        </is>
      </c>
      <c r="H1505" t="inlineStr">
        <is>
          <t>Mobile App</t>
        </is>
      </c>
      <c r="I1505" t="n">
        <v>5</v>
      </c>
      <c r="J1505" s="3" t="n">
        <v>373.55</v>
      </c>
      <c r="K1505" s="3" t="n">
        <v>0</v>
      </c>
      <c r="L1505" s="3" t="n">
        <v>373.55</v>
      </c>
      <c r="M1505" s="3" t="n">
        <v>283.05</v>
      </c>
      <c r="N1505" s="3" t="n">
        <v>90.5</v>
      </c>
      <c r="O1505">
        <f>TEXT(A1505,"yyyy-mm")</f>
        <v/>
      </c>
    </row>
    <row r="1506">
      <c r="A1506" s="2" t="n">
        <v>45769</v>
      </c>
      <c r="B1506" t="n">
        <v>2025</v>
      </c>
      <c r="C1506" t="inlineStr">
        <is>
          <t>April</t>
        </is>
      </c>
      <c r="D1506" t="inlineStr">
        <is>
          <t>Smart Coffee Beans</t>
        </is>
      </c>
      <c r="E1506" t="inlineStr">
        <is>
          <t>Grocery</t>
        </is>
      </c>
      <c r="F1506" t="inlineStr">
        <is>
          <t>Peter Schmidt</t>
        </is>
      </c>
      <c r="G1506" t="inlineStr">
        <is>
          <t>France</t>
        </is>
      </c>
      <c r="H1506" t="inlineStr">
        <is>
          <t>Mobile App</t>
        </is>
      </c>
      <c r="I1506" t="n">
        <v>2</v>
      </c>
      <c r="J1506" s="3" t="n">
        <v>211.14</v>
      </c>
      <c r="K1506" s="3" t="n">
        <v>0</v>
      </c>
      <c r="L1506" s="3" t="n">
        <v>211.14</v>
      </c>
      <c r="M1506" s="3" t="n">
        <v>145.7</v>
      </c>
      <c r="N1506" s="3" t="n">
        <v>65.44</v>
      </c>
      <c r="O1506">
        <f>TEXT(A1506,"yyyy-mm")</f>
        <v/>
      </c>
    </row>
    <row r="1507">
      <c r="A1507" s="2" t="n">
        <v>45769</v>
      </c>
      <c r="B1507" t="n">
        <v>2025</v>
      </c>
      <c r="C1507" t="inlineStr">
        <is>
          <t>April</t>
        </is>
      </c>
      <c r="D1507" t="inlineStr">
        <is>
          <t>Deluxe Smartwatch</t>
        </is>
      </c>
      <c r="E1507" t="inlineStr">
        <is>
          <t>Electronics</t>
        </is>
      </c>
      <c r="F1507" t="inlineStr">
        <is>
          <t>James Dubois</t>
        </is>
      </c>
      <c r="G1507" t="inlineStr">
        <is>
          <t>Poland</t>
        </is>
      </c>
      <c r="H1507" t="inlineStr">
        <is>
          <t>Mobile App</t>
        </is>
      </c>
      <c r="I1507" t="n">
        <v>2</v>
      </c>
      <c r="J1507" s="3" t="n">
        <v>334.94</v>
      </c>
      <c r="K1507" s="3" t="n">
        <v>0</v>
      </c>
      <c r="L1507" s="3" t="n">
        <v>334.94</v>
      </c>
      <c r="M1507" s="3" t="n">
        <v>245.44</v>
      </c>
      <c r="N1507" s="3" t="n">
        <v>89.5</v>
      </c>
      <c r="O1507">
        <f>TEXT(A1507,"yyyy-mm")</f>
        <v/>
      </c>
    </row>
    <row r="1508">
      <c r="A1508" s="2" t="n">
        <v>45769</v>
      </c>
      <c r="B1508" t="n">
        <v>2025</v>
      </c>
      <c r="C1508" t="inlineStr">
        <is>
          <t>April</t>
        </is>
      </c>
      <c r="D1508" t="inlineStr">
        <is>
          <t>Ultra Toolset</t>
        </is>
      </c>
      <c r="E1508" t="inlineStr">
        <is>
          <t>Home &amp; Garden</t>
        </is>
      </c>
      <c r="F1508" t="inlineStr">
        <is>
          <t>James Dubois</t>
        </is>
      </c>
      <c r="G1508" t="inlineStr">
        <is>
          <t>Poland</t>
        </is>
      </c>
      <c r="H1508" t="inlineStr">
        <is>
          <t>Mobile App</t>
        </is>
      </c>
      <c r="I1508" t="n">
        <v>4</v>
      </c>
      <c r="J1508" s="3" t="n">
        <v>1437.6</v>
      </c>
      <c r="K1508" s="3" t="n">
        <v>0</v>
      </c>
      <c r="L1508" s="3" t="n">
        <v>1437.6</v>
      </c>
      <c r="M1508" s="3" t="n">
        <v>761.6</v>
      </c>
      <c r="N1508" s="3" t="n">
        <v>676</v>
      </c>
      <c r="O1508">
        <f>TEXT(A1508,"yyyy-mm")</f>
        <v/>
      </c>
    </row>
    <row r="1509">
      <c r="A1509" s="2" t="n">
        <v>45769</v>
      </c>
      <c r="B1509" t="n">
        <v>2025</v>
      </c>
      <c r="C1509" t="inlineStr">
        <is>
          <t>April</t>
        </is>
      </c>
      <c r="D1509" t="inlineStr">
        <is>
          <t>Smart Charger</t>
        </is>
      </c>
      <c r="E1509" t="inlineStr">
        <is>
          <t>Electronics</t>
        </is>
      </c>
      <c r="F1509" t="inlineStr">
        <is>
          <t>James Dubois</t>
        </is>
      </c>
      <c r="G1509" t="inlineStr">
        <is>
          <t>Poland</t>
        </is>
      </c>
      <c r="H1509" t="inlineStr">
        <is>
          <t>Mobile App</t>
        </is>
      </c>
      <c r="I1509" t="n">
        <v>5</v>
      </c>
      <c r="J1509" s="3" t="n">
        <v>192.85</v>
      </c>
      <c r="K1509" s="3" t="n">
        <v>38.57</v>
      </c>
      <c r="L1509" s="3" t="n">
        <v>154.28</v>
      </c>
      <c r="M1509" s="3" t="n">
        <v>138.2</v>
      </c>
      <c r="N1509" s="3" t="n">
        <v>16.08</v>
      </c>
      <c r="O1509">
        <f>TEXT(A1509,"yyyy-mm")</f>
        <v/>
      </c>
    </row>
    <row r="1510">
      <c r="A1510" s="2" t="n">
        <v>45769</v>
      </c>
      <c r="B1510" t="n">
        <v>2025</v>
      </c>
      <c r="C1510" t="inlineStr">
        <is>
          <t>April</t>
        </is>
      </c>
      <c r="D1510" t="inlineStr">
        <is>
          <t>Compact Sunscreen</t>
        </is>
      </c>
      <c r="E1510" t="inlineStr">
        <is>
          <t>Beauty &amp; Health</t>
        </is>
      </c>
      <c r="F1510" t="inlineStr">
        <is>
          <t>Clara Smith</t>
        </is>
      </c>
      <c r="G1510" t="inlineStr">
        <is>
          <t>France</t>
        </is>
      </c>
      <c r="H1510" t="inlineStr">
        <is>
          <t>Mobile App</t>
        </is>
      </c>
      <c r="I1510" t="n">
        <v>1</v>
      </c>
      <c r="J1510" s="3" t="n">
        <v>310.74</v>
      </c>
      <c r="K1510" s="3" t="n">
        <v>31.07</v>
      </c>
      <c r="L1510" s="3" t="n">
        <v>279.67</v>
      </c>
      <c r="M1510" s="3" t="n">
        <v>177.66</v>
      </c>
      <c r="N1510" s="3" t="n">
        <v>102.01</v>
      </c>
      <c r="O1510">
        <f>TEXT(A1510,"yyyy-mm")</f>
        <v/>
      </c>
    </row>
    <row r="1511">
      <c r="A1511" s="2" t="n">
        <v>45769</v>
      </c>
      <c r="B1511" t="n">
        <v>2025</v>
      </c>
      <c r="C1511" t="inlineStr">
        <is>
          <t>April</t>
        </is>
      </c>
      <c r="D1511" t="inlineStr">
        <is>
          <t>Deluxe Toolset</t>
        </is>
      </c>
      <c r="E1511" t="inlineStr">
        <is>
          <t>Home &amp; Garden</t>
        </is>
      </c>
      <c r="F1511" t="inlineStr">
        <is>
          <t>Clara Smith</t>
        </is>
      </c>
      <c r="G1511" t="inlineStr">
        <is>
          <t>France</t>
        </is>
      </c>
      <c r="H1511" t="inlineStr">
        <is>
          <t>Mobile App</t>
        </is>
      </c>
      <c r="I1511" t="n">
        <v>2</v>
      </c>
      <c r="J1511" s="3" t="n">
        <v>138.36</v>
      </c>
      <c r="K1511" s="3" t="n">
        <v>13.84</v>
      </c>
      <c r="L1511" s="3" t="n">
        <v>124.52</v>
      </c>
      <c r="M1511" s="3" t="n">
        <v>95.42</v>
      </c>
      <c r="N1511" s="3" t="n">
        <v>29.1</v>
      </c>
      <c r="O1511">
        <f>TEXT(A1511,"yyyy-mm")</f>
        <v/>
      </c>
    </row>
    <row r="1512">
      <c r="A1512" s="2" t="n">
        <v>45769</v>
      </c>
      <c r="B1512" t="n">
        <v>2025</v>
      </c>
      <c r="C1512" t="inlineStr">
        <is>
          <t>April</t>
        </is>
      </c>
      <c r="D1512" t="inlineStr">
        <is>
          <t>Essential Planter</t>
        </is>
      </c>
      <c r="E1512" t="inlineStr">
        <is>
          <t>Home &amp; Garden</t>
        </is>
      </c>
      <c r="F1512" t="inlineStr">
        <is>
          <t>David Wilson</t>
        </is>
      </c>
      <c r="G1512" t="inlineStr">
        <is>
          <t>Italy</t>
        </is>
      </c>
      <c r="H1512" t="inlineStr">
        <is>
          <t>Web Store</t>
        </is>
      </c>
      <c r="I1512" t="n">
        <v>1</v>
      </c>
      <c r="J1512" s="3" t="n">
        <v>24.42</v>
      </c>
      <c r="K1512" s="3" t="n">
        <v>4.88</v>
      </c>
      <c r="L1512" s="3" t="n">
        <v>19.54</v>
      </c>
      <c r="M1512" s="3" t="n">
        <v>19.64</v>
      </c>
      <c r="N1512" s="3" t="n">
        <v>-0.1</v>
      </c>
      <c r="O1512">
        <f>TEXT(A1512,"yyyy-mm")</f>
        <v/>
      </c>
    </row>
    <row r="1513">
      <c r="A1513" s="2" t="n">
        <v>45769</v>
      </c>
      <c r="B1513" t="n">
        <v>2025</v>
      </c>
      <c r="C1513" t="inlineStr">
        <is>
          <t>April</t>
        </is>
      </c>
      <c r="D1513" t="inlineStr">
        <is>
          <t>Smart Face Cream</t>
        </is>
      </c>
      <c r="E1513" t="inlineStr">
        <is>
          <t>Beauty &amp; Health</t>
        </is>
      </c>
      <c r="F1513" t="inlineStr">
        <is>
          <t>James Dubois</t>
        </is>
      </c>
      <c r="G1513" t="inlineStr">
        <is>
          <t>Poland</t>
        </is>
      </c>
      <c r="H1513" t="inlineStr">
        <is>
          <t>Mobile App</t>
        </is>
      </c>
      <c r="I1513" t="n">
        <v>5</v>
      </c>
      <c r="J1513" s="3" t="n">
        <v>1288</v>
      </c>
      <c r="K1513" s="3" t="n">
        <v>257.6</v>
      </c>
      <c r="L1513" s="3" t="n">
        <v>1030.4</v>
      </c>
      <c r="M1513" s="3" t="n">
        <v>965.7</v>
      </c>
      <c r="N1513" s="3" t="n">
        <v>64.7</v>
      </c>
      <c r="O1513">
        <f>TEXT(A1513,"yyyy-mm")</f>
        <v/>
      </c>
    </row>
    <row r="1514">
      <c r="A1514" s="2" t="n">
        <v>45769</v>
      </c>
      <c r="B1514" t="n">
        <v>2025</v>
      </c>
      <c r="C1514" t="inlineStr">
        <is>
          <t>April</t>
        </is>
      </c>
      <c r="D1514" t="inlineStr">
        <is>
          <t>Smart Sweater</t>
        </is>
      </c>
      <c r="E1514" t="inlineStr">
        <is>
          <t>Clothing</t>
        </is>
      </c>
      <c r="F1514" t="inlineStr">
        <is>
          <t>David Wilson</t>
        </is>
      </c>
      <c r="G1514" t="inlineStr">
        <is>
          <t>Italy</t>
        </is>
      </c>
      <c r="H1514" t="inlineStr">
        <is>
          <t>Web Store</t>
        </is>
      </c>
      <c r="I1514" t="n">
        <v>2</v>
      </c>
      <c r="J1514" s="3" t="n">
        <v>288.62</v>
      </c>
      <c r="K1514" s="3" t="n">
        <v>0</v>
      </c>
      <c r="L1514" s="3" t="n">
        <v>288.62</v>
      </c>
      <c r="M1514" s="3" t="n">
        <v>154.7</v>
      </c>
      <c r="N1514" s="3" t="n">
        <v>133.92</v>
      </c>
      <c r="O1514">
        <f>TEXT(A1514,"yyyy-mm")</f>
        <v/>
      </c>
    </row>
    <row r="1515">
      <c r="A1515" s="2" t="n">
        <v>45770</v>
      </c>
      <c r="B1515" t="n">
        <v>2025</v>
      </c>
      <c r="C1515" t="inlineStr">
        <is>
          <t>April</t>
        </is>
      </c>
      <c r="D1515" t="inlineStr">
        <is>
          <t>Ultra Toolset</t>
        </is>
      </c>
      <c r="E1515" t="inlineStr">
        <is>
          <t>Home &amp; Garden</t>
        </is>
      </c>
      <c r="F1515" t="inlineStr">
        <is>
          <t>John Muller</t>
        </is>
      </c>
      <c r="G1515" t="inlineStr">
        <is>
          <t>France</t>
        </is>
      </c>
      <c r="H1515" t="inlineStr">
        <is>
          <t>Web Store</t>
        </is>
      </c>
      <c r="I1515" t="n">
        <v>1</v>
      </c>
      <c r="J1515" s="3" t="n">
        <v>356.65</v>
      </c>
      <c r="K1515" s="3" t="n">
        <v>35.66</v>
      </c>
      <c r="L1515" s="3" t="n">
        <v>320.98</v>
      </c>
      <c r="M1515" s="3" t="n">
        <v>190.4</v>
      </c>
      <c r="N1515" s="3" t="n">
        <v>130.58</v>
      </c>
      <c r="O1515">
        <f>TEXT(A1515,"yyyy-mm")</f>
        <v/>
      </c>
    </row>
    <row r="1516">
      <c r="A1516" s="2" t="n">
        <v>45771</v>
      </c>
      <c r="B1516" t="n">
        <v>2025</v>
      </c>
      <c r="C1516" t="inlineStr">
        <is>
          <t>April</t>
        </is>
      </c>
      <c r="D1516" t="inlineStr">
        <is>
          <t>Eco Tent</t>
        </is>
      </c>
      <c r="E1516" t="inlineStr">
        <is>
          <t>Sports &amp; Outdoors</t>
        </is>
      </c>
      <c r="F1516" t="inlineStr">
        <is>
          <t>Thomas Muller</t>
        </is>
      </c>
      <c r="G1516" t="inlineStr">
        <is>
          <t>Germany</t>
        </is>
      </c>
      <c r="H1516" t="inlineStr">
        <is>
          <t>Retail Store</t>
        </is>
      </c>
      <c r="I1516" t="n">
        <v>4</v>
      </c>
      <c r="J1516" s="3" t="n">
        <v>945.4</v>
      </c>
      <c r="K1516" s="3" t="n">
        <v>0</v>
      </c>
      <c r="L1516" s="3" t="n">
        <v>945.4</v>
      </c>
      <c r="M1516" s="3" t="n">
        <v>540.12</v>
      </c>
      <c r="N1516" s="3" t="n">
        <v>405.28</v>
      </c>
      <c r="O1516">
        <f>TEXT(A1516,"yyyy-mm")</f>
        <v/>
      </c>
    </row>
    <row r="1517">
      <c r="A1517" s="2" t="n">
        <v>45772</v>
      </c>
      <c r="B1517" t="n">
        <v>2025</v>
      </c>
      <c r="C1517" t="inlineStr">
        <is>
          <t>April</t>
        </is>
      </c>
      <c r="D1517" t="inlineStr">
        <is>
          <t>Smart Honey</t>
        </is>
      </c>
      <c r="E1517" t="inlineStr">
        <is>
          <t>Grocery</t>
        </is>
      </c>
      <c r="F1517" t="inlineStr">
        <is>
          <t>Emily Garcia</t>
        </is>
      </c>
      <c r="G1517" t="inlineStr">
        <is>
          <t>Germany</t>
        </is>
      </c>
      <c r="H1517" t="inlineStr">
        <is>
          <t>Web Store</t>
        </is>
      </c>
      <c r="I1517" t="n">
        <v>3</v>
      </c>
      <c r="J1517" s="3" t="n">
        <v>403.14</v>
      </c>
      <c r="K1517" s="3" t="n">
        <v>80.63</v>
      </c>
      <c r="L1517" s="3" t="n">
        <v>322.51</v>
      </c>
      <c r="M1517" s="3" t="n">
        <v>214.32</v>
      </c>
      <c r="N1517" s="3" t="n">
        <v>108.19</v>
      </c>
      <c r="O1517">
        <f>TEXT(A1517,"yyyy-mm")</f>
        <v/>
      </c>
    </row>
    <row r="1518">
      <c r="A1518" s="2" t="n">
        <v>45772</v>
      </c>
      <c r="B1518" t="n">
        <v>2025</v>
      </c>
      <c r="C1518" t="inlineStr">
        <is>
          <t>April</t>
        </is>
      </c>
      <c r="D1518" t="inlineStr">
        <is>
          <t>Compact Biography</t>
        </is>
      </c>
      <c r="E1518" t="inlineStr">
        <is>
          <t>Books</t>
        </is>
      </c>
      <c r="F1518" t="inlineStr">
        <is>
          <t>Emily Garcia</t>
        </is>
      </c>
      <c r="G1518" t="inlineStr">
        <is>
          <t>Germany</t>
        </is>
      </c>
      <c r="H1518" t="inlineStr">
        <is>
          <t>Web Store</t>
        </is>
      </c>
      <c r="I1518" t="n">
        <v>2</v>
      </c>
      <c r="J1518" s="3" t="n">
        <v>511.68</v>
      </c>
      <c r="K1518" s="3" t="n">
        <v>0</v>
      </c>
      <c r="L1518" s="3" t="n">
        <v>511.68</v>
      </c>
      <c r="M1518" s="3" t="n">
        <v>280.66</v>
      </c>
      <c r="N1518" s="3" t="n">
        <v>231.02</v>
      </c>
      <c r="O1518">
        <f>TEXT(A1518,"yyyy-mm")</f>
        <v/>
      </c>
    </row>
    <row r="1519">
      <c r="A1519" s="2" t="n">
        <v>45772</v>
      </c>
      <c r="B1519" t="n">
        <v>2025</v>
      </c>
      <c r="C1519" t="inlineStr">
        <is>
          <t>April</t>
        </is>
      </c>
      <c r="D1519" t="inlineStr">
        <is>
          <t>Premium Rug</t>
        </is>
      </c>
      <c r="E1519" t="inlineStr">
        <is>
          <t>Home &amp; Garden</t>
        </is>
      </c>
      <c r="F1519" t="inlineStr">
        <is>
          <t>Emily Garcia</t>
        </is>
      </c>
      <c r="G1519" t="inlineStr">
        <is>
          <t>Germany</t>
        </is>
      </c>
      <c r="H1519" t="inlineStr">
        <is>
          <t>Web Store</t>
        </is>
      </c>
      <c r="I1519" t="n">
        <v>5</v>
      </c>
      <c r="J1519" s="3" t="n">
        <v>892.5</v>
      </c>
      <c r="K1519" s="3" t="n">
        <v>133.88</v>
      </c>
      <c r="L1519" s="3" t="n">
        <v>758.62</v>
      </c>
      <c r="M1519" s="3" t="n">
        <v>555.95</v>
      </c>
      <c r="N1519" s="3" t="n">
        <v>202.67</v>
      </c>
      <c r="O1519">
        <f>TEXT(A1519,"yyyy-mm")</f>
        <v/>
      </c>
    </row>
    <row r="1520">
      <c r="A1520" s="2" t="n">
        <v>45772</v>
      </c>
      <c r="B1520" t="n">
        <v>2025</v>
      </c>
      <c r="C1520" t="inlineStr">
        <is>
          <t>April</t>
        </is>
      </c>
      <c r="D1520" t="inlineStr">
        <is>
          <t>Smart Board Game</t>
        </is>
      </c>
      <c r="E1520" t="inlineStr">
        <is>
          <t>Toys &amp; Games</t>
        </is>
      </c>
      <c r="F1520" t="inlineStr">
        <is>
          <t>Emily Garcia</t>
        </is>
      </c>
      <c r="G1520" t="inlineStr">
        <is>
          <t>Germany</t>
        </is>
      </c>
      <c r="H1520" t="inlineStr">
        <is>
          <t>Web Store</t>
        </is>
      </c>
      <c r="I1520" t="n">
        <v>5</v>
      </c>
      <c r="J1520" s="3" t="n">
        <v>646.7</v>
      </c>
      <c r="K1520" s="3" t="n">
        <v>64.67</v>
      </c>
      <c r="L1520" s="3" t="n">
        <v>582.03</v>
      </c>
      <c r="M1520" s="3" t="n">
        <v>458.6</v>
      </c>
      <c r="N1520" s="3" t="n">
        <v>123.43</v>
      </c>
      <c r="O1520">
        <f>TEXT(A1520,"yyyy-mm")</f>
        <v/>
      </c>
    </row>
    <row r="1521">
      <c r="A1521" s="2" t="n">
        <v>45772</v>
      </c>
      <c r="B1521" t="n">
        <v>2025</v>
      </c>
      <c r="C1521" t="inlineStr">
        <is>
          <t>April</t>
        </is>
      </c>
      <c r="D1521" t="inlineStr">
        <is>
          <t>Essential Charger</t>
        </is>
      </c>
      <c r="E1521" t="inlineStr">
        <is>
          <t>Electronics</t>
        </is>
      </c>
      <c r="F1521" t="inlineStr">
        <is>
          <t>David Garcia</t>
        </is>
      </c>
      <c r="G1521" t="inlineStr">
        <is>
          <t>United Kingdom</t>
        </is>
      </c>
      <c r="H1521" t="inlineStr">
        <is>
          <t>Mobile App</t>
        </is>
      </c>
      <c r="I1521" t="n">
        <v>5</v>
      </c>
      <c r="J1521" s="3" t="n">
        <v>231.65</v>
      </c>
      <c r="K1521" s="3" t="n">
        <v>11.58</v>
      </c>
      <c r="L1521" s="3" t="n">
        <v>220.07</v>
      </c>
      <c r="M1521" s="3" t="n">
        <v>145.5</v>
      </c>
      <c r="N1521" s="3" t="n">
        <v>74.56999999999999</v>
      </c>
      <c r="O1521">
        <f>TEXT(A1521,"yyyy-mm")</f>
        <v/>
      </c>
    </row>
    <row r="1522">
      <c r="A1522" s="2" t="n">
        <v>45772</v>
      </c>
      <c r="B1522" t="n">
        <v>2025</v>
      </c>
      <c r="C1522" t="inlineStr">
        <is>
          <t>April</t>
        </is>
      </c>
      <c r="D1522" t="inlineStr">
        <is>
          <t>Premium Water Bottle</t>
        </is>
      </c>
      <c r="E1522" t="inlineStr">
        <is>
          <t>Sports &amp; Outdoors</t>
        </is>
      </c>
      <c r="F1522" t="inlineStr">
        <is>
          <t>Peter Schmidt</t>
        </is>
      </c>
      <c r="G1522" t="inlineStr">
        <is>
          <t>France</t>
        </is>
      </c>
      <c r="H1522" t="inlineStr">
        <is>
          <t>Web Store</t>
        </is>
      </c>
      <c r="I1522" t="n">
        <v>4</v>
      </c>
      <c r="J1522" s="3" t="n">
        <v>118.76</v>
      </c>
      <c r="K1522" s="3" t="n">
        <v>23.75</v>
      </c>
      <c r="L1522" s="3" t="n">
        <v>95.01000000000001</v>
      </c>
      <c r="M1522" s="3" t="n">
        <v>66.52</v>
      </c>
      <c r="N1522" s="3" t="n">
        <v>28.49</v>
      </c>
      <c r="O1522">
        <f>TEXT(A1522,"yyyy-mm")</f>
        <v/>
      </c>
    </row>
    <row r="1523">
      <c r="A1523" s="2" t="n">
        <v>45772</v>
      </c>
      <c r="B1523" t="n">
        <v>2025</v>
      </c>
      <c r="C1523" t="inlineStr">
        <is>
          <t>April</t>
        </is>
      </c>
      <c r="D1523" t="inlineStr">
        <is>
          <t>Smart Honey</t>
        </is>
      </c>
      <c r="E1523" t="inlineStr">
        <is>
          <t>Grocery</t>
        </is>
      </c>
      <c r="F1523" t="inlineStr">
        <is>
          <t>James Moreau</t>
        </is>
      </c>
      <c r="G1523" t="inlineStr">
        <is>
          <t>Poland</t>
        </is>
      </c>
      <c r="H1523" t="inlineStr">
        <is>
          <t>Web Store</t>
        </is>
      </c>
      <c r="I1523" t="n">
        <v>1</v>
      </c>
      <c r="J1523" s="3" t="n">
        <v>136.83</v>
      </c>
      <c r="K1523" s="3" t="n">
        <v>6.84</v>
      </c>
      <c r="L1523" s="3" t="n">
        <v>129.99</v>
      </c>
      <c r="M1523" s="3" t="n">
        <v>71.44</v>
      </c>
      <c r="N1523" s="3" t="n">
        <v>58.55</v>
      </c>
      <c r="O1523">
        <f>TEXT(A1523,"yyyy-mm")</f>
        <v/>
      </c>
    </row>
    <row r="1524">
      <c r="A1524" s="2" t="n">
        <v>45772</v>
      </c>
      <c r="B1524" t="n">
        <v>2025</v>
      </c>
      <c r="C1524" t="inlineStr">
        <is>
          <t>April</t>
        </is>
      </c>
      <c r="D1524" t="inlineStr">
        <is>
          <t>Smart Face Cream</t>
        </is>
      </c>
      <c r="E1524" t="inlineStr">
        <is>
          <t>Beauty &amp; Health</t>
        </is>
      </c>
      <c r="F1524" t="inlineStr">
        <is>
          <t>Peter Schmidt</t>
        </is>
      </c>
      <c r="G1524" t="inlineStr">
        <is>
          <t>France</t>
        </is>
      </c>
      <c r="H1524" t="inlineStr">
        <is>
          <t>Web Store</t>
        </is>
      </c>
      <c r="I1524" t="n">
        <v>2</v>
      </c>
      <c r="J1524" s="3" t="n">
        <v>546</v>
      </c>
      <c r="K1524" s="3" t="n">
        <v>0</v>
      </c>
      <c r="L1524" s="3" t="n">
        <v>546</v>
      </c>
      <c r="M1524" s="3" t="n">
        <v>386.28</v>
      </c>
      <c r="N1524" s="3" t="n">
        <v>159.72</v>
      </c>
      <c r="O1524">
        <f>TEXT(A1524,"yyyy-mm")</f>
        <v/>
      </c>
    </row>
    <row r="1525">
      <c r="A1525" s="2" t="n">
        <v>45772</v>
      </c>
      <c r="B1525" t="n">
        <v>2025</v>
      </c>
      <c r="C1525" t="inlineStr">
        <is>
          <t>April</t>
        </is>
      </c>
      <c r="D1525" t="inlineStr">
        <is>
          <t>Deluxe Toothbrush</t>
        </is>
      </c>
      <c r="E1525" t="inlineStr">
        <is>
          <t>Beauty &amp; Health</t>
        </is>
      </c>
      <c r="F1525" t="inlineStr">
        <is>
          <t>David Garcia</t>
        </is>
      </c>
      <c r="G1525" t="inlineStr">
        <is>
          <t>United Kingdom</t>
        </is>
      </c>
      <c r="H1525" t="inlineStr">
        <is>
          <t>Mobile App</t>
        </is>
      </c>
      <c r="I1525" t="n">
        <v>5</v>
      </c>
      <c r="J1525" s="3" t="n">
        <v>1591.95</v>
      </c>
      <c r="K1525" s="3" t="n">
        <v>0</v>
      </c>
      <c r="L1525" s="3" t="n">
        <v>1591.95</v>
      </c>
      <c r="M1525" s="3" t="n">
        <v>872.85</v>
      </c>
      <c r="N1525" s="3" t="n">
        <v>719.1</v>
      </c>
      <c r="O1525">
        <f>TEXT(A1525,"yyyy-mm")</f>
        <v/>
      </c>
    </row>
    <row r="1526">
      <c r="A1526" s="2" t="n">
        <v>45772</v>
      </c>
      <c r="B1526" t="n">
        <v>2025</v>
      </c>
      <c r="C1526" t="inlineStr">
        <is>
          <t>April</t>
        </is>
      </c>
      <c r="D1526" t="inlineStr">
        <is>
          <t>Classic Atlas</t>
        </is>
      </c>
      <c r="E1526" t="inlineStr">
        <is>
          <t>Books</t>
        </is>
      </c>
      <c r="F1526" t="inlineStr">
        <is>
          <t>James Moreau</t>
        </is>
      </c>
      <c r="G1526" t="inlineStr">
        <is>
          <t>Poland</t>
        </is>
      </c>
      <c r="H1526" t="inlineStr">
        <is>
          <t>Web Store</t>
        </is>
      </c>
      <c r="I1526" t="n">
        <v>4</v>
      </c>
      <c r="J1526" s="3" t="n">
        <v>245.56</v>
      </c>
      <c r="K1526" s="3" t="n">
        <v>0</v>
      </c>
      <c r="L1526" s="3" t="n">
        <v>245.56</v>
      </c>
      <c r="M1526" s="3" t="n">
        <v>138.36</v>
      </c>
      <c r="N1526" s="3" t="n">
        <v>107.2</v>
      </c>
      <c r="O1526">
        <f>TEXT(A1526,"yyyy-mm")</f>
        <v/>
      </c>
    </row>
    <row r="1527">
      <c r="A1527" s="2" t="n">
        <v>45772</v>
      </c>
      <c r="B1527" t="n">
        <v>2025</v>
      </c>
      <c r="C1527" t="inlineStr">
        <is>
          <t>April</t>
        </is>
      </c>
      <c r="D1527" t="inlineStr">
        <is>
          <t>Portable Pasta</t>
        </is>
      </c>
      <c r="E1527" t="inlineStr">
        <is>
          <t>Grocery</t>
        </is>
      </c>
      <c r="F1527" t="inlineStr">
        <is>
          <t>David Garcia</t>
        </is>
      </c>
      <c r="G1527" t="inlineStr">
        <is>
          <t>United Kingdom</t>
        </is>
      </c>
      <c r="H1527" t="inlineStr">
        <is>
          <t>Mobile App</t>
        </is>
      </c>
      <c r="I1527" t="n">
        <v>4</v>
      </c>
      <c r="J1527" s="3" t="n">
        <v>143.92</v>
      </c>
      <c r="K1527" s="3" t="n">
        <v>0</v>
      </c>
      <c r="L1527" s="3" t="n">
        <v>143.92</v>
      </c>
      <c r="M1527" s="3" t="n">
        <v>111</v>
      </c>
      <c r="N1527" s="3" t="n">
        <v>32.92</v>
      </c>
      <c r="O1527">
        <f>TEXT(A1527,"yyyy-mm")</f>
        <v/>
      </c>
    </row>
    <row r="1528">
      <c r="A1528" s="2" t="n">
        <v>45773</v>
      </c>
      <c r="B1528" t="n">
        <v>2025</v>
      </c>
      <c r="C1528" t="inlineStr">
        <is>
          <t>April</t>
        </is>
      </c>
      <c r="D1528" t="inlineStr">
        <is>
          <t>Classic Tent</t>
        </is>
      </c>
      <c r="E1528" t="inlineStr">
        <is>
          <t>Sports &amp; Outdoors</t>
        </is>
      </c>
      <c r="F1528" t="inlineStr">
        <is>
          <t>Nina Weber</t>
        </is>
      </c>
      <c r="G1528" t="inlineStr">
        <is>
          <t>Italy</t>
        </is>
      </c>
      <c r="H1528" t="inlineStr">
        <is>
          <t>Mobile App</t>
        </is>
      </c>
      <c r="I1528" t="n">
        <v>5</v>
      </c>
      <c r="J1528" s="3" t="n">
        <v>987.15</v>
      </c>
      <c r="K1528" s="3" t="n">
        <v>0</v>
      </c>
      <c r="L1528" s="3" t="n">
        <v>987.15</v>
      </c>
      <c r="M1528" s="3" t="n">
        <v>590.1</v>
      </c>
      <c r="N1528" s="3" t="n">
        <v>397.05</v>
      </c>
      <c r="O1528">
        <f>TEXT(A1528,"yyyy-mm")</f>
        <v/>
      </c>
    </row>
    <row r="1529">
      <c r="A1529" s="2" t="n">
        <v>45773</v>
      </c>
      <c r="B1529" t="n">
        <v>2025</v>
      </c>
      <c r="C1529" t="inlineStr">
        <is>
          <t>April</t>
        </is>
      </c>
      <c r="D1529" t="inlineStr">
        <is>
          <t>Premium Tent</t>
        </is>
      </c>
      <c r="E1529" t="inlineStr">
        <is>
          <t>Sports &amp; Outdoors</t>
        </is>
      </c>
      <c r="F1529" t="inlineStr">
        <is>
          <t>Paul Smith</t>
        </is>
      </c>
      <c r="G1529" t="inlineStr">
        <is>
          <t>United Kingdom</t>
        </is>
      </c>
      <c r="H1529" t="inlineStr">
        <is>
          <t>Mobile App</t>
        </is>
      </c>
      <c r="I1529" t="n">
        <v>3</v>
      </c>
      <c r="J1529" s="3" t="n">
        <v>809.01</v>
      </c>
      <c r="K1529" s="3" t="n">
        <v>80.90000000000001</v>
      </c>
      <c r="L1529" s="3" t="n">
        <v>728.11</v>
      </c>
      <c r="M1529" s="3" t="n">
        <v>417.12</v>
      </c>
      <c r="N1529" s="3" t="n">
        <v>310.99</v>
      </c>
      <c r="O1529">
        <f>TEXT(A1529,"yyyy-mm")</f>
        <v/>
      </c>
    </row>
    <row r="1530">
      <c r="A1530" s="2" t="n">
        <v>45773</v>
      </c>
      <c r="B1530" t="n">
        <v>2025</v>
      </c>
      <c r="C1530" t="inlineStr">
        <is>
          <t>April</t>
        </is>
      </c>
      <c r="D1530" t="inlineStr">
        <is>
          <t>Eco Tent</t>
        </is>
      </c>
      <c r="E1530" t="inlineStr">
        <is>
          <t>Sports &amp; Outdoors</t>
        </is>
      </c>
      <c r="F1530" t="inlineStr">
        <is>
          <t>Thomas Nowak</t>
        </is>
      </c>
      <c r="G1530" t="inlineStr">
        <is>
          <t>Germany</t>
        </is>
      </c>
      <c r="H1530" t="inlineStr">
        <is>
          <t>Mobile App</t>
        </is>
      </c>
      <c r="I1530" t="n">
        <v>5</v>
      </c>
      <c r="J1530" s="3" t="n">
        <v>1215.1</v>
      </c>
      <c r="K1530" s="3" t="n">
        <v>60.76</v>
      </c>
      <c r="L1530" s="3" t="n">
        <v>1154.34</v>
      </c>
      <c r="M1530" s="3" t="n">
        <v>675.15</v>
      </c>
      <c r="N1530" s="3" t="n">
        <v>479.2</v>
      </c>
      <c r="O1530">
        <f>TEXT(A1530,"yyyy-mm")</f>
        <v/>
      </c>
    </row>
    <row r="1531">
      <c r="A1531" s="2" t="n">
        <v>45773</v>
      </c>
      <c r="B1531" t="n">
        <v>2025</v>
      </c>
      <c r="C1531" t="inlineStr">
        <is>
          <t>April</t>
        </is>
      </c>
      <c r="D1531" t="inlineStr">
        <is>
          <t>Ultra Vitamins</t>
        </is>
      </c>
      <c r="E1531" t="inlineStr">
        <is>
          <t>Beauty &amp; Health</t>
        </is>
      </c>
      <c r="F1531" t="inlineStr">
        <is>
          <t>Paul Smith</t>
        </is>
      </c>
      <c r="G1531" t="inlineStr">
        <is>
          <t>United Kingdom</t>
        </is>
      </c>
      <c r="H1531" t="inlineStr">
        <is>
          <t>Mobile App</t>
        </is>
      </c>
      <c r="I1531" t="n">
        <v>4</v>
      </c>
      <c r="J1531" s="3" t="n">
        <v>809.36</v>
      </c>
      <c r="K1531" s="3" t="n">
        <v>0</v>
      </c>
      <c r="L1531" s="3" t="n">
        <v>809.36</v>
      </c>
      <c r="M1531" s="3" t="n">
        <v>504.4</v>
      </c>
      <c r="N1531" s="3" t="n">
        <v>304.96</v>
      </c>
      <c r="O1531">
        <f>TEXT(A1531,"yyyy-mm")</f>
        <v/>
      </c>
    </row>
    <row r="1532">
      <c r="A1532" s="2" t="n">
        <v>45773</v>
      </c>
      <c r="B1532" t="n">
        <v>2025</v>
      </c>
      <c r="C1532" t="inlineStr">
        <is>
          <t>April</t>
        </is>
      </c>
      <c r="D1532" t="inlineStr">
        <is>
          <t>Wireless Honey</t>
        </is>
      </c>
      <c r="E1532" t="inlineStr">
        <is>
          <t>Grocery</t>
        </is>
      </c>
      <c r="F1532" t="inlineStr">
        <is>
          <t>Nina Weber</t>
        </is>
      </c>
      <c r="G1532" t="inlineStr">
        <is>
          <t>Italy</t>
        </is>
      </c>
      <c r="H1532" t="inlineStr">
        <is>
          <t>Mobile App</t>
        </is>
      </c>
      <c r="I1532" t="n">
        <v>2</v>
      </c>
      <c r="J1532" s="3" t="n">
        <v>251.84</v>
      </c>
      <c r="K1532" s="3" t="n">
        <v>50.37</v>
      </c>
      <c r="L1532" s="3" t="n">
        <v>201.47</v>
      </c>
      <c r="M1532" s="3" t="n">
        <v>188.14</v>
      </c>
      <c r="N1532" s="3" t="n">
        <v>13.33</v>
      </c>
      <c r="O1532">
        <f>TEXT(A1532,"yyyy-mm")</f>
        <v/>
      </c>
    </row>
    <row r="1533">
      <c r="A1533" s="2" t="n">
        <v>45773</v>
      </c>
      <c r="B1533" t="n">
        <v>2025</v>
      </c>
      <c r="C1533" t="inlineStr">
        <is>
          <t>April</t>
        </is>
      </c>
      <c r="D1533" t="inlineStr">
        <is>
          <t>Eco Backpack</t>
        </is>
      </c>
      <c r="E1533" t="inlineStr">
        <is>
          <t>Sports &amp; Outdoors</t>
        </is>
      </c>
      <c r="F1533" t="inlineStr">
        <is>
          <t>Thomas Nowak</t>
        </is>
      </c>
      <c r="G1533" t="inlineStr">
        <is>
          <t>Germany</t>
        </is>
      </c>
      <c r="H1533" t="inlineStr">
        <is>
          <t>Mobile App</t>
        </is>
      </c>
      <c r="I1533" t="n">
        <v>2</v>
      </c>
      <c r="J1533" s="3" t="n">
        <v>509.62</v>
      </c>
      <c r="K1533" s="3" t="n">
        <v>0</v>
      </c>
      <c r="L1533" s="3" t="n">
        <v>509.62</v>
      </c>
      <c r="M1533" s="3" t="n">
        <v>293.16</v>
      </c>
      <c r="N1533" s="3" t="n">
        <v>216.46</v>
      </c>
      <c r="O1533">
        <f>TEXT(A1533,"yyyy-mm")</f>
        <v/>
      </c>
    </row>
    <row r="1534">
      <c r="A1534" s="2" t="n">
        <v>45773</v>
      </c>
      <c r="B1534" t="n">
        <v>2025</v>
      </c>
      <c r="C1534" t="inlineStr">
        <is>
          <t>April</t>
        </is>
      </c>
      <c r="D1534" t="inlineStr">
        <is>
          <t>Essential Lamp</t>
        </is>
      </c>
      <c r="E1534" t="inlineStr">
        <is>
          <t>Home &amp; Garden</t>
        </is>
      </c>
      <c r="F1534" t="inlineStr">
        <is>
          <t>Thomas Nowak</t>
        </is>
      </c>
      <c r="G1534" t="inlineStr">
        <is>
          <t>Germany</t>
        </is>
      </c>
      <c r="H1534" t="inlineStr">
        <is>
          <t>Mobile App</t>
        </is>
      </c>
      <c r="I1534" t="n">
        <v>1</v>
      </c>
      <c r="J1534" s="3" t="n">
        <v>66.53</v>
      </c>
      <c r="K1534" s="3" t="n">
        <v>0</v>
      </c>
      <c r="L1534" s="3" t="n">
        <v>66.53</v>
      </c>
      <c r="M1534" s="3" t="n">
        <v>45.4</v>
      </c>
      <c r="N1534" s="3" t="n">
        <v>21.13</v>
      </c>
      <c r="O1534">
        <f>TEXT(A1534,"yyyy-mm")</f>
        <v/>
      </c>
    </row>
    <row r="1535">
      <c r="A1535" s="2" t="n">
        <v>45773</v>
      </c>
      <c r="B1535" t="n">
        <v>2025</v>
      </c>
      <c r="C1535" t="inlineStr">
        <is>
          <t>April</t>
        </is>
      </c>
      <c r="D1535" t="inlineStr">
        <is>
          <t>Wireless Coffee Beans</t>
        </is>
      </c>
      <c r="E1535" t="inlineStr">
        <is>
          <t>Grocery</t>
        </is>
      </c>
      <c r="F1535" t="inlineStr">
        <is>
          <t>Olivia Bianchi</t>
        </is>
      </c>
      <c r="G1535" t="inlineStr">
        <is>
          <t>Spain</t>
        </is>
      </c>
      <c r="H1535" t="inlineStr">
        <is>
          <t>Retail Store</t>
        </is>
      </c>
      <c r="I1535" t="n">
        <v>1</v>
      </c>
      <c r="J1535" s="3" t="n">
        <v>124.91</v>
      </c>
      <c r="K1535" s="3" t="n">
        <v>0</v>
      </c>
      <c r="L1535" s="3" t="n">
        <v>124.91</v>
      </c>
      <c r="M1535" s="3" t="n">
        <v>79.37</v>
      </c>
      <c r="N1535" s="3" t="n">
        <v>45.54</v>
      </c>
      <c r="O1535">
        <f>TEXT(A1535,"yyyy-mm")</f>
        <v/>
      </c>
    </row>
    <row r="1536">
      <c r="A1536" s="2" t="n">
        <v>45773</v>
      </c>
      <c r="B1536" t="n">
        <v>2025</v>
      </c>
      <c r="C1536" t="inlineStr">
        <is>
          <t>April</t>
        </is>
      </c>
      <c r="D1536" t="inlineStr">
        <is>
          <t>Smart Camera</t>
        </is>
      </c>
      <c r="E1536" t="inlineStr">
        <is>
          <t>Electronics</t>
        </is>
      </c>
      <c r="F1536" t="inlineStr">
        <is>
          <t>Olivia Bianchi</t>
        </is>
      </c>
      <c r="G1536" t="inlineStr">
        <is>
          <t>Spain</t>
        </is>
      </c>
      <c r="H1536" t="inlineStr">
        <is>
          <t>Retail Store</t>
        </is>
      </c>
      <c r="I1536" t="n">
        <v>4</v>
      </c>
      <c r="J1536" s="3" t="n">
        <v>477.28</v>
      </c>
      <c r="K1536" s="3" t="n">
        <v>47.73</v>
      </c>
      <c r="L1536" s="3" t="n">
        <v>429.55</v>
      </c>
      <c r="M1536" s="3" t="n">
        <v>342.32</v>
      </c>
      <c r="N1536" s="3" t="n">
        <v>87.23</v>
      </c>
      <c r="O1536">
        <f>TEXT(A1536,"yyyy-mm")</f>
        <v/>
      </c>
    </row>
    <row r="1537">
      <c r="A1537" s="2" t="n">
        <v>45774</v>
      </c>
      <c r="B1537" t="n">
        <v>2025</v>
      </c>
      <c r="C1537" t="inlineStr">
        <is>
          <t>April</t>
        </is>
      </c>
      <c r="D1537" t="inlineStr">
        <is>
          <t>Essential Vitamins</t>
        </is>
      </c>
      <c r="E1537" t="inlineStr">
        <is>
          <t>Beauty &amp; Health</t>
        </is>
      </c>
      <c r="F1537" t="inlineStr">
        <is>
          <t>Anna Bianchi</t>
        </is>
      </c>
      <c r="G1537" t="inlineStr">
        <is>
          <t>Italy</t>
        </is>
      </c>
      <c r="H1537" t="inlineStr">
        <is>
          <t>Retail Store</t>
        </is>
      </c>
      <c r="I1537" t="n">
        <v>4</v>
      </c>
      <c r="J1537" s="3" t="n">
        <v>707.08</v>
      </c>
      <c r="K1537" s="3" t="n">
        <v>35.35</v>
      </c>
      <c r="L1537" s="3" t="n">
        <v>671.73</v>
      </c>
      <c r="M1537" s="3" t="n">
        <v>441.2</v>
      </c>
      <c r="N1537" s="3" t="n">
        <v>230.53</v>
      </c>
      <c r="O1537">
        <f>TEXT(A1537,"yyyy-mm")</f>
        <v/>
      </c>
    </row>
    <row r="1538">
      <c r="A1538" s="2" t="n">
        <v>45774</v>
      </c>
      <c r="B1538" t="n">
        <v>2025</v>
      </c>
      <c r="C1538" t="inlineStr">
        <is>
          <t>April</t>
        </is>
      </c>
      <c r="D1538" t="inlineStr">
        <is>
          <t>Smart Jeans</t>
        </is>
      </c>
      <c r="E1538" t="inlineStr">
        <is>
          <t>Clothing</t>
        </is>
      </c>
      <c r="F1538" t="inlineStr">
        <is>
          <t>Julia Wilson</t>
        </is>
      </c>
      <c r="G1538" t="inlineStr">
        <is>
          <t>United Kingdom</t>
        </is>
      </c>
      <c r="H1538" t="inlineStr">
        <is>
          <t>Marketplace</t>
        </is>
      </c>
      <c r="I1538" t="n">
        <v>2</v>
      </c>
      <c r="J1538" s="3" t="n">
        <v>576.42</v>
      </c>
      <c r="K1538" s="3" t="n">
        <v>57.64</v>
      </c>
      <c r="L1538" s="3" t="n">
        <v>518.78</v>
      </c>
      <c r="M1538" s="3" t="n">
        <v>387.28</v>
      </c>
      <c r="N1538" s="3" t="n">
        <v>131.5</v>
      </c>
      <c r="O1538">
        <f>TEXT(A1538,"yyyy-mm")</f>
        <v/>
      </c>
    </row>
    <row r="1539">
      <c r="A1539" s="2" t="n">
        <v>45774</v>
      </c>
      <c r="B1539" t="n">
        <v>2025</v>
      </c>
      <c r="C1539" t="inlineStr">
        <is>
          <t>April</t>
        </is>
      </c>
      <c r="D1539" t="inlineStr">
        <is>
          <t>Eco Tent</t>
        </is>
      </c>
      <c r="E1539" t="inlineStr">
        <is>
          <t>Sports &amp; Outdoors</t>
        </is>
      </c>
      <c r="F1539" t="inlineStr">
        <is>
          <t>Julia Wilson</t>
        </is>
      </c>
      <c r="G1539" t="inlineStr">
        <is>
          <t>United Kingdom</t>
        </is>
      </c>
      <c r="H1539" t="inlineStr">
        <is>
          <t>Marketplace</t>
        </is>
      </c>
      <c r="I1539" t="n">
        <v>1</v>
      </c>
      <c r="J1539" s="3" t="n">
        <v>65.54000000000001</v>
      </c>
      <c r="K1539" s="3" t="n">
        <v>13.11</v>
      </c>
      <c r="L1539" s="3" t="n">
        <v>52.43</v>
      </c>
      <c r="M1539" s="3" t="n">
        <v>43.85</v>
      </c>
      <c r="N1539" s="3" t="n">
        <v>8.58</v>
      </c>
      <c r="O1539">
        <f>TEXT(A1539,"yyyy-mm")</f>
        <v/>
      </c>
    </row>
    <row r="1540">
      <c r="A1540" s="2" t="n">
        <v>45774</v>
      </c>
      <c r="B1540" t="n">
        <v>2025</v>
      </c>
      <c r="C1540" t="inlineStr">
        <is>
          <t>April</t>
        </is>
      </c>
      <c r="D1540" t="inlineStr">
        <is>
          <t>Smart Camera</t>
        </is>
      </c>
      <c r="E1540" t="inlineStr">
        <is>
          <t>Electronics</t>
        </is>
      </c>
      <c r="F1540" t="inlineStr">
        <is>
          <t>Anna Bianchi</t>
        </is>
      </c>
      <c r="G1540" t="inlineStr">
        <is>
          <t>Italy</t>
        </is>
      </c>
      <c r="H1540" t="inlineStr">
        <is>
          <t>Retail Store</t>
        </is>
      </c>
      <c r="I1540" t="n">
        <v>1</v>
      </c>
      <c r="J1540" s="3" t="n">
        <v>115.59</v>
      </c>
      <c r="K1540" s="3" t="n">
        <v>0</v>
      </c>
      <c r="L1540" s="3" t="n">
        <v>115.59</v>
      </c>
      <c r="M1540" s="3" t="n">
        <v>85.58</v>
      </c>
      <c r="N1540" s="3" t="n">
        <v>30.01</v>
      </c>
      <c r="O1540">
        <f>TEXT(A1540,"yyyy-mm")</f>
        <v/>
      </c>
    </row>
    <row r="1541">
      <c r="A1541" s="2" t="n">
        <v>45775</v>
      </c>
      <c r="B1541" t="n">
        <v>2025</v>
      </c>
      <c r="C1541" t="inlineStr">
        <is>
          <t>April</t>
        </is>
      </c>
      <c r="D1541" t="inlineStr">
        <is>
          <t>Smart Coffee Beans</t>
        </is>
      </c>
      <c r="E1541" t="inlineStr">
        <is>
          <t>Grocery</t>
        </is>
      </c>
      <c r="F1541" t="inlineStr">
        <is>
          <t>Thomas Zielinski</t>
        </is>
      </c>
      <c r="G1541" t="inlineStr">
        <is>
          <t>Netherlands</t>
        </is>
      </c>
      <c r="H1541" t="inlineStr">
        <is>
          <t>Marketplace</t>
        </is>
      </c>
      <c r="I1541" t="n">
        <v>1</v>
      </c>
      <c r="J1541" s="3" t="n">
        <v>105.54</v>
      </c>
      <c r="K1541" s="3" t="n">
        <v>10.55</v>
      </c>
      <c r="L1541" s="3" t="n">
        <v>94.98999999999999</v>
      </c>
      <c r="M1541" s="3" t="n">
        <v>72.84999999999999</v>
      </c>
      <c r="N1541" s="3" t="n">
        <v>22.14</v>
      </c>
      <c r="O1541">
        <f>TEXT(A1541,"yyyy-mm")</f>
        <v/>
      </c>
    </row>
    <row r="1542">
      <c r="A1542" s="2" t="n">
        <v>45775</v>
      </c>
      <c r="B1542" t="n">
        <v>2025</v>
      </c>
      <c r="C1542" t="inlineStr">
        <is>
          <t>April</t>
        </is>
      </c>
      <c r="D1542" t="inlineStr">
        <is>
          <t>Wireless Drone</t>
        </is>
      </c>
      <c r="E1542" t="inlineStr">
        <is>
          <t>Toys &amp; Games</t>
        </is>
      </c>
      <c r="F1542" t="inlineStr">
        <is>
          <t>Thomas Nowak</t>
        </is>
      </c>
      <c r="G1542" t="inlineStr">
        <is>
          <t>United States</t>
        </is>
      </c>
      <c r="H1542" t="inlineStr">
        <is>
          <t>Retail Store</t>
        </is>
      </c>
      <c r="I1542" t="n">
        <v>1</v>
      </c>
      <c r="J1542" s="3" t="n">
        <v>224.58</v>
      </c>
      <c r="K1542" s="3" t="n">
        <v>0</v>
      </c>
      <c r="L1542" s="3" t="n">
        <v>224.58</v>
      </c>
      <c r="M1542" s="3" t="n">
        <v>131.29</v>
      </c>
      <c r="N1542" s="3" t="n">
        <v>93.29000000000001</v>
      </c>
      <c r="O1542">
        <f>TEXT(A1542,"yyyy-mm")</f>
        <v/>
      </c>
    </row>
    <row r="1543">
      <c r="A1543" s="2" t="n">
        <v>45776</v>
      </c>
      <c r="B1543" t="n">
        <v>2025</v>
      </c>
      <c r="C1543" t="inlineStr">
        <is>
          <t>April</t>
        </is>
      </c>
      <c r="D1543" t="inlineStr">
        <is>
          <t>Eco Planter</t>
        </is>
      </c>
      <c r="E1543" t="inlineStr">
        <is>
          <t>Home &amp; Garden</t>
        </is>
      </c>
      <c r="F1543" t="inlineStr">
        <is>
          <t>Anna Fischer</t>
        </is>
      </c>
      <c r="G1543" t="inlineStr">
        <is>
          <t>Spain</t>
        </is>
      </c>
      <c r="H1543" t="inlineStr">
        <is>
          <t>Marketplace</t>
        </is>
      </c>
      <c r="I1543" t="n">
        <v>5</v>
      </c>
      <c r="J1543" s="3" t="n">
        <v>954.3</v>
      </c>
      <c r="K1543" s="3" t="n">
        <v>0</v>
      </c>
      <c r="L1543" s="3" t="n">
        <v>954.3</v>
      </c>
      <c r="M1543" s="3" t="n">
        <v>562.05</v>
      </c>
      <c r="N1543" s="3" t="n">
        <v>392.25</v>
      </c>
      <c r="O1543">
        <f>TEXT(A1543,"yyyy-mm")</f>
        <v/>
      </c>
    </row>
    <row r="1544">
      <c r="A1544" s="2" t="n">
        <v>45776</v>
      </c>
      <c r="B1544" t="n">
        <v>2025</v>
      </c>
      <c r="C1544" t="inlineStr">
        <is>
          <t>April</t>
        </is>
      </c>
      <c r="D1544" t="inlineStr">
        <is>
          <t>Eco Tent</t>
        </is>
      </c>
      <c r="E1544" t="inlineStr">
        <is>
          <t>Sports &amp; Outdoors</t>
        </is>
      </c>
      <c r="F1544" t="inlineStr">
        <is>
          <t>Robert Martin</t>
        </is>
      </c>
      <c r="G1544" t="inlineStr">
        <is>
          <t>Italy</t>
        </is>
      </c>
      <c r="H1544" t="inlineStr">
        <is>
          <t>Mobile App</t>
        </is>
      </c>
      <c r="I1544" t="n">
        <v>4</v>
      </c>
      <c r="J1544" s="3" t="n">
        <v>990.04</v>
      </c>
      <c r="K1544" s="3" t="n">
        <v>198.01</v>
      </c>
      <c r="L1544" s="3" t="n">
        <v>792.03</v>
      </c>
      <c r="M1544" s="3" t="n">
        <v>540.12</v>
      </c>
      <c r="N1544" s="3" t="n">
        <v>251.91</v>
      </c>
      <c r="O1544">
        <f>TEXT(A1544,"yyyy-mm")</f>
        <v/>
      </c>
    </row>
    <row r="1545">
      <c r="A1545" s="2" t="n">
        <v>45777</v>
      </c>
      <c r="B1545" t="n">
        <v>2025</v>
      </c>
      <c r="C1545" t="inlineStr">
        <is>
          <t>April</t>
        </is>
      </c>
      <c r="D1545" t="inlineStr">
        <is>
          <t>Eco Planter</t>
        </is>
      </c>
      <c r="E1545" t="inlineStr">
        <is>
          <t>Home &amp; Garden</t>
        </is>
      </c>
      <c r="F1545" t="inlineStr">
        <is>
          <t>Emily Moreau</t>
        </is>
      </c>
      <c r="G1545" t="inlineStr">
        <is>
          <t>Germany</t>
        </is>
      </c>
      <c r="H1545" t="inlineStr">
        <is>
          <t>Retail Store</t>
        </is>
      </c>
      <c r="I1545" t="n">
        <v>5</v>
      </c>
      <c r="J1545" s="3" t="n">
        <v>903.7</v>
      </c>
      <c r="K1545" s="3" t="n">
        <v>180.74</v>
      </c>
      <c r="L1545" s="3" t="n">
        <v>722.96</v>
      </c>
      <c r="M1545" s="3" t="n">
        <v>562.05</v>
      </c>
      <c r="N1545" s="3" t="n">
        <v>160.91</v>
      </c>
      <c r="O1545">
        <f>TEXT(A1545,"yyyy-mm")</f>
        <v/>
      </c>
    </row>
    <row r="1546">
      <c r="A1546" s="2" t="n">
        <v>45777</v>
      </c>
      <c r="B1546" t="n">
        <v>2025</v>
      </c>
      <c r="C1546" t="inlineStr">
        <is>
          <t>April</t>
        </is>
      </c>
      <c r="D1546" t="inlineStr">
        <is>
          <t>Deluxe Puzzle</t>
        </is>
      </c>
      <c r="E1546" t="inlineStr">
        <is>
          <t>Toys &amp; Games</t>
        </is>
      </c>
      <c r="F1546" t="inlineStr">
        <is>
          <t>David Bianchi</t>
        </is>
      </c>
      <c r="G1546" t="inlineStr">
        <is>
          <t>Netherlands</t>
        </is>
      </c>
      <c r="H1546" t="inlineStr">
        <is>
          <t>Marketplace</t>
        </is>
      </c>
      <c r="I1546" t="n">
        <v>4</v>
      </c>
      <c r="J1546" s="3" t="n">
        <v>829.08</v>
      </c>
      <c r="K1546" s="3" t="n">
        <v>82.91</v>
      </c>
      <c r="L1546" s="3" t="n">
        <v>746.17</v>
      </c>
      <c r="M1546" s="3" t="n">
        <v>444.68</v>
      </c>
      <c r="N1546" s="3" t="n">
        <v>301.49</v>
      </c>
      <c r="O1546">
        <f>TEXT(A1546,"yyyy-mm")</f>
        <v/>
      </c>
    </row>
    <row r="1547">
      <c r="A1547" s="2" t="n">
        <v>45777</v>
      </c>
      <c r="B1547" t="n">
        <v>2025</v>
      </c>
      <c r="C1547" t="inlineStr">
        <is>
          <t>April</t>
        </is>
      </c>
      <c r="D1547" t="inlineStr">
        <is>
          <t>Essential Pasta</t>
        </is>
      </c>
      <c r="E1547" t="inlineStr">
        <is>
          <t>Grocery</t>
        </is>
      </c>
      <c r="F1547" t="inlineStr">
        <is>
          <t>David Bianchi</t>
        </is>
      </c>
      <c r="G1547" t="inlineStr">
        <is>
          <t>Netherlands</t>
        </is>
      </c>
      <c r="H1547" t="inlineStr">
        <is>
          <t>Marketplace</t>
        </is>
      </c>
      <c r="I1547" t="n">
        <v>2</v>
      </c>
      <c r="J1547" s="3" t="n">
        <v>113.9</v>
      </c>
      <c r="K1547" s="3" t="n">
        <v>5.7</v>
      </c>
      <c r="L1547" s="3" t="n">
        <v>108.21</v>
      </c>
      <c r="M1547" s="3" t="n">
        <v>71.62</v>
      </c>
      <c r="N1547" s="3" t="n">
        <v>36.59</v>
      </c>
      <c r="O1547">
        <f>TEXT(A1547,"yyyy-mm")</f>
        <v/>
      </c>
    </row>
    <row r="1548">
      <c r="A1548" s="2" t="n">
        <v>45777</v>
      </c>
      <c r="B1548" t="n">
        <v>2025</v>
      </c>
      <c r="C1548" t="inlineStr">
        <is>
          <t>April</t>
        </is>
      </c>
      <c r="D1548" t="inlineStr">
        <is>
          <t>Eco Biography</t>
        </is>
      </c>
      <c r="E1548" t="inlineStr">
        <is>
          <t>Books</t>
        </is>
      </c>
      <c r="F1548" t="inlineStr">
        <is>
          <t>David Bianchi</t>
        </is>
      </c>
      <c r="G1548" t="inlineStr">
        <is>
          <t>Netherlands</t>
        </is>
      </c>
      <c r="H1548" t="inlineStr">
        <is>
          <t>Marketplace</t>
        </is>
      </c>
      <c r="I1548" t="n">
        <v>2</v>
      </c>
      <c r="J1548" s="3" t="n">
        <v>236.08</v>
      </c>
      <c r="K1548" s="3" t="n">
        <v>11.8</v>
      </c>
      <c r="L1548" s="3" t="n">
        <v>224.28</v>
      </c>
      <c r="M1548" s="3" t="n">
        <v>142.04</v>
      </c>
      <c r="N1548" s="3" t="n">
        <v>82.23999999999999</v>
      </c>
      <c r="O1548">
        <f>TEXT(A1548,"yyyy-mm")</f>
        <v/>
      </c>
    </row>
    <row r="1549">
      <c r="A1549" s="2" t="n">
        <v>45777</v>
      </c>
      <c r="B1549" t="n">
        <v>2025</v>
      </c>
      <c r="C1549" t="inlineStr">
        <is>
          <t>April</t>
        </is>
      </c>
      <c r="D1549" t="inlineStr">
        <is>
          <t>Ultra Rug</t>
        </is>
      </c>
      <c r="E1549" t="inlineStr">
        <is>
          <t>Home &amp; Garden</t>
        </is>
      </c>
      <c r="F1549" t="inlineStr">
        <is>
          <t>David Bianchi</t>
        </is>
      </c>
      <c r="G1549" t="inlineStr">
        <is>
          <t>Netherlands</t>
        </is>
      </c>
      <c r="H1549" t="inlineStr">
        <is>
          <t>Marketplace</t>
        </is>
      </c>
      <c r="I1549" t="n">
        <v>3</v>
      </c>
      <c r="J1549" s="3" t="n">
        <v>160.95</v>
      </c>
      <c r="K1549" s="3" t="n">
        <v>0</v>
      </c>
      <c r="L1549" s="3" t="n">
        <v>160.95</v>
      </c>
      <c r="M1549" s="3" t="n">
        <v>98.73</v>
      </c>
      <c r="N1549" s="3" t="n">
        <v>62.22</v>
      </c>
      <c r="O1549">
        <f>TEXT(A1549,"yyyy-mm")</f>
        <v/>
      </c>
    </row>
    <row r="1550">
      <c r="A1550" s="2" t="n">
        <v>45777</v>
      </c>
      <c r="B1550" t="n">
        <v>2025</v>
      </c>
      <c r="C1550" t="inlineStr">
        <is>
          <t>April</t>
        </is>
      </c>
      <c r="D1550" t="inlineStr">
        <is>
          <t>Deluxe Puzzle</t>
        </is>
      </c>
      <c r="E1550" t="inlineStr">
        <is>
          <t>Toys &amp; Games</t>
        </is>
      </c>
      <c r="F1550" t="inlineStr">
        <is>
          <t>Emma Rossi</t>
        </is>
      </c>
      <c r="G1550" t="inlineStr">
        <is>
          <t>France</t>
        </is>
      </c>
      <c r="H1550" t="inlineStr">
        <is>
          <t>Mobile App</t>
        </is>
      </c>
      <c r="I1550" t="n">
        <v>4</v>
      </c>
      <c r="J1550" s="3" t="n">
        <v>826.76</v>
      </c>
      <c r="K1550" s="3" t="n">
        <v>0</v>
      </c>
      <c r="L1550" s="3" t="n">
        <v>826.76</v>
      </c>
      <c r="M1550" s="3" t="n">
        <v>444.68</v>
      </c>
      <c r="N1550" s="3" t="n">
        <v>382.08</v>
      </c>
      <c r="O1550">
        <f>TEXT(A1550,"yyyy-mm")</f>
        <v/>
      </c>
    </row>
    <row r="1551">
      <c r="A1551" s="2" t="n">
        <v>45777</v>
      </c>
      <c r="B1551" t="n">
        <v>2025</v>
      </c>
      <c r="C1551" t="inlineStr">
        <is>
          <t>April</t>
        </is>
      </c>
      <c r="D1551" t="inlineStr">
        <is>
          <t>Smart Sweater</t>
        </is>
      </c>
      <c r="E1551" t="inlineStr">
        <is>
          <t>Clothing</t>
        </is>
      </c>
      <c r="F1551" t="inlineStr">
        <is>
          <t>Emma Rossi</t>
        </is>
      </c>
      <c r="G1551" t="inlineStr">
        <is>
          <t>France</t>
        </is>
      </c>
      <c r="H1551" t="inlineStr">
        <is>
          <t>Mobile App</t>
        </is>
      </c>
      <c r="I1551" t="n">
        <v>5</v>
      </c>
      <c r="J1551" s="3" t="n">
        <v>755.1</v>
      </c>
      <c r="K1551" s="3" t="n">
        <v>0</v>
      </c>
      <c r="L1551" s="3" t="n">
        <v>755.1</v>
      </c>
      <c r="M1551" s="3" t="n">
        <v>386.75</v>
      </c>
      <c r="N1551" s="3" t="n">
        <v>368.35</v>
      </c>
      <c r="O1551">
        <f>TEXT(A1551,"yyyy-mm")</f>
        <v/>
      </c>
    </row>
    <row r="1552">
      <c r="A1552" s="2" t="n">
        <v>45777</v>
      </c>
      <c r="B1552" t="n">
        <v>2025</v>
      </c>
      <c r="C1552" t="inlineStr">
        <is>
          <t>April</t>
        </is>
      </c>
      <c r="D1552" t="inlineStr">
        <is>
          <t>Smart Camera</t>
        </is>
      </c>
      <c r="E1552" t="inlineStr">
        <is>
          <t>Electronics</t>
        </is>
      </c>
      <c r="F1552" t="inlineStr">
        <is>
          <t>Laura Muller</t>
        </is>
      </c>
      <c r="G1552" t="inlineStr">
        <is>
          <t>Italy</t>
        </is>
      </c>
      <c r="H1552" t="inlineStr">
        <is>
          <t>Marketplace</t>
        </is>
      </c>
      <c r="I1552" t="n">
        <v>4</v>
      </c>
      <c r="J1552" s="3" t="n">
        <v>460.4</v>
      </c>
      <c r="K1552" s="3" t="n">
        <v>0</v>
      </c>
      <c r="L1552" s="3" t="n">
        <v>460.4</v>
      </c>
      <c r="M1552" s="3" t="n">
        <v>342.32</v>
      </c>
      <c r="N1552" s="3" t="n">
        <v>118.08</v>
      </c>
      <c r="O1552">
        <f>TEXT(A1552,"yyyy-mm")</f>
        <v/>
      </c>
    </row>
    <row r="1553">
      <c r="A1553" s="2" t="n">
        <v>45777</v>
      </c>
      <c r="B1553" t="n">
        <v>2025</v>
      </c>
      <c r="C1553" t="inlineStr">
        <is>
          <t>April</t>
        </is>
      </c>
      <c r="D1553" t="inlineStr">
        <is>
          <t>Portable Pasta</t>
        </is>
      </c>
      <c r="E1553" t="inlineStr">
        <is>
          <t>Grocery</t>
        </is>
      </c>
      <c r="F1553" t="inlineStr">
        <is>
          <t>Laura Muller</t>
        </is>
      </c>
      <c r="G1553" t="inlineStr">
        <is>
          <t>Italy</t>
        </is>
      </c>
      <c r="H1553" t="inlineStr">
        <is>
          <t>Marketplace</t>
        </is>
      </c>
      <c r="I1553" t="n">
        <v>3</v>
      </c>
      <c r="J1553" s="3" t="n">
        <v>106.83</v>
      </c>
      <c r="K1553" s="3" t="n">
        <v>0</v>
      </c>
      <c r="L1553" s="3" t="n">
        <v>106.83</v>
      </c>
      <c r="M1553" s="3" t="n">
        <v>83.25</v>
      </c>
      <c r="N1553" s="3" t="n">
        <v>23.58</v>
      </c>
      <c r="O1553">
        <f>TEXT(A1553,"yyyy-mm")</f>
        <v/>
      </c>
    </row>
    <row r="1554">
      <c r="A1554" s="2" t="n">
        <v>45777</v>
      </c>
      <c r="B1554" t="n">
        <v>2025</v>
      </c>
      <c r="C1554" t="inlineStr">
        <is>
          <t>April</t>
        </is>
      </c>
      <c r="D1554" t="inlineStr">
        <is>
          <t>Smart Olive Oil</t>
        </is>
      </c>
      <c r="E1554" t="inlineStr">
        <is>
          <t>Grocery</t>
        </is>
      </c>
      <c r="F1554" t="inlineStr">
        <is>
          <t>Emily Moreau</t>
        </is>
      </c>
      <c r="G1554" t="inlineStr">
        <is>
          <t>Germany</t>
        </is>
      </c>
      <c r="H1554" t="inlineStr">
        <is>
          <t>Retail Store</t>
        </is>
      </c>
      <c r="I1554" t="n">
        <v>2</v>
      </c>
      <c r="J1554" s="3" t="n">
        <v>321.76</v>
      </c>
      <c r="K1554" s="3" t="n">
        <v>0</v>
      </c>
      <c r="L1554" s="3" t="n">
        <v>321.76</v>
      </c>
      <c r="M1554" s="3" t="n">
        <v>220.04</v>
      </c>
      <c r="N1554" s="3" t="n">
        <v>101.72</v>
      </c>
      <c r="O1554">
        <f>TEXT(A1554,"yyyy-mm")</f>
        <v/>
      </c>
    </row>
    <row r="1555">
      <c r="A1555" s="2" t="n">
        <v>45777</v>
      </c>
      <c r="B1555" t="n">
        <v>2025</v>
      </c>
      <c r="C1555" t="inlineStr">
        <is>
          <t>April</t>
        </is>
      </c>
      <c r="D1555" t="inlineStr">
        <is>
          <t>Classic Tea Set</t>
        </is>
      </c>
      <c r="E1555" t="inlineStr">
        <is>
          <t>Grocery</t>
        </is>
      </c>
      <c r="F1555" t="inlineStr">
        <is>
          <t>Laura Muller</t>
        </is>
      </c>
      <c r="G1555" t="inlineStr">
        <is>
          <t>Italy</t>
        </is>
      </c>
      <c r="H1555" t="inlineStr">
        <is>
          <t>Marketplace</t>
        </is>
      </c>
      <c r="I1555" t="n">
        <v>1</v>
      </c>
      <c r="J1555" s="3" t="n">
        <v>177.59</v>
      </c>
      <c r="K1555" s="3" t="n">
        <v>0</v>
      </c>
      <c r="L1555" s="3" t="n">
        <v>177.59</v>
      </c>
      <c r="M1555" s="3" t="n">
        <v>125.4</v>
      </c>
      <c r="N1555" s="3" t="n">
        <v>52.19</v>
      </c>
      <c r="O1555">
        <f>TEXT(A1555,"yyyy-mm")</f>
        <v/>
      </c>
    </row>
    <row r="1556">
      <c r="A1556" s="2" t="n">
        <v>45777</v>
      </c>
      <c r="B1556" t="n">
        <v>2025</v>
      </c>
      <c r="C1556" t="inlineStr">
        <is>
          <t>April</t>
        </is>
      </c>
      <c r="D1556" t="inlineStr">
        <is>
          <t>Smart Sweater</t>
        </is>
      </c>
      <c r="E1556" t="inlineStr">
        <is>
          <t>Clothing</t>
        </is>
      </c>
      <c r="F1556" t="inlineStr">
        <is>
          <t>Laura Muller</t>
        </is>
      </c>
      <c r="G1556" t="inlineStr">
        <is>
          <t>Italy</t>
        </is>
      </c>
      <c r="H1556" t="inlineStr">
        <is>
          <t>Marketplace</t>
        </is>
      </c>
      <c r="I1556" t="n">
        <v>2</v>
      </c>
      <c r="J1556" s="3" t="n">
        <v>275.18</v>
      </c>
      <c r="K1556" s="3" t="n">
        <v>13.76</v>
      </c>
      <c r="L1556" s="3" t="n">
        <v>261.42</v>
      </c>
      <c r="M1556" s="3" t="n">
        <v>154.7</v>
      </c>
      <c r="N1556" s="3" t="n">
        <v>106.72</v>
      </c>
      <c r="O1556">
        <f>TEXT(A1556,"yyyy-mm")</f>
        <v/>
      </c>
    </row>
    <row r="1557">
      <c r="A1557" s="2" t="n">
        <v>45778</v>
      </c>
      <c r="B1557" t="n">
        <v>2025</v>
      </c>
      <c r="C1557" t="inlineStr">
        <is>
          <t>May</t>
        </is>
      </c>
      <c r="D1557" t="inlineStr">
        <is>
          <t>Smart Coffee Beans</t>
        </is>
      </c>
      <c r="E1557" t="inlineStr">
        <is>
          <t>Grocery</t>
        </is>
      </c>
      <c r="F1557" t="inlineStr">
        <is>
          <t>Robert Rossi</t>
        </is>
      </c>
      <c r="G1557" t="inlineStr">
        <is>
          <t>Italy</t>
        </is>
      </c>
      <c r="H1557" t="inlineStr">
        <is>
          <t>Marketplace</t>
        </is>
      </c>
      <c r="I1557" t="n">
        <v>3</v>
      </c>
      <c r="J1557" s="3" t="n">
        <v>317.88</v>
      </c>
      <c r="K1557" s="3" t="n">
        <v>31.79</v>
      </c>
      <c r="L1557" s="3" t="n">
        <v>286.09</v>
      </c>
      <c r="M1557" s="3" t="n">
        <v>218.55</v>
      </c>
      <c r="N1557" s="3" t="n">
        <v>67.54000000000001</v>
      </c>
      <c r="O1557">
        <f>TEXT(A1557,"yyyy-mm")</f>
        <v/>
      </c>
    </row>
    <row r="1558">
      <c r="A1558" s="2" t="n">
        <v>45778</v>
      </c>
      <c r="B1558" t="n">
        <v>2025</v>
      </c>
      <c r="C1558" t="inlineStr">
        <is>
          <t>May</t>
        </is>
      </c>
      <c r="D1558" t="inlineStr">
        <is>
          <t>Deluxe Toolset</t>
        </is>
      </c>
      <c r="E1558" t="inlineStr">
        <is>
          <t>Home &amp; Garden</t>
        </is>
      </c>
      <c r="F1558" t="inlineStr">
        <is>
          <t>Mark Brown</t>
        </is>
      </c>
      <c r="G1558" t="inlineStr">
        <is>
          <t>Spain</t>
        </is>
      </c>
      <c r="H1558" t="inlineStr">
        <is>
          <t>Retail Store</t>
        </is>
      </c>
      <c r="I1558" t="n">
        <v>2</v>
      </c>
      <c r="J1558" s="3" t="n">
        <v>139.62</v>
      </c>
      <c r="K1558" s="3" t="n">
        <v>0</v>
      </c>
      <c r="L1558" s="3" t="n">
        <v>139.62</v>
      </c>
      <c r="M1558" s="3" t="n">
        <v>95.42</v>
      </c>
      <c r="N1558" s="3" t="n">
        <v>44.2</v>
      </c>
      <c r="O1558">
        <f>TEXT(A1558,"yyyy-mm")</f>
        <v/>
      </c>
    </row>
    <row r="1559">
      <c r="A1559" s="2" t="n">
        <v>45778</v>
      </c>
      <c r="B1559" t="n">
        <v>2025</v>
      </c>
      <c r="C1559" t="inlineStr">
        <is>
          <t>May</t>
        </is>
      </c>
      <c r="D1559" t="inlineStr">
        <is>
          <t>Deluxe Smartwatch</t>
        </is>
      </c>
      <c r="E1559" t="inlineStr">
        <is>
          <t>Electronics</t>
        </is>
      </c>
      <c r="F1559" t="inlineStr">
        <is>
          <t>Mark Brown</t>
        </is>
      </c>
      <c r="G1559" t="inlineStr">
        <is>
          <t>Spain</t>
        </is>
      </c>
      <c r="H1559" t="inlineStr">
        <is>
          <t>Retail Store</t>
        </is>
      </c>
      <c r="I1559" t="n">
        <v>5</v>
      </c>
      <c r="J1559" s="3" t="n">
        <v>795.45</v>
      </c>
      <c r="K1559" s="3" t="n">
        <v>0</v>
      </c>
      <c r="L1559" s="3" t="n">
        <v>795.45</v>
      </c>
      <c r="M1559" s="3" t="n">
        <v>613.6</v>
      </c>
      <c r="N1559" s="3" t="n">
        <v>181.85</v>
      </c>
      <c r="O1559">
        <f>TEXT(A1559,"yyyy-mm")</f>
        <v/>
      </c>
    </row>
    <row r="1560">
      <c r="A1560" s="2" t="n">
        <v>45778</v>
      </c>
      <c r="B1560" t="n">
        <v>2025</v>
      </c>
      <c r="C1560" t="inlineStr">
        <is>
          <t>May</t>
        </is>
      </c>
      <c r="D1560" t="inlineStr">
        <is>
          <t>Essential Rug</t>
        </is>
      </c>
      <c r="E1560" t="inlineStr">
        <is>
          <t>Home &amp; Garden</t>
        </is>
      </c>
      <c r="F1560" t="inlineStr">
        <is>
          <t>Mark Brown</t>
        </is>
      </c>
      <c r="G1560" t="inlineStr">
        <is>
          <t>Spain</t>
        </is>
      </c>
      <c r="H1560" t="inlineStr">
        <is>
          <t>Retail Store</t>
        </is>
      </c>
      <c r="I1560" t="n">
        <v>2</v>
      </c>
      <c r="J1560" s="3" t="n">
        <v>277.44</v>
      </c>
      <c r="K1560" s="3" t="n">
        <v>55.49</v>
      </c>
      <c r="L1560" s="3" t="n">
        <v>221.95</v>
      </c>
      <c r="M1560" s="3" t="n">
        <v>152.66</v>
      </c>
      <c r="N1560" s="3" t="n">
        <v>69.29000000000001</v>
      </c>
      <c r="O1560">
        <f>TEXT(A1560,"yyyy-mm")</f>
        <v/>
      </c>
    </row>
    <row r="1561">
      <c r="A1561" s="2" t="n">
        <v>45778</v>
      </c>
      <c r="B1561" t="n">
        <v>2025</v>
      </c>
      <c r="C1561" t="inlineStr">
        <is>
          <t>May</t>
        </is>
      </c>
      <c r="D1561" t="inlineStr">
        <is>
          <t>Wireless Coffee Beans</t>
        </is>
      </c>
      <c r="E1561" t="inlineStr">
        <is>
          <t>Grocery</t>
        </is>
      </c>
      <c r="F1561" t="inlineStr">
        <is>
          <t>Mark Brown</t>
        </is>
      </c>
      <c r="G1561" t="inlineStr">
        <is>
          <t>Spain</t>
        </is>
      </c>
      <c r="H1561" t="inlineStr">
        <is>
          <t>Retail Store</t>
        </is>
      </c>
      <c r="I1561" t="n">
        <v>4</v>
      </c>
      <c r="J1561" s="3" t="n">
        <v>501.52</v>
      </c>
      <c r="K1561" s="3" t="n">
        <v>25.08</v>
      </c>
      <c r="L1561" s="3" t="n">
        <v>476.44</v>
      </c>
      <c r="M1561" s="3" t="n">
        <v>317.48</v>
      </c>
      <c r="N1561" s="3" t="n">
        <v>158.96</v>
      </c>
      <c r="O1561">
        <f>TEXT(A1561,"yyyy-mm")</f>
        <v/>
      </c>
    </row>
    <row r="1562">
      <c r="A1562" s="2" t="n">
        <v>45778</v>
      </c>
      <c r="B1562" t="n">
        <v>2025</v>
      </c>
      <c r="C1562" t="inlineStr">
        <is>
          <t>May</t>
        </is>
      </c>
      <c r="D1562" t="inlineStr">
        <is>
          <t>Smart Jeans</t>
        </is>
      </c>
      <c r="E1562" t="inlineStr">
        <is>
          <t>Clothing</t>
        </is>
      </c>
      <c r="F1562" t="inlineStr">
        <is>
          <t>Peter Muller</t>
        </is>
      </c>
      <c r="G1562" t="inlineStr">
        <is>
          <t>Italy</t>
        </is>
      </c>
      <c r="H1562" t="inlineStr">
        <is>
          <t>Marketplace</t>
        </is>
      </c>
      <c r="I1562" t="n">
        <v>3</v>
      </c>
      <c r="J1562" s="3" t="n">
        <v>834.8099999999999</v>
      </c>
      <c r="K1562" s="3" t="n">
        <v>83.48</v>
      </c>
      <c r="L1562" s="3" t="n">
        <v>751.33</v>
      </c>
      <c r="M1562" s="3" t="n">
        <v>580.92</v>
      </c>
      <c r="N1562" s="3" t="n">
        <v>170.41</v>
      </c>
      <c r="O1562">
        <f>TEXT(A1562,"yyyy-mm")</f>
        <v/>
      </c>
    </row>
    <row r="1563">
      <c r="A1563" s="2" t="n">
        <v>45779</v>
      </c>
      <c r="B1563" t="n">
        <v>2025</v>
      </c>
      <c r="C1563" t="inlineStr">
        <is>
          <t>May</t>
        </is>
      </c>
      <c r="D1563" t="inlineStr">
        <is>
          <t>Smart Coffee Beans</t>
        </is>
      </c>
      <c r="E1563" t="inlineStr">
        <is>
          <t>Grocery</t>
        </is>
      </c>
      <c r="F1563" t="inlineStr">
        <is>
          <t>Sophie Bianchi</t>
        </is>
      </c>
      <c r="G1563" t="inlineStr">
        <is>
          <t>United States</t>
        </is>
      </c>
      <c r="H1563" t="inlineStr">
        <is>
          <t>Mobile App</t>
        </is>
      </c>
      <c r="I1563" t="n">
        <v>3</v>
      </c>
      <c r="J1563" s="3" t="n">
        <v>315.84</v>
      </c>
      <c r="K1563" s="3" t="n">
        <v>31.58</v>
      </c>
      <c r="L1563" s="3" t="n">
        <v>284.26</v>
      </c>
      <c r="M1563" s="3" t="n">
        <v>218.55</v>
      </c>
      <c r="N1563" s="3" t="n">
        <v>65.70999999999999</v>
      </c>
      <c r="O1563">
        <f>TEXT(A1563,"yyyy-mm")</f>
        <v/>
      </c>
    </row>
    <row r="1564">
      <c r="A1564" s="2" t="n">
        <v>45780</v>
      </c>
      <c r="B1564" t="n">
        <v>2025</v>
      </c>
      <c r="C1564" t="inlineStr">
        <is>
          <t>May</t>
        </is>
      </c>
      <c r="D1564" t="inlineStr">
        <is>
          <t>Eco Biography</t>
        </is>
      </c>
      <c r="E1564" t="inlineStr">
        <is>
          <t>Books</t>
        </is>
      </c>
      <c r="F1564" t="inlineStr">
        <is>
          <t>Clara Martin</t>
        </is>
      </c>
      <c r="G1564" t="inlineStr">
        <is>
          <t>United States</t>
        </is>
      </c>
      <c r="H1564" t="inlineStr">
        <is>
          <t>Retail Store</t>
        </is>
      </c>
      <c r="I1564" t="n">
        <v>3</v>
      </c>
      <c r="J1564" s="3" t="n">
        <v>377.67</v>
      </c>
      <c r="K1564" s="3" t="n">
        <v>56.65</v>
      </c>
      <c r="L1564" s="3" t="n">
        <v>321.02</v>
      </c>
      <c r="M1564" s="3" t="n">
        <v>213.06</v>
      </c>
      <c r="N1564" s="3" t="n">
        <v>107.96</v>
      </c>
      <c r="O1564">
        <f>TEXT(A1564,"yyyy-mm")</f>
        <v/>
      </c>
    </row>
    <row r="1565">
      <c r="A1565" s="2" t="n">
        <v>45780</v>
      </c>
      <c r="B1565" t="n">
        <v>2025</v>
      </c>
      <c r="C1565" t="inlineStr">
        <is>
          <t>May</t>
        </is>
      </c>
      <c r="D1565" t="inlineStr">
        <is>
          <t>Portable Bike Helmet</t>
        </is>
      </c>
      <c r="E1565" t="inlineStr">
        <is>
          <t>Sports &amp; Outdoors</t>
        </is>
      </c>
      <c r="F1565" t="inlineStr">
        <is>
          <t>Olivia Rossi</t>
        </is>
      </c>
      <c r="G1565" t="inlineStr">
        <is>
          <t>Spain</t>
        </is>
      </c>
      <c r="H1565" t="inlineStr">
        <is>
          <t>Web Store</t>
        </is>
      </c>
      <c r="I1565" t="n">
        <v>4</v>
      </c>
      <c r="J1565" s="3" t="n">
        <v>1231.28</v>
      </c>
      <c r="K1565" s="3" t="n">
        <v>123.13</v>
      </c>
      <c r="L1565" s="3" t="n">
        <v>1108.15</v>
      </c>
      <c r="M1565" s="3" t="n">
        <v>661.48</v>
      </c>
      <c r="N1565" s="3" t="n">
        <v>446.67</v>
      </c>
      <c r="O1565">
        <f>TEXT(A1565,"yyyy-mm")</f>
        <v/>
      </c>
    </row>
    <row r="1566">
      <c r="A1566" s="2" t="n">
        <v>45780</v>
      </c>
      <c r="B1566" t="n">
        <v>2025</v>
      </c>
      <c r="C1566" t="inlineStr">
        <is>
          <t>May</t>
        </is>
      </c>
      <c r="D1566" t="inlineStr">
        <is>
          <t>Premium Water Bottle</t>
        </is>
      </c>
      <c r="E1566" t="inlineStr">
        <is>
          <t>Sports &amp; Outdoors</t>
        </is>
      </c>
      <c r="F1566" t="inlineStr">
        <is>
          <t>Michael Martin</t>
        </is>
      </c>
      <c r="G1566" t="inlineStr">
        <is>
          <t>Germany</t>
        </is>
      </c>
      <c r="H1566" t="inlineStr">
        <is>
          <t>Retail Store</t>
        </is>
      </c>
      <c r="I1566" t="n">
        <v>1</v>
      </c>
      <c r="J1566" s="3" t="n">
        <v>124.2</v>
      </c>
      <c r="K1566" s="3" t="n">
        <v>12.42</v>
      </c>
      <c r="L1566" s="3" t="n">
        <v>111.78</v>
      </c>
      <c r="M1566" s="3" t="n">
        <v>89.62</v>
      </c>
      <c r="N1566" s="3" t="n">
        <v>22.16</v>
      </c>
      <c r="O1566">
        <f>TEXT(A1566,"yyyy-mm")</f>
        <v/>
      </c>
    </row>
    <row r="1567">
      <c r="A1567" s="2" t="n">
        <v>45780</v>
      </c>
      <c r="B1567" t="n">
        <v>2025</v>
      </c>
      <c r="C1567" t="inlineStr">
        <is>
          <t>May</t>
        </is>
      </c>
      <c r="D1567" t="inlineStr">
        <is>
          <t>Classic Atlas</t>
        </is>
      </c>
      <c r="E1567" t="inlineStr">
        <is>
          <t>Books</t>
        </is>
      </c>
      <c r="F1567" t="inlineStr">
        <is>
          <t>Michael Martin</t>
        </is>
      </c>
      <c r="G1567" t="inlineStr">
        <is>
          <t>Germany</t>
        </is>
      </c>
      <c r="H1567" t="inlineStr">
        <is>
          <t>Retail Store</t>
        </is>
      </c>
      <c r="I1567" t="n">
        <v>3</v>
      </c>
      <c r="J1567" s="3" t="n">
        <v>189.48</v>
      </c>
      <c r="K1567" s="3" t="n">
        <v>28.42</v>
      </c>
      <c r="L1567" s="3" t="n">
        <v>161.06</v>
      </c>
      <c r="M1567" s="3" t="n">
        <v>103.77</v>
      </c>
      <c r="N1567" s="3" t="n">
        <v>57.29</v>
      </c>
      <c r="O1567">
        <f>TEXT(A1567,"yyyy-mm")</f>
        <v/>
      </c>
    </row>
    <row r="1568">
      <c r="A1568" s="2" t="n">
        <v>45780</v>
      </c>
      <c r="B1568" t="n">
        <v>2025</v>
      </c>
      <c r="C1568" t="inlineStr">
        <is>
          <t>May</t>
        </is>
      </c>
      <c r="D1568" t="inlineStr">
        <is>
          <t>Portable Toolset</t>
        </is>
      </c>
      <c r="E1568" t="inlineStr">
        <is>
          <t>Home &amp; Garden</t>
        </is>
      </c>
      <c r="F1568" t="inlineStr">
        <is>
          <t>Michael Martin</t>
        </is>
      </c>
      <c r="G1568" t="inlineStr">
        <is>
          <t>Germany</t>
        </is>
      </c>
      <c r="H1568" t="inlineStr">
        <is>
          <t>Retail Store</t>
        </is>
      </c>
      <c r="I1568" t="n">
        <v>4</v>
      </c>
      <c r="J1568" s="3" t="n">
        <v>582.4</v>
      </c>
      <c r="K1568" s="3" t="n">
        <v>0</v>
      </c>
      <c r="L1568" s="3" t="n">
        <v>582.4</v>
      </c>
      <c r="M1568" s="3" t="n">
        <v>371.4</v>
      </c>
      <c r="N1568" s="3" t="n">
        <v>211</v>
      </c>
      <c r="O1568">
        <f>TEXT(A1568,"yyyy-mm")</f>
        <v/>
      </c>
    </row>
    <row r="1569">
      <c r="A1569" s="2" t="n">
        <v>45780</v>
      </c>
      <c r="B1569" t="n">
        <v>2025</v>
      </c>
      <c r="C1569" t="inlineStr">
        <is>
          <t>May</t>
        </is>
      </c>
      <c r="D1569" t="inlineStr">
        <is>
          <t>Smart Charger</t>
        </is>
      </c>
      <c r="E1569" t="inlineStr">
        <is>
          <t>Electronics</t>
        </is>
      </c>
      <c r="F1569" t="inlineStr">
        <is>
          <t>Robert Smith</t>
        </is>
      </c>
      <c r="G1569" t="inlineStr">
        <is>
          <t>Spain</t>
        </is>
      </c>
      <c r="H1569" t="inlineStr">
        <is>
          <t>Marketplace</t>
        </is>
      </c>
      <c r="I1569" t="n">
        <v>1</v>
      </c>
      <c r="J1569" s="3" t="n">
        <v>38.68</v>
      </c>
      <c r="K1569" s="3" t="n">
        <v>5.8</v>
      </c>
      <c r="L1569" s="3" t="n">
        <v>32.88</v>
      </c>
      <c r="M1569" s="3" t="n">
        <v>27.64</v>
      </c>
      <c r="N1569" s="3" t="n">
        <v>5.24</v>
      </c>
      <c r="O1569">
        <f>TEXT(A1569,"yyyy-mm")</f>
        <v/>
      </c>
    </row>
    <row r="1570">
      <c r="A1570" s="2" t="n">
        <v>45780</v>
      </c>
      <c r="B1570" t="n">
        <v>2025</v>
      </c>
      <c r="C1570" t="inlineStr">
        <is>
          <t>May</t>
        </is>
      </c>
      <c r="D1570" t="inlineStr">
        <is>
          <t>Smart Cookbook</t>
        </is>
      </c>
      <c r="E1570" t="inlineStr">
        <is>
          <t>Books</t>
        </is>
      </c>
      <c r="F1570" t="inlineStr">
        <is>
          <t>Robert Smith</t>
        </is>
      </c>
      <c r="G1570" t="inlineStr">
        <is>
          <t>Spain</t>
        </is>
      </c>
      <c r="H1570" t="inlineStr">
        <is>
          <t>Marketplace</t>
        </is>
      </c>
      <c r="I1570" t="n">
        <v>3</v>
      </c>
      <c r="J1570" s="3" t="n">
        <v>54.9</v>
      </c>
      <c r="K1570" s="3" t="n">
        <v>0</v>
      </c>
      <c r="L1570" s="3" t="n">
        <v>54.9</v>
      </c>
      <c r="M1570" s="3" t="n">
        <v>29.64</v>
      </c>
      <c r="N1570" s="3" t="n">
        <v>25.26</v>
      </c>
      <c r="O1570">
        <f>TEXT(A1570,"yyyy-mm")</f>
        <v/>
      </c>
    </row>
    <row r="1571">
      <c r="A1571" s="2" t="n">
        <v>45780</v>
      </c>
      <c r="B1571" t="n">
        <v>2025</v>
      </c>
      <c r="C1571" t="inlineStr">
        <is>
          <t>May</t>
        </is>
      </c>
      <c r="D1571" t="inlineStr">
        <is>
          <t>Compact Pasta</t>
        </is>
      </c>
      <c r="E1571" t="inlineStr">
        <is>
          <t>Grocery</t>
        </is>
      </c>
      <c r="F1571" t="inlineStr">
        <is>
          <t>Robert Smith</t>
        </is>
      </c>
      <c r="G1571" t="inlineStr">
        <is>
          <t>Spain</t>
        </is>
      </c>
      <c r="H1571" t="inlineStr">
        <is>
          <t>Marketplace</t>
        </is>
      </c>
      <c r="I1571" t="n">
        <v>1</v>
      </c>
      <c r="J1571" s="3" t="n">
        <v>298.99</v>
      </c>
      <c r="K1571" s="3" t="n">
        <v>0</v>
      </c>
      <c r="L1571" s="3" t="n">
        <v>298.99</v>
      </c>
      <c r="M1571" s="3" t="n">
        <v>199.4</v>
      </c>
      <c r="N1571" s="3" t="n">
        <v>99.59</v>
      </c>
      <c r="O1571">
        <f>TEXT(A1571,"yyyy-mm")</f>
        <v/>
      </c>
    </row>
    <row r="1572">
      <c r="A1572" s="2" t="n">
        <v>45780</v>
      </c>
      <c r="B1572" t="n">
        <v>2025</v>
      </c>
      <c r="C1572" t="inlineStr">
        <is>
          <t>May</t>
        </is>
      </c>
      <c r="D1572" t="inlineStr">
        <is>
          <t>Essential Pasta</t>
        </is>
      </c>
      <c r="E1572" t="inlineStr">
        <is>
          <t>Grocery</t>
        </is>
      </c>
      <c r="F1572" t="inlineStr">
        <is>
          <t>Nina Fischer</t>
        </is>
      </c>
      <c r="G1572" t="inlineStr">
        <is>
          <t>Poland</t>
        </is>
      </c>
      <c r="H1572" t="inlineStr">
        <is>
          <t>Web Store</t>
        </is>
      </c>
      <c r="I1572" t="n">
        <v>5</v>
      </c>
      <c r="J1572" s="3" t="n">
        <v>285.65</v>
      </c>
      <c r="K1572" s="3" t="n">
        <v>0</v>
      </c>
      <c r="L1572" s="3" t="n">
        <v>285.65</v>
      </c>
      <c r="M1572" s="3" t="n">
        <v>179.05</v>
      </c>
      <c r="N1572" s="3" t="n">
        <v>106.6</v>
      </c>
      <c r="O1572">
        <f>TEXT(A1572,"yyyy-mm")</f>
        <v/>
      </c>
    </row>
    <row r="1573">
      <c r="A1573" s="2" t="n">
        <v>45780</v>
      </c>
      <c r="B1573" t="n">
        <v>2025</v>
      </c>
      <c r="C1573" t="inlineStr">
        <is>
          <t>May</t>
        </is>
      </c>
      <c r="D1573" t="inlineStr">
        <is>
          <t>Classic Yoga Mat</t>
        </is>
      </c>
      <c r="E1573" t="inlineStr">
        <is>
          <t>Sports &amp; Outdoors</t>
        </is>
      </c>
      <c r="F1573" t="inlineStr">
        <is>
          <t>Nina Fischer</t>
        </is>
      </c>
      <c r="G1573" t="inlineStr">
        <is>
          <t>Poland</t>
        </is>
      </c>
      <c r="H1573" t="inlineStr">
        <is>
          <t>Web Store</t>
        </is>
      </c>
      <c r="I1573" t="n">
        <v>2</v>
      </c>
      <c r="J1573" s="3" t="n">
        <v>658.52</v>
      </c>
      <c r="K1573" s="3" t="n">
        <v>131.7</v>
      </c>
      <c r="L1573" s="3" t="n">
        <v>526.8200000000001</v>
      </c>
      <c r="M1573" s="3" t="n">
        <v>391.4</v>
      </c>
      <c r="N1573" s="3" t="n">
        <v>135.42</v>
      </c>
      <c r="O1573">
        <f>TEXT(A1573,"yyyy-mm")</f>
        <v/>
      </c>
    </row>
    <row r="1574">
      <c r="A1574" s="2" t="n">
        <v>45780</v>
      </c>
      <c r="B1574" t="n">
        <v>2025</v>
      </c>
      <c r="C1574" t="inlineStr">
        <is>
          <t>May</t>
        </is>
      </c>
      <c r="D1574" t="inlineStr">
        <is>
          <t>Ultra Backpack</t>
        </is>
      </c>
      <c r="E1574" t="inlineStr">
        <is>
          <t>Sports &amp; Outdoors</t>
        </is>
      </c>
      <c r="F1574" t="inlineStr">
        <is>
          <t>Nina Fischer</t>
        </is>
      </c>
      <c r="G1574" t="inlineStr">
        <is>
          <t>Poland</t>
        </is>
      </c>
      <c r="H1574" t="inlineStr">
        <is>
          <t>Web Store</t>
        </is>
      </c>
      <c r="I1574" t="n">
        <v>1</v>
      </c>
      <c r="J1574" s="3" t="n">
        <v>320.38</v>
      </c>
      <c r="K1574" s="3" t="n">
        <v>0</v>
      </c>
      <c r="L1574" s="3" t="n">
        <v>320.38</v>
      </c>
      <c r="M1574" s="3" t="n">
        <v>173.69</v>
      </c>
      <c r="N1574" s="3" t="n">
        <v>146.69</v>
      </c>
      <c r="O1574">
        <f>TEXT(A1574,"yyyy-mm")</f>
        <v/>
      </c>
    </row>
    <row r="1575">
      <c r="A1575" s="2" t="n">
        <v>45780</v>
      </c>
      <c r="B1575" t="n">
        <v>2025</v>
      </c>
      <c r="C1575" t="inlineStr">
        <is>
          <t>May</t>
        </is>
      </c>
      <c r="D1575" t="inlineStr">
        <is>
          <t>Ultra Vitamins</t>
        </is>
      </c>
      <c r="E1575" t="inlineStr">
        <is>
          <t>Beauty &amp; Health</t>
        </is>
      </c>
      <c r="F1575" t="inlineStr">
        <is>
          <t>Nina Fischer</t>
        </is>
      </c>
      <c r="G1575" t="inlineStr">
        <is>
          <t>Poland</t>
        </is>
      </c>
      <c r="H1575" t="inlineStr">
        <is>
          <t>Web Store</t>
        </is>
      </c>
      <c r="I1575" t="n">
        <v>1</v>
      </c>
      <c r="J1575" s="3" t="n">
        <v>210.48</v>
      </c>
      <c r="K1575" s="3" t="n">
        <v>0</v>
      </c>
      <c r="L1575" s="3" t="n">
        <v>210.48</v>
      </c>
      <c r="M1575" s="3" t="n">
        <v>126.1</v>
      </c>
      <c r="N1575" s="3" t="n">
        <v>84.38</v>
      </c>
      <c r="O1575">
        <f>TEXT(A1575,"yyyy-mm")</f>
        <v/>
      </c>
    </row>
    <row r="1576">
      <c r="A1576" s="2" t="n">
        <v>45780</v>
      </c>
      <c r="B1576" t="n">
        <v>2025</v>
      </c>
      <c r="C1576" t="inlineStr">
        <is>
          <t>May</t>
        </is>
      </c>
      <c r="D1576" t="inlineStr">
        <is>
          <t>Eco Tent</t>
        </is>
      </c>
      <c r="E1576" t="inlineStr">
        <is>
          <t>Sports &amp; Outdoors</t>
        </is>
      </c>
      <c r="F1576" t="inlineStr">
        <is>
          <t>Robert Smith</t>
        </is>
      </c>
      <c r="G1576" t="inlineStr">
        <is>
          <t>Spain</t>
        </is>
      </c>
      <c r="H1576" t="inlineStr">
        <is>
          <t>Marketplace</t>
        </is>
      </c>
      <c r="I1576" t="n">
        <v>4</v>
      </c>
      <c r="J1576" s="3" t="n">
        <v>273.64</v>
      </c>
      <c r="K1576" s="3" t="n">
        <v>0</v>
      </c>
      <c r="L1576" s="3" t="n">
        <v>273.64</v>
      </c>
      <c r="M1576" s="3" t="n">
        <v>175.4</v>
      </c>
      <c r="N1576" s="3" t="n">
        <v>98.23999999999999</v>
      </c>
      <c r="O1576">
        <f>TEXT(A1576,"yyyy-mm")</f>
        <v/>
      </c>
    </row>
    <row r="1577">
      <c r="A1577" s="2" t="n">
        <v>45780</v>
      </c>
      <c r="B1577" t="n">
        <v>2025</v>
      </c>
      <c r="C1577" t="inlineStr">
        <is>
          <t>May</t>
        </is>
      </c>
      <c r="D1577" t="inlineStr">
        <is>
          <t>Smart Board Game</t>
        </is>
      </c>
      <c r="E1577" t="inlineStr">
        <is>
          <t>Toys &amp; Games</t>
        </is>
      </c>
      <c r="F1577" t="inlineStr">
        <is>
          <t>Michael Martin</t>
        </is>
      </c>
      <c r="G1577" t="inlineStr">
        <is>
          <t>Germany</t>
        </is>
      </c>
      <c r="H1577" t="inlineStr">
        <is>
          <t>Retail Store</t>
        </is>
      </c>
      <c r="I1577" t="n">
        <v>2</v>
      </c>
      <c r="J1577" s="3" t="n">
        <v>266.16</v>
      </c>
      <c r="K1577" s="3" t="n">
        <v>39.92</v>
      </c>
      <c r="L1577" s="3" t="n">
        <v>226.24</v>
      </c>
      <c r="M1577" s="3" t="n">
        <v>183.44</v>
      </c>
      <c r="N1577" s="3" t="n">
        <v>42.8</v>
      </c>
      <c r="O1577">
        <f>TEXT(A1577,"yyyy-mm")</f>
        <v/>
      </c>
    </row>
    <row r="1578">
      <c r="A1578" s="2" t="n">
        <v>45780</v>
      </c>
      <c r="B1578" t="n">
        <v>2025</v>
      </c>
      <c r="C1578" t="inlineStr">
        <is>
          <t>May</t>
        </is>
      </c>
      <c r="D1578" t="inlineStr">
        <is>
          <t>Essential Notebook</t>
        </is>
      </c>
      <c r="E1578" t="inlineStr">
        <is>
          <t>Books</t>
        </is>
      </c>
      <c r="F1578" t="inlineStr">
        <is>
          <t>David Nowak</t>
        </is>
      </c>
      <c r="G1578" t="inlineStr">
        <is>
          <t>Spain</t>
        </is>
      </c>
      <c r="H1578" t="inlineStr">
        <is>
          <t>Mobile App</t>
        </is>
      </c>
      <c r="I1578" t="n">
        <v>5</v>
      </c>
      <c r="J1578" s="3" t="n">
        <v>580.95</v>
      </c>
      <c r="K1578" s="3" t="n">
        <v>58.1</v>
      </c>
      <c r="L1578" s="3" t="n">
        <v>522.86</v>
      </c>
      <c r="M1578" s="3" t="n">
        <v>395.5</v>
      </c>
      <c r="N1578" s="3" t="n">
        <v>127.36</v>
      </c>
      <c r="O1578">
        <f>TEXT(A1578,"yyyy-mm")</f>
        <v/>
      </c>
    </row>
    <row r="1579">
      <c r="A1579" s="2" t="n">
        <v>45782</v>
      </c>
      <c r="B1579" t="n">
        <v>2025</v>
      </c>
      <c r="C1579" t="inlineStr">
        <is>
          <t>May</t>
        </is>
      </c>
      <c r="D1579" t="inlineStr">
        <is>
          <t>Smart Camera</t>
        </is>
      </c>
      <c r="E1579" t="inlineStr">
        <is>
          <t>Electronics</t>
        </is>
      </c>
      <c r="F1579" t="inlineStr">
        <is>
          <t>Robert Moreau</t>
        </is>
      </c>
      <c r="G1579" t="inlineStr">
        <is>
          <t>Spain</t>
        </is>
      </c>
      <c r="H1579" t="inlineStr">
        <is>
          <t>Web Store</t>
        </is>
      </c>
      <c r="I1579" t="n">
        <v>1</v>
      </c>
      <c r="J1579" s="3" t="n">
        <v>317.06</v>
      </c>
      <c r="K1579" s="3" t="n">
        <v>47.56</v>
      </c>
      <c r="L1579" s="3" t="n">
        <v>269.5</v>
      </c>
      <c r="M1579" s="3" t="n">
        <v>167.4</v>
      </c>
      <c r="N1579" s="3" t="n">
        <v>102.1</v>
      </c>
      <c r="O1579">
        <f>TEXT(A1579,"yyyy-mm")</f>
        <v/>
      </c>
    </row>
    <row r="1580">
      <c r="A1580" s="2" t="n">
        <v>45782</v>
      </c>
      <c r="B1580" t="n">
        <v>2025</v>
      </c>
      <c r="C1580" t="inlineStr">
        <is>
          <t>May</t>
        </is>
      </c>
      <c r="D1580" t="inlineStr">
        <is>
          <t>Portable Toolset</t>
        </is>
      </c>
      <c r="E1580" t="inlineStr">
        <is>
          <t>Home &amp; Garden</t>
        </is>
      </c>
      <c r="F1580" t="inlineStr">
        <is>
          <t>Robert Moreau</t>
        </is>
      </c>
      <c r="G1580" t="inlineStr">
        <is>
          <t>Spain</t>
        </is>
      </c>
      <c r="H1580" t="inlineStr">
        <is>
          <t>Web Store</t>
        </is>
      </c>
      <c r="I1580" t="n">
        <v>5</v>
      </c>
      <c r="J1580" s="3" t="n">
        <v>696.25</v>
      </c>
      <c r="K1580" s="3" t="n">
        <v>139.25</v>
      </c>
      <c r="L1580" s="3" t="n">
        <v>557</v>
      </c>
      <c r="M1580" s="3" t="n">
        <v>464.25</v>
      </c>
      <c r="N1580" s="3" t="n">
        <v>92.75</v>
      </c>
      <c r="O1580">
        <f>TEXT(A1580,"yyyy-mm")</f>
        <v/>
      </c>
    </row>
    <row r="1581">
      <c r="A1581" s="2" t="n">
        <v>45783</v>
      </c>
      <c r="B1581" t="n">
        <v>2025</v>
      </c>
      <c r="C1581" t="inlineStr">
        <is>
          <t>May</t>
        </is>
      </c>
      <c r="D1581" t="inlineStr">
        <is>
          <t>Portable Toolset</t>
        </is>
      </c>
      <c r="E1581" t="inlineStr">
        <is>
          <t>Home &amp; Garden</t>
        </is>
      </c>
      <c r="F1581" t="inlineStr">
        <is>
          <t>Olivia Nowak</t>
        </is>
      </c>
      <c r="G1581" t="inlineStr">
        <is>
          <t>Germany</t>
        </is>
      </c>
      <c r="H1581" t="inlineStr">
        <is>
          <t>Mobile App</t>
        </is>
      </c>
      <c r="I1581" t="n">
        <v>1</v>
      </c>
      <c r="J1581" s="3" t="n">
        <v>86.86</v>
      </c>
      <c r="K1581" s="3" t="n">
        <v>13.03</v>
      </c>
      <c r="L1581" s="3" t="n">
        <v>73.83</v>
      </c>
      <c r="M1581" s="3" t="n">
        <v>50.54</v>
      </c>
      <c r="N1581" s="3" t="n">
        <v>23.29</v>
      </c>
      <c r="O1581">
        <f>TEXT(A1581,"yyyy-mm")</f>
        <v/>
      </c>
    </row>
    <row r="1582">
      <c r="A1582" s="2" t="n">
        <v>45784</v>
      </c>
      <c r="B1582" t="n">
        <v>2025</v>
      </c>
      <c r="C1582" t="inlineStr">
        <is>
          <t>May</t>
        </is>
      </c>
      <c r="D1582" t="inlineStr">
        <is>
          <t>Smart Puzzle</t>
        </is>
      </c>
      <c r="E1582" t="inlineStr">
        <is>
          <t>Toys &amp; Games</t>
        </is>
      </c>
      <c r="F1582" t="inlineStr">
        <is>
          <t>Maria Nowak</t>
        </is>
      </c>
      <c r="G1582" t="inlineStr">
        <is>
          <t>Poland</t>
        </is>
      </c>
      <c r="H1582" t="inlineStr">
        <is>
          <t>Web Store</t>
        </is>
      </c>
      <c r="I1582" t="n">
        <v>2</v>
      </c>
      <c r="J1582" s="3" t="n">
        <v>85.94</v>
      </c>
      <c r="K1582" s="3" t="n">
        <v>0</v>
      </c>
      <c r="L1582" s="3" t="n">
        <v>85.94</v>
      </c>
      <c r="M1582" s="3" t="n">
        <v>48.88</v>
      </c>
      <c r="N1582" s="3" t="n">
        <v>37.06</v>
      </c>
      <c r="O1582">
        <f>TEXT(A1582,"yyyy-mm")</f>
        <v/>
      </c>
    </row>
    <row r="1583">
      <c r="A1583" s="2" t="n">
        <v>45784</v>
      </c>
      <c r="B1583" t="n">
        <v>2025</v>
      </c>
      <c r="C1583" t="inlineStr">
        <is>
          <t>May</t>
        </is>
      </c>
      <c r="D1583" t="inlineStr">
        <is>
          <t>Eco Planter</t>
        </is>
      </c>
      <c r="E1583" t="inlineStr">
        <is>
          <t>Home &amp; Garden</t>
        </is>
      </c>
      <c r="F1583" t="inlineStr">
        <is>
          <t>Maria Nowak</t>
        </is>
      </c>
      <c r="G1583" t="inlineStr">
        <is>
          <t>Poland</t>
        </is>
      </c>
      <c r="H1583" t="inlineStr">
        <is>
          <t>Web Store</t>
        </is>
      </c>
      <c r="I1583" t="n">
        <v>3</v>
      </c>
      <c r="J1583" s="3" t="n">
        <v>529.29</v>
      </c>
      <c r="K1583" s="3" t="n">
        <v>0</v>
      </c>
      <c r="L1583" s="3" t="n">
        <v>529.29</v>
      </c>
      <c r="M1583" s="3" t="n">
        <v>337.23</v>
      </c>
      <c r="N1583" s="3" t="n">
        <v>192.06</v>
      </c>
      <c r="O1583">
        <f>TEXT(A1583,"yyyy-mm")</f>
        <v/>
      </c>
    </row>
    <row r="1584">
      <c r="A1584" s="2" t="n">
        <v>45784</v>
      </c>
      <c r="B1584" t="n">
        <v>2025</v>
      </c>
      <c r="C1584" t="inlineStr">
        <is>
          <t>May</t>
        </is>
      </c>
      <c r="D1584" t="inlineStr">
        <is>
          <t>Portable Pasta</t>
        </is>
      </c>
      <c r="E1584" t="inlineStr">
        <is>
          <t>Grocery</t>
        </is>
      </c>
      <c r="F1584" t="inlineStr">
        <is>
          <t>Maria Nowak</t>
        </is>
      </c>
      <c r="G1584" t="inlineStr">
        <is>
          <t>Poland</t>
        </is>
      </c>
      <c r="H1584" t="inlineStr">
        <is>
          <t>Web Store</t>
        </is>
      </c>
      <c r="I1584" t="n">
        <v>1</v>
      </c>
      <c r="J1584" s="3" t="n">
        <v>35.24</v>
      </c>
      <c r="K1584" s="3" t="n">
        <v>1.76</v>
      </c>
      <c r="L1584" s="3" t="n">
        <v>33.48</v>
      </c>
      <c r="M1584" s="3" t="n">
        <v>27.75</v>
      </c>
      <c r="N1584" s="3" t="n">
        <v>5.73</v>
      </c>
      <c r="O1584">
        <f>TEXT(A1584,"yyyy-mm")</f>
        <v/>
      </c>
    </row>
    <row r="1585">
      <c r="A1585" s="2" t="n">
        <v>45784</v>
      </c>
      <c r="B1585" t="n">
        <v>2025</v>
      </c>
      <c r="C1585" t="inlineStr">
        <is>
          <t>May</t>
        </is>
      </c>
      <c r="D1585" t="inlineStr">
        <is>
          <t>Premium Tent</t>
        </is>
      </c>
      <c r="E1585" t="inlineStr">
        <is>
          <t>Sports &amp; Outdoors</t>
        </is>
      </c>
      <c r="F1585" t="inlineStr">
        <is>
          <t>Maria Nowak</t>
        </is>
      </c>
      <c r="G1585" t="inlineStr">
        <is>
          <t>Poland</t>
        </is>
      </c>
      <c r="H1585" t="inlineStr">
        <is>
          <t>Web Store</t>
        </is>
      </c>
      <c r="I1585" t="n">
        <v>1</v>
      </c>
      <c r="J1585" s="3" t="n">
        <v>141.79</v>
      </c>
      <c r="K1585" s="3" t="n">
        <v>0</v>
      </c>
      <c r="L1585" s="3" t="n">
        <v>141.79</v>
      </c>
      <c r="M1585" s="3" t="n">
        <v>96.40000000000001</v>
      </c>
      <c r="N1585" s="3" t="n">
        <v>45.39</v>
      </c>
      <c r="O1585">
        <f>TEXT(A1585,"yyyy-mm")</f>
        <v/>
      </c>
    </row>
    <row r="1586">
      <c r="A1586" s="2" t="n">
        <v>45785</v>
      </c>
      <c r="B1586" t="n">
        <v>2025</v>
      </c>
      <c r="C1586" t="inlineStr">
        <is>
          <t>May</t>
        </is>
      </c>
      <c r="D1586" t="inlineStr">
        <is>
          <t>Portable Toolset</t>
        </is>
      </c>
      <c r="E1586" t="inlineStr">
        <is>
          <t>Home &amp; Garden</t>
        </is>
      </c>
      <c r="F1586" t="inlineStr">
        <is>
          <t>Paul Schmidt</t>
        </is>
      </c>
      <c r="G1586" t="inlineStr">
        <is>
          <t>Poland</t>
        </is>
      </c>
      <c r="H1586" t="inlineStr">
        <is>
          <t>Retail Store</t>
        </is>
      </c>
      <c r="I1586" t="n">
        <v>3</v>
      </c>
      <c r="J1586" s="3" t="n">
        <v>440.7</v>
      </c>
      <c r="K1586" s="3" t="n">
        <v>66.09999999999999</v>
      </c>
      <c r="L1586" s="3" t="n">
        <v>374.6</v>
      </c>
      <c r="M1586" s="3" t="n">
        <v>278.55</v>
      </c>
      <c r="N1586" s="3" t="n">
        <v>96.05</v>
      </c>
      <c r="O1586">
        <f>TEXT(A1586,"yyyy-mm")</f>
        <v/>
      </c>
    </row>
    <row r="1587">
      <c r="A1587" s="2" t="n">
        <v>45785</v>
      </c>
      <c r="B1587" t="n">
        <v>2025</v>
      </c>
      <c r="C1587" t="inlineStr">
        <is>
          <t>May</t>
        </is>
      </c>
      <c r="D1587" t="inlineStr">
        <is>
          <t>Essential Jacket</t>
        </is>
      </c>
      <c r="E1587" t="inlineStr">
        <is>
          <t>Clothing</t>
        </is>
      </c>
      <c r="F1587" t="inlineStr">
        <is>
          <t>Paul Schmidt</t>
        </is>
      </c>
      <c r="G1587" t="inlineStr">
        <is>
          <t>Poland</t>
        </is>
      </c>
      <c r="H1587" t="inlineStr">
        <is>
          <t>Retail Store</t>
        </is>
      </c>
      <c r="I1587" t="n">
        <v>2</v>
      </c>
      <c r="J1587" s="3" t="n">
        <v>284.58</v>
      </c>
      <c r="K1587" s="3" t="n">
        <v>28.46</v>
      </c>
      <c r="L1587" s="3" t="n">
        <v>256.12</v>
      </c>
      <c r="M1587" s="3" t="n">
        <v>170.7</v>
      </c>
      <c r="N1587" s="3" t="n">
        <v>85.42</v>
      </c>
      <c r="O1587">
        <f>TEXT(A1587,"yyyy-mm")</f>
        <v/>
      </c>
    </row>
    <row r="1588">
      <c r="A1588" s="2" t="n">
        <v>45785</v>
      </c>
      <c r="B1588" t="n">
        <v>2025</v>
      </c>
      <c r="C1588" t="inlineStr">
        <is>
          <t>May</t>
        </is>
      </c>
      <c r="D1588" t="inlineStr">
        <is>
          <t>Wireless Backpack</t>
        </is>
      </c>
      <c r="E1588" t="inlineStr">
        <is>
          <t>Sports &amp; Outdoors</t>
        </is>
      </c>
      <c r="F1588" t="inlineStr">
        <is>
          <t>Paul Schmidt</t>
        </is>
      </c>
      <c r="G1588" t="inlineStr">
        <is>
          <t>Poland</t>
        </is>
      </c>
      <c r="H1588" t="inlineStr">
        <is>
          <t>Retail Store</t>
        </is>
      </c>
      <c r="I1588" t="n">
        <v>5</v>
      </c>
      <c r="J1588" s="3" t="n">
        <v>258.25</v>
      </c>
      <c r="K1588" s="3" t="n">
        <v>51.65</v>
      </c>
      <c r="L1588" s="3" t="n">
        <v>206.6</v>
      </c>
      <c r="M1588" s="3" t="n">
        <v>140.5</v>
      </c>
      <c r="N1588" s="3" t="n">
        <v>66.09999999999999</v>
      </c>
      <c r="O1588">
        <f>TEXT(A1588,"yyyy-mm")</f>
        <v/>
      </c>
    </row>
    <row r="1589">
      <c r="A1589" s="2" t="n">
        <v>45785</v>
      </c>
      <c r="B1589" t="n">
        <v>2025</v>
      </c>
      <c r="C1589" t="inlineStr">
        <is>
          <t>May</t>
        </is>
      </c>
      <c r="D1589" t="inlineStr">
        <is>
          <t>Eco Drone</t>
        </is>
      </c>
      <c r="E1589" t="inlineStr">
        <is>
          <t>Toys &amp; Games</t>
        </is>
      </c>
      <c r="F1589" t="inlineStr">
        <is>
          <t>Maria Rossi</t>
        </is>
      </c>
      <c r="G1589" t="inlineStr">
        <is>
          <t>Spain</t>
        </is>
      </c>
      <c r="H1589" t="inlineStr">
        <is>
          <t>Web Store</t>
        </is>
      </c>
      <c r="I1589" t="n">
        <v>4</v>
      </c>
      <c r="J1589" s="3" t="n">
        <v>790.4400000000001</v>
      </c>
      <c r="K1589" s="3" t="n">
        <v>0</v>
      </c>
      <c r="L1589" s="3" t="n">
        <v>790.4400000000001</v>
      </c>
      <c r="M1589" s="3" t="n">
        <v>518.36</v>
      </c>
      <c r="N1589" s="3" t="n">
        <v>272.08</v>
      </c>
      <c r="O1589">
        <f>TEXT(A1589,"yyyy-mm")</f>
        <v/>
      </c>
    </row>
    <row r="1590">
      <c r="A1590" s="2" t="n">
        <v>45785</v>
      </c>
      <c r="B1590" t="n">
        <v>2025</v>
      </c>
      <c r="C1590" t="inlineStr">
        <is>
          <t>May</t>
        </is>
      </c>
      <c r="D1590" t="inlineStr">
        <is>
          <t>Classic Coffee Beans</t>
        </is>
      </c>
      <c r="E1590" t="inlineStr">
        <is>
          <t>Grocery</t>
        </is>
      </c>
      <c r="F1590" t="inlineStr">
        <is>
          <t>Maria Rossi</t>
        </is>
      </c>
      <c r="G1590" t="inlineStr">
        <is>
          <t>Spain</t>
        </is>
      </c>
      <c r="H1590" t="inlineStr">
        <is>
          <t>Web Store</t>
        </is>
      </c>
      <c r="I1590" t="n">
        <v>3</v>
      </c>
      <c r="J1590" s="3" t="n">
        <v>939.9299999999999</v>
      </c>
      <c r="K1590" s="3" t="n">
        <v>0</v>
      </c>
      <c r="L1590" s="3" t="n">
        <v>939.9299999999999</v>
      </c>
      <c r="M1590" s="3" t="n">
        <v>584.28</v>
      </c>
      <c r="N1590" s="3" t="n">
        <v>355.65</v>
      </c>
      <c r="O1590">
        <f>TEXT(A1590,"yyyy-mm")</f>
        <v/>
      </c>
    </row>
    <row r="1591">
      <c r="A1591" s="2" t="n">
        <v>45785</v>
      </c>
      <c r="B1591" t="n">
        <v>2025</v>
      </c>
      <c r="C1591" t="inlineStr">
        <is>
          <t>May</t>
        </is>
      </c>
      <c r="D1591" t="inlineStr">
        <is>
          <t>Premium Tent</t>
        </is>
      </c>
      <c r="E1591" t="inlineStr">
        <is>
          <t>Sports &amp; Outdoors</t>
        </is>
      </c>
      <c r="F1591" t="inlineStr">
        <is>
          <t>Maria Rossi</t>
        </is>
      </c>
      <c r="G1591" t="inlineStr">
        <is>
          <t>Spain</t>
        </is>
      </c>
      <c r="H1591" t="inlineStr">
        <is>
          <t>Web Store</t>
        </is>
      </c>
      <c r="I1591" t="n">
        <v>4</v>
      </c>
      <c r="J1591" s="3" t="n">
        <v>998.5599999999999</v>
      </c>
      <c r="K1591" s="3" t="n">
        <v>199.71</v>
      </c>
      <c r="L1591" s="3" t="n">
        <v>798.85</v>
      </c>
      <c r="M1591" s="3" t="n">
        <v>556.16</v>
      </c>
      <c r="N1591" s="3" t="n">
        <v>242.69</v>
      </c>
      <c r="O1591">
        <f>TEXT(A1591,"yyyy-mm")</f>
        <v/>
      </c>
    </row>
    <row r="1592">
      <c r="A1592" s="2" t="n">
        <v>45785</v>
      </c>
      <c r="B1592" t="n">
        <v>2025</v>
      </c>
      <c r="C1592" t="inlineStr">
        <is>
          <t>May</t>
        </is>
      </c>
      <c r="D1592" t="inlineStr">
        <is>
          <t>Deluxe Scarf</t>
        </is>
      </c>
      <c r="E1592" t="inlineStr">
        <is>
          <t>Clothing</t>
        </is>
      </c>
      <c r="F1592" t="inlineStr">
        <is>
          <t>Maria Rossi</t>
        </is>
      </c>
      <c r="G1592" t="inlineStr">
        <is>
          <t>Spain</t>
        </is>
      </c>
      <c r="H1592" t="inlineStr">
        <is>
          <t>Web Store</t>
        </is>
      </c>
      <c r="I1592" t="n">
        <v>3</v>
      </c>
      <c r="J1592" s="3" t="n">
        <v>610.14</v>
      </c>
      <c r="K1592" s="3" t="n">
        <v>61.01</v>
      </c>
      <c r="L1592" s="3" t="n">
        <v>549.13</v>
      </c>
      <c r="M1592" s="3" t="n">
        <v>325.56</v>
      </c>
      <c r="N1592" s="3" t="n">
        <v>223.57</v>
      </c>
      <c r="O1592">
        <f>TEXT(A1592,"yyyy-mm")</f>
        <v/>
      </c>
    </row>
    <row r="1593">
      <c r="A1593" s="2" t="n">
        <v>45785</v>
      </c>
      <c r="B1593" t="n">
        <v>2025</v>
      </c>
      <c r="C1593" t="inlineStr">
        <is>
          <t>May</t>
        </is>
      </c>
      <c r="D1593" t="inlineStr">
        <is>
          <t>Deluxe Toothbrush</t>
        </is>
      </c>
      <c r="E1593" t="inlineStr">
        <is>
          <t>Beauty &amp; Health</t>
        </is>
      </c>
      <c r="F1593" t="inlineStr">
        <is>
          <t>Maria Martin</t>
        </is>
      </c>
      <c r="G1593" t="inlineStr">
        <is>
          <t>Germany</t>
        </is>
      </c>
      <c r="H1593" t="inlineStr">
        <is>
          <t>Marketplace</t>
        </is>
      </c>
      <c r="I1593" t="n">
        <v>1</v>
      </c>
      <c r="J1593" s="3" t="n">
        <v>324.8</v>
      </c>
      <c r="K1593" s="3" t="n">
        <v>48.72</v>
      </c>
      <c r="L1593" s="3" t="n">
        <v>276.08</v>
      </c>
      <c r="M1593" s="3" t="n">
        <v>174.57</v>
      </c>
      <c r="N1593" s="3" t="n">
        <v>101.51</v>
      </c>
      <c r="O1593">
        <f>TEXT(A1593,"yyyy-mm")</f>
        <v/>
      </c>
    </row>
    <row r="1594">
      <c r="A1594" s="2" t="n">
        <v>45785</v>
      </c>
      <c r="B1594" t="n">
        <v>2025</v>
      </c>
      <c r="C1594" t="inlineStr">
        <is>
          <t>May</t>
        </is>
      </c>
      <c r="D1594" t="inlineStr">
        <is>
          <t>Essential Charger</t>
        </is>
      </c>
      <c r="E1594" t="inlineStr">
        <is>
          <t>Electronics</t>
        </is>
      </c>
      <c r="F1594" t="inlineStr">
        <is>
          <t>Maria Martin</t>
        </is>
      </c>
      <c r="G1594" t="inlineStr">
        <is>
          <t>Germany</t>
        </is>
      </c>
      <c r="H1594" t="inlineStr">
        <is>
          <t>Marketplace</t>
        </is>
      </c>
      <c r="I1594" t="n">
        <v>5</v>
      </c>
      <c r="J1594" s="3" t="n">
        <v>220.3</v>
      </c>
      <c r="K1594" s="3" t="n">
        <v>11.02</v>
      </c>
      <c r="L1594" s="3" t="n">
        <v>209.29</v>
      </c>
      <c r="M1594" s="3" t="n">
        <v>145.5</v>
      </c>
      <c r="N1594" s="3" t="n">
        <v>63.79</v>
      </c>
      <c r="O1594">
        <f>TEXT(A1594,"yyyy-mm")</f>
        <v/>
      </c>
    </row>
    <row r="1595">
      <c r="A1595" s="2" t="n">
        <v>45785</v>
      </c>
      <c r="B1595" t="n">
        <v>2025</v>
      </c>
      <c r="C1595" t="inlineStr">
        <is>
          <t>May</t>
        </is>
      </c>
      <c r="D1595" t="inlineStr">
        <is>
          <t>Portable Pasta</t>
        </is>
      </c>
      <c r="E1595" t="inlineStr">
        <is>
          <t>Grocery</t>
        </is>
      </c>
      <c r="F1595" t="inlineStr">
        <is>
          <t>Maria Martin</t>
        </is>
      </c>
      <c r="G1595" t="inlineStr">
        <is>
          <t>Germany</t>
        </is>
      </c>
      <c r="H1595" t="inlineStr">
        <is>
          <t>Marketplace</t>
        </is>
      </c>
      <c r="I1595" t="n">
        <v>2</v>
      </c>
      <c r="J1595" s="3" t="n">
        <v>73.8</v>
      </c>
      <c r="K1595" s="3" t="n">
        <v>0</v>
      </c>
      <c r="L1595" s="3" t="n">
        <v>73.8</v>
      </c>
      <c r="M1595" s="3" t="n">
        <v>55.5</v>
      </c>
      <c r="N1595" s="3" t="n">
        <v>18.3</v>
      </c>
      <c r="O1595">
        <f>TEXT(A1595,"yyyy-mm")</f>
        <v/>
      </c>
    </row>
    <row r="1596">
      <c r="A1596" s="2" t="n">
        <v>45785</v>
      </c>
      <c r="B1596" t="n">
        <v>2025</v>
      </c>
      <c r="C1596" t="inlineStr">
        <is>
          <t>May</t>
        </is>
      </c>
      <c r="D1596" t="inlineStr">
        <is>
          <t>Smart Coffee Beans</t>
        </is>
      </c>
      <c r="E1596" t="inlineStr">
        <is>
          <t>Grocery</t>
        </is>
      </c>
      <c r="F1596" t="inlineStr">
        <is>
          <t>Maria Martin</t>
        </is>
      </c>
      <c r="G1596" t="inlineStr">
        <is>
          <t>Germany</t>
        </is>
      </c>
      <c r="H1596" t="inlineStr">
        <is>
          <t>Marketplace</t>
        </is>
      </c>
      <c r="I1596" t="n">
        <v>4</v>
      </c>
      <c r="J1596" s="3" t="n">
        <v>433.2</v>
      </c>
      <c r="K1596" s="3" t="n">
        <v>0</v>
      </c>
      <c r="L1596" s="3" t="n">
        <v>433.2</v>
      </c>
      <c r="M1596" s="3" t="n">
        <v>291.4</v>
      </c>
      <c r="N1596" s="3" t="n">
        <v>141.8</v>
      </c>
      <c r="O1596">
        <f>TEXT(A1596,"yyyy-mm")</f>
        <v/>
      </c>
    </row>
    <row r="1597">
      <c r="A1597" s="2" t="n">
        <v>45785</v>
      </c>
      <c r="B1597" t="n">
        <v>2025</v>
      </c>
      <c r="C1597" t="inlineStr">
        <is>
          <t>May</t>
        </is>
      </c>
      <c r="D1597" t="inlineStr">
        <is>
          <t>Ultra Toolset</t>
        </is>
      </c>
      <c r="E1597" t="inlineStr">
        <is>
          <t>Home &amp; Garden</t>
        </is>
      </c>
      <c r="F1597" t="inlineStr">
        <is>
          <t>Robert Garcia</t>
        </is>
      </c>
      <c r="G1597" t="inlineStr">
        <is>
          <t>United Kingdom</t>
        </is>
      </c>
      <c r="H1597" t="inlineStr">
        <is>
          <t>Marketplace</t>
        </is>
      </c>
      <c r="I1597" t="n">
        <v>5</v>
      </c>
      <c r="J1597" s="3" t="n">
        <v>1767.1</v>
      </c>
      <c r="K1597" s="3" t="n">
        <v>0</v>
      </c>
      <c r="L1597" s="3" t="n">
        <v>1767.1</v>
      </c>
      <c r="M1597" s="3" t="n">
        <v>952</v>
      </c>
      <c r="N1597" s="3" t="n">
        <v>815.1</v>
      </c>
      <c r="O1597">
        <f>TEXT(A1597,"yyyy-mm")</f>
        <v/>
      </c>
    </row>
    <row r="1598">
      <c r="A1598" s="2" t="n">
        <v>45785</v>
      </c>
      <c r="B1598" t="n">
        <v>2025</v>
      </c>
      <c r="C1598" t="inlineStr">
        <is>
          <t>May</t>
        </is>
      </c>
      <c r="D1598" t="inlineStr">
        <is>
          <t>Classic Bike Helmet</t>
        </is>
      </c>
      <c r="E1598" t="inlineStr">
        <is>
          <t>Sports &amp; Outdoors</t>
        </is>
      </c>
      <c r="F1598" t="inlineStr">
        <is>
          <t>Robert Garcia</t>
        </is>
      </c>
      <c r="G1598" t="inlineStr">
        <is>
          <t>United Kingdom</t>
        </is>
      </c>
      <c r="H1598" t="inlineStr">
        <is>
          <t>Marketplace</t>
        </is>
      </c>
      <c r="I1598" t="n">
        <v>1</v>
      </c>
      <c r="J1598" s="3" t="n">
        <v>218.38</v>
      </c>
      <c r="K1598" s="3" t="n">
        <v>0</v>
      </c>
      <c r="L1598" s="3" t="n">
        <v>218.38</v>
      </c>
      <c r="M1598" s="3" t="n">
        <v>153.81</v>
      </c>
      <c r="N1598" s="3" t="n">
        <v>64.56999999999999</v>
      </c>
      <c r="O1598">
        <f>TEXT(A1598,"yyyy-mm")</f>
        <v/>
      </c>
    </row>
    <row r="1599">
      <c r="A1599" s="2" t="n">
        <v>45785</v>
      </c>
      <c r="B1599" t="n">
        <v>2025</v>
      </c>
      <c r="C1599" t="inlineStr">
        <is>
          <t>May</t>
        </is>
      </c>
      <c r="D1599" t="inlineStr">
        <is>
          <t>Wireless Honey</t>
        </is>
      </c>
      <c r="E1599" t="inlineStr">
        <is>
          <t>Grocery</t>
        </is>
      </c>
      <c r="F1599" t="inlineStr">
        <is>
          <t>Olivia Smith</t>
        </is>
      </c>
      <c r="G1599" t="inlineStr">
        <is>
          <t>Germany</t>
        </is>
      </c>
      <c r="H1599" t="inlineStr">
        <is>
          <t>Retail Store</t>
        </is>
      </c>
      <c r="I1599" t="n">
        <v>4</v>
      </c>
      <c r="J1599" s="3" t="n">
        <v>518.8</v>
      </c>
      <c r="K1599" s="3" t="n">
        <v>77.81999999999999</v>
      </c>
      <c r="L1599" s="3" t="n">
        <v>440.98</v>
      </c>
      <c r="M1599" s="3" t="n">
        <v>376.28</v>
      </c>
      <c r="N1599" s="3" t="n">
        <v>64.7</v>
      </c>
      <c r="O1599">
        <f>TEXT(A1599,"yyyy-mm")</f>
        <v/>
      </c>
    </row>
    <row r="1600">
      <c r="A1600" s="2" t="n">
        <v>45785</v>
      </c>
      <c r="B1600" t="n">
        <v>2025</v>
      </c>
      <c r="C1600" t="inlineStr">
        <is>
          <t>May</t>
        </is>
      </c>
      <c r="D1600" t="inlineStr">
        <is>
          <t>Smart Puzzle</t>
        </is>
      </c>
      <c r="E1600" t="inlineStr">
        <is>
          <t>Toys &amp; Games</t>
        </is>
      </c>
      <c r="F1600" t="inlineStr">
        <is>
          <t>Olivia Smith</t>
        </is>
      </c>
      <c r="G1600" t="inlineStr">
        <is>
          <t>Germany</t>
        </is>
      </c>
      <c r="H1600" t="inlineStr">
        <is>
          <t>Retail Store</t>
        </is>
      </c>
      <c r="I1600" t="n">
        <v>5</v>
      </c>
      <c r="J1600" s="3" t="n">
        <v>223.55</v>
      </c>
      <c r="K1600" s="3" t="n">
        <v>0</v>
      </c>
      <c r="L1600" s="3" t="n">
        <v>223.55</v>
      </c>
      <c r="M1600" s="3" t="n">
        <v>122.2</v>
      </c>
      <c r="N1600" s="3" t="n">
        <v>101.35</v>
      </c>
      <c r="O1600">
        <f>TEXT(A1600,"yyyy-mm")</f>
        <v/>
      </c>
    </row>
    <row r="1601">
      <c r="A1601" s="2" t="n">
        <v>45785</v>
      </c>
      <c r="B1601" t="n">
        <v>2025</v>
      </c>
      <c r="C1601" t="inlineStr">
        <is>
          <t>May</t>
        </is>
      </c>
      <c r="D1601" t="inlineStr">
        <is>
          <t>Smart Coffee Beans</t>
        </is>
      </c>
      <c r="E1601" t="inlineStr">
        <is>
          <t>Grocery</t>
        </is>
      </c>
      <c r="F1601" t="inlineStr">
        <is>
          <t>Paul Schmidt</t>
        </is>
      </c>
      <c r="G1601" t="inlineStr">
        <is>
          <t>Poland</t>
        </is>
      </c>
      <c r="H1601" t="inlineStr">
        <is>
          <t>Retail Store</t>
        </is>
      </c>
      <c r="I1601" t="n">
        <v>2</v>
      </c>
      <c r="J1601" s="3" t="n">
        <v>207.88</v>
      </c>
      <c r="K1601" s="3" t="n">
        <v>41.58</v>
      </c>
      <c r="L1601" s="3" t="n">
        <v>166.3</v>
      </c>
      <c r="M1601" s="3" t="n">
        <v>145.7</v>
      </c>
      <c r="N1601" s="3" t="n">
        <v>20.6</v>
      </c>
      <c r="O1601">
        <f>TEXT(A1601,"yyyy-mm")</f>
        <v/>
      </c>
    </row>
    <row r="1602">
      <c r="A1602" s="2" t="n">
        <v>45786</v>
      </c>
      <c r="B1602" t="n">
        <v>2025</v>
      </c>
      <c r="C1602" t="inlineStr">
        <is>
          <t>May</t>
        </is>
      </c>
      <c r="D1602" t="inlineStr">
        <is>
          <t>Classic Bike Helmet</t>
        </is>
      </c>
      <c r="E1602" t="inlineStr">
        <is>
          <t>Sports &amp; Outdoors</t>
        </is>
      </c>
      <c r="F1602" t="inlineStr">
        <is>
          <t>Emily Nowak</t>
        </is>
      </c>
      <c r="G1602" t="inlineStr">
        <is>
          <t>Netherlands</t>
        </is>
      </c>
      <c r="H1602" t="inlineStr">
        <is>
          <t>Retail Store</t>
        </is>
      </c>
      <c r="I1602" t="n">
        <v>5</v>
      </c>
      <c r="J1602" s="3" t="n">
        <v>1090.6</v>
      </c>
      <c r="K1602" s="3" t="n">
        <v>0</v>
      </c>
      <c r="L1602" s="3" t="n">
        <v>1090.6</v>
      </c>
      <c r="M1602" s="3" t="n">
        <v>769.05</v>
      </c>
      <c r="N1602" s="3" t="n">
        <v>321.55</v>
      </c>
      <c r="O1602">
        <f>TEXT(A1602,"yyyy-mm")</f>
        <v/>
      </c>
    </row>
    <row r="1603">
      <c r="A1603" s="2" t="n">
        <v>45786</v>
      </c>
      <c r="B1603" t="n">
        <v>2025</v>
      </c>
      <c r="C1603" t="inlineStr">
        <is>
          <t>May</t>
        </is>
      </c>
      <c r="D1603" t="inlineStr">
        <is>
          <t>Compact Sunscreen</t>
        </is>
      </c>
      <c r="E1603" t="inlineStr">
        <is>
          <t>Beauty &amp; Health</t>
        </is>
      </c>
      <c r="F1603" t="inlineStr">
        <is>
          <t>John Muller</t>
        </is>
      </c>
      <c r="G1603" t="inlineStr">
        <is>
          <t>France</t>
        </is>
      </c>
      <c r="H1603" t="inlineStr">
        <is>
          <t>Marketplace</t>
        </is>
      </c>
      <c r="I1603" t="n">
        <v>1</v>
      </c>
      <c r="J1603" s="3" t="n">
        <v>296.6</v>
      </c>
      <c r="K1603" s="3" t="n">
        <v>0</v>
      </c>
      <c r="L1603" s="3" t="n">
        <v>296.6</v>
      </c>
      <c r="M1603" s="3" t="n">
        <v>177.66</v>
      </c>
      <c r="N1603" s="3" t="n">
        <v>118.94</v>
      </c>
      <c r="O1603">
        <f>TEXT(A1603,"yyyy-mm")</f>
        <v/>
      </c>
    </row>
    <row r="1604">
      <c r="A1604" s="2" t="n">
        <v>45786</v>
      </c>
      <c r="B1604" t="n">
        <v>2025</v>
      </c>
      <c r="C1604" t="inlineStr">
        <is>
          <t>May</t>
        </is>
      </c>
      <c r="D1604" t="inlineStr">
        <is>
          <t>Smart Coffee Beans</t>
        </is>
      </c>
      <c r="E1604" t="inlineStr">
        <is>
          <t>Grocery</t>
        </is>
      </c>
      <c r="F1604" t="inlineStr">
        <is>
          <t>John Muller</t>
        </is>
      </c>
      <c r="G1604" t="inlineStr">
        <is>
          <t>France</t>
        </is>
      </c>
      <c r="H1604" t="inlineStr">
        <is>
          <t>Marketplace</t>
        </is>
      </c>
      <c r="I1604" t="n">
        <v>5</v>
      </c>
      <c r="J1604" s="3" t="n">
        <v>570.4</v>
      </c>
      <c r="K1604" s="3" t="n">
        <v>0</v>
      </c>
      <c r="L1604" s="3" t="n">
        <v>570.4</v>
      </c>
      <c r="M1604" s="3" t="n">
        <v>364.25</v>
      </c>
      <c r="N1604" s="3" t="n">
        <v>206.15</v>
      </c>
      <c r="O1604">
        <f>TEXT(A1604,"yyyy-mm")</f>
        <v/>
      </c>
    </row>
    <row r="1605">
      <c r="A1605" s="2" t="n">
        <v>45786</v>
      </c>
      <c r="B1605" t="n">
        <v>2025</v>
      </c>
      <c r="C1605" t="inlineStr">
        <is>
          <t>May</t>
        </is>
      </c>
      <c r="D1605" t="inlineStr">
        <is>
          <t>Premium Water Bottle</t>
        </is>
      </c>
      <c r="E1605" t="inlineStr">
        <is>
          <t>Sports &amp; Outdoors</t>
        </is>
      </c>
      <c r="F1605" t="inlineStr">
        <is>
          <t>John Muller</t>
        </is>
      </c>
      <c r="G1605" t="inlineStr">
        <is>
          <t>France</t>
        </is>
      </c>
      <c r="H1605" t="inlineStr">
        <is>
          <t>Marketplace</t>
        </is>
      </c>
      <c r="I1605" t="n">
        <v>1</v>
      </c>
      <c r="J1605" s="3" t="n">
        <v>116.43</v>
      </c>
      <c r="K1605" s="3" t="n">
        <v>5.82</v>
      </c>
      <c r="L1605" s="3" t="n">
        <v>110.61</v>
      </c>
      <c r="M1605" s="3" t="n">
        <v>89.62</v>
      </c>
      <c r="N1605" s="3" t="n">
        <v>20.99</v>
      </c>
      <c r="O1605">
        <f>TEXT(A1605,"yyyy-mm")</f>
        <v/>
      </c>
    </row>
    <row r="1606">
      <c r="A1606" s="2" t="n">
        <v>45787</v>
      </c>
      <c r="B1606" t="n">
        <v>2025</v>
      </c>
      <c r="C1606" t="inlineStr">
        <is>
          <t>May</t>
        </is>
      </c>
      <c r="D1606" t="inlineStr">
        <is>
          <t>Deluxe Notebook</t>
        </is>
      </c>
      <c r="E1606" t="inlineStr">
        <is>
          <t>Books</t>
        </is>
      </c>
      <c r="F1606" t="inlineStr">
        <is>
          <t>Thomas Nowak</t>
        </is>
      </c>
      <c r="G1606" t="inlineStr">
        <is>
          <t>Germany</t>
        </is>
      </c>
      <c r="H1606" t="inlineStr">
        <is>
          <t>Web Store</t>
        </is>
      </c>
      <c r="I1606" t="n">
        <v>3</v>
      </c>
      <c r="J1606" s="3" t="n">
        <v>628.2</v>
      </c>
      <c r="K1606" s="3" t="n">
        <v>0</v>
      </c>
      <c r="L1606" s="3" t="n">
        <v>628.2</v>
      </c>
      <c r="M1606" s="3" t="n">
        <v>452.28</v>
      </c>
      <c r="N1606" s="3" t="n">
        <v>175.92</v>
      </c>
      <c r="O1606">
        <f>TEXT(A1606,"yyyy-mm")</f>
        <v/>
      </c>
    </row>
    <row r="1607">
      <c r="A1607" s="2" t="n">
        <v>45787</v>
      </c>
      <c r="B1607" t="n">
        <v>2025</v>
      </c>
      <c r="C1607" t="inlineStr">
        <is>
          <t>May</t>
        </is>
      </c>
      <c r="D1607" t="inlineStr">
        <is>
          <t>Ultra Vitamins</t>
        </is>
      </c>
      <c r="E1607" t="inlineStr">
        <is>
          <t>Beauty &amp; Health</t>
        </is>
      </c>
      <c r="F1607" t="inlineStr">
        <is>
          <t>James Smith</t>
        </is>
      </c>
      <c r="G1607" t="inlineStr">
        <is>
          <t>Italy</t>
        </is>
      </c>
      <c r="H1607" t="inlineStr">
        <is>
          <t>Retail Store</t>
        </is>
      </c>
      <c r="I1607" t="n">
        <v>1</v>
      </c>
      <c r="J1607" s="3" t="n">
        <v>200.82</v>
      </c>
      <c r="K1607" s="3" t="n">
        <v>0</v>
      </c>
      <c r="L1607" s="3" t="n">
        <v>200.82</v>
      </c>
      <c r="M1607" s="3" t="n">
        <v>126.1</v>
      </c>
      <c r="N1607" s="3" t="n">
        <v>74.72</v>
      </c>
      <c r="O1607">
        <f>TEXT(A1607,"yyyy-mm")</f>
        <v/>
      </c>
    </row>
    <row r="1608">
      <c r="A1608" s="2" t="n">
        <v>45787</v>
      </c>
      <c r="B1608" t="n">
        <v>2025</v>
      </c>
      <c r="C1608" t="inlineStr">
        <is>
          <t>May</t>
        </is>
      </c>
      <c r="D1608" t="inlineStr">
        <is>
          <t>Wireless Coffee Beans</t>
        </is>
      </c>
      <c r="E1608" t="inlineStr">
        <is>
          <t>Grocery</t>
        </is>
      </c>
      <c r="F1608" t="inlineStr">
        <is>
          <t>James Smith</t>
        </is>
      </c>
      <c r="G1608" t="inlineStr">
        <is>
          <t>Italy</t>
        </is>
      </c>
      <c r="H1608" t="inlineStr">
        <is>
          <t>Retail Store</t>
        </is>
      </c>
      <c r="I1608" t="n">
        <v>1</v>
      </c>
      <c r="J1608" s="3" t="n">
        <v>115.2</v>
      </c>
      <c r="K1608" s="3" t="n">
        <v>23.04</v>
      </c>
      <c r="L1608" s="3" t="n">
        <v>92.16</v>
      </c>
      <c r="M1608" s="3" t="n">
        <v>79.37</v>
      </c>
      <c r="N1608" s="3" t="n">
        <v>12.79</v>
      </c>
      <c r="O1608">
        <f>TEXT(A1608,"yyyy-mm")</f>
        <v/>
      </c>
    </row>
    <row r="1609">
      <c r="A1609" s="2" t="n">
        <v>45787</v>
      </c>
      <c r="B1609" t="n">
        <v>2025</v>
      </c>
      <c r="C1609" t="inlineStr">
        <is>
          <t>May</t>
        </is>
      </c>
      <c r="D1609" t="inlineStr">
        <is>
          <t>Classic Bike Helmet</t>
        </is>
      </c>
      <c r="E1609" t="inlineStr">
        <is>
          <t>Sports &amp; Outdoors</t>
        </is>
      </c>
      <c r="F1609" t="inlineStr">
        <is>
          <t>James Smith</t>
        </is>
      </c>
      <c r="G1609" t="inlineStr">
        <is>
          <t>Italy</t>
        </is>
      </c>
      <c r="H1609" t="inlineStr">
        <is>
          <t>Retail Store</t>
        </is>
      </c>
      <c r="I1609" t="n">
        <v>4</v>
      </c>
      <c r="J1609" s="3" t="n">
        <v>894.24</v>
      </c>
      <c r="K1609" s="3" t="n">
        <v>89.42</v>
      </c>
      <c r="L1609" s="3" t="n">
        <v>804.8200000000001</v>
      </c>
      <c r="M1609" s="3" t="n">
        <v>615.24</v>
      </c>
      <c r="N1609" s="3" t="n">
        <v>189.58</v>
      </c>
      <c r="O1609">
        <f>TEXT(A1609,"yyyy-mm")</f>
        <v/>
      </c>
    </row>
    <row r="1610">
      <c r="A1610" s="2" t="n">
        <v>45787</v>
      </c>
      <c r="B1610" t="n">
        <v>2025</v>
      </c>
      <c r="C1610" t="inlineStr">
        <is>
          <t>May</t>
        </is>
      </c>
      <c r="D1610" t="inlineStr">
        <is>
          <t>Smart Cookbook</t>
        </is>
      </c>
      <c r="E1610" t="inlineStr">
        <is>
          <t>Books</t>
        </is>
      </c>
      <c r="F1610" t="inlineStr">
        <is>
          <t>Emma Muller</t>
        </is>
      </c>
      <c r="G1610" t="inlineStr">
        <is>
          <t>United States</t>
        </is>
      </c>
      <c r="H1610" t="inlineStr">
        <is>
          <t>Marketplace</t>
        </is>
      </c>
      <c r="I1610" t="n">
        <v>3</v>
      </c>
      <c r="J1610" s="3" t="n">
        <v>55.74</v>
      </c>
      <c r="K1610" s="3" t="n">
        <v>11.15</v>
      </c>
      <c r="L1610" s="3" t="n">
        <v>44.59</v>
      </c>
      <c r="M1610" s="3" t="n">
        <v>29.64</v>
      </c>
      <c r="N1610" s="3" t="n">
        <v>14.95</v>
      </c>
      <c r="O1610">
        <f>TEXT(A1610,"yyyy-mm")</f>
        <v/>
      </c>
    </row>
    <row r="1611">
      <c r="A1611" s="2" t="n">
        <v>45787</v>
      </c>
      <c r="B1611" t="n">
        <v>2025</v>
      </c>
      <c r="C1611" t="inlineStr">
        <is>
          <t>May</t>
        </is>
      </c>
      <c r="D1611" t="inlineStr">
        <is>
          <t>Smart Puzzle</t>
        </is>
      </c>
      <c r="E1611" t="inlineStr">
        <is>
          <t>Toys &amp; Games</t>
        </is>
      </c>
      <c r="F1611" t="inlineStr">
        <is>
          <t>Emma Muller</t>
        </is>
      </c>
      <c r="G1611" t="inlineStr">
        <is>
          <t>United States</t>
        </is>
      </c>
      <c r="H1611" t="inlineStr">
        <is>
          <t>Marketplace</t>
        </is>
      </c>
      <c r="I1611" t="n">
        <v>1</v>
      </c>
      <c r="J1611" s="3" t="n">
        <v>257.51</v>
      </c>
      <c r="K1611" s="3" t="n">
        <v>0</v>
      </c>
      <c r="L1611" s="3" t="n">
        <v>257.51</v>
      </c>
      <c r="M1611" s="3" t="n">
        <v>192.76</v>
      </c>
      <c r="N1611" s="3" t="n">
        <v>64.75</v>
      </c>
      <c r="O1611">
        <f>TEXT(A1611,"yyyy-mm")</f>
        <v/>
      </c>
    </row>
    <row r="1612">
      <c r="A1612" s="2" t="n">
        <v>45788</v>
      </c>
      <c r="B1612" t="n">
        <v>2025</v>
      </c>
      <c r="C1612" t="inlineStr">
        <is>
          <t>May</t>
        </is>
      </c>
      <c r="D1612" t="inlineStr">
        <is>
          <t>Deluxe Puzzle</t>
        </is>
      </c>
      <c r="E1612" t="inlineStr">
        <is>
          <t>Toys &amp; Games</t>
        </is>
      </c>
      <c r="F1612" t="inlineStr">
        <is>
          <t>Emma Schmidt</t>
        </is>
      </c>
      <c r="G1612" t="inlineStr">
        <is>
          <t>France</t>
        </is>
      </c>
      <c r="H1612" t="inlineStr">
        <is>
          <t>Web Store</t>
        </is>
      </c>
      <c r="I1612" t="n">
        <v>2</v>
      </c>
      <c r="J1612" s="3" t="n">
        <v>426.78</v>
      </c>
      <c r="K1612" s="3" t="n">
        <v>0</v>
      </c>
      <c r="L1612" s="3" t="n">
        <v>426.78</v>
      </c>
      <c r="M1612" s="3" t="n">
        <v>222.34</v>
      </c>
      <c r="N1612" s="3" t="n">
        <v>204.44</v>
      </c>
      <c r="O1612">
        <f>TEXT(A1612,"yyyy-mm")</f>
        <v/>
      </c>
    </row>
    <row r="1613">
      <c r="A1613" s="2" t="n">
        <v>45788</v>
      </c>
      <c r="B1613" t="n">
        <v>2025</v>
      </c>
      <c r="C1613" t="inlineStr">
        <is>
          <t>May</t>
        </is>
      </c>
      <c r="D1613" t="inlineStr">
        <is>
          <t>Ultra Rug</t>
        </is>
      </c>
      <c r="E1613" t="inlineStr">
        <is>
          <t>Home &amp; Garden</t>
        </is>
      </c>
      <c r="F1613" t="inlineStr">
        <is>
          <t>Emma Schmidt</t>
        </is>
      </c>
      <c r="G1613" t="inlineStr">
        <is>
          <t>France</t>
        </is>
      </c>
      <c r="H1613" t="inlineStr">
        <is>
          <t>Web Store</t>
        </is>
      </c>
      <c r="I1613" t="n">
        <v>4</v>
      </c>
      <c r="J1613" s="3" t="n">
        <v>200.32</v>
      </c>
      <c r="K1613" s="3" t="n">
        <v>40.06</v>
      </c>
      <c r="L1613" s="3" t="n">
        <v>160.26</v>
      </c>
      <c r="M1613" s="3" t="n">
        <v>131.64</v>
      </c>
      <c r="N1613" s="3" t="n">
        <v>28.62</v>
      </c>
      <c r="O1613">
        <f>TEXT(A1613,"yyyy-mm")</f>
        <v/>
      </c>
    </row>
    <row r="1614">
      <c r="A1614" s="2" t="n">
        <v>45788</v>
      </c>
      <c r="B1614" t="n">
        <v>2025</v>
      </c>
      <c r="C1614" t="inlineStr">
        <is>
          <t>May</t>
        </is>
      </c>
      <c r="D1614" t="inlineStr">
        <is>
          <t>Essential Lamp</t>
        </is>
      </c>
      <c r="E1614" t="inlineStr">
        <is>
          <t>Home &amp; Garden</t>
        </is>
      </c>
      <c r="F1614" t="inlineStr">
        <is>
          <t>Anna Fischer</t>
        </is>
      </c>
      <c r="G1614" t="inlineStr">
        <is>
          <t>Spain</t>
        </is>
      </c>
      <c r="H1614" t="inlineStr">
        <is>
          <t>Retail Store</t>
        </is>
      </c>
      <c r="I1614" t="n">
        <v>2</v>
      </c>
      <c r="J1614" s="3" t="n">
        <v>123.9</v>
      </c>
      <c r="K1614" s="3" t="n">
        <v>18.58</v>
      </c>
      <c r="L1614" s="3" t="n">
        <v>105.32</v>
      </c>
      <c r="M1614" s="3" t="n">
        <v>90.8</v>
      </c>
      <c r="N1614" s="3" t="n">
        <v>14.52</v>
      </c>
      <c r="O1614">
        <f>TEXT(A1614,"yyyy-mm")</f>
        <v/>
      </c>
    </row>
    <row r="1615">
      <c r="A1615" s="2" t="n">
        <v>45788</v>
      </c>
      <c r="B1615" t="n">
        <v>2025</v>
      </c>
      <c r="C1615" t="inlineStr">
        <is>
          <t>May</t>
        </is>
      </c>
      <c r="D1615" t="inlineStr">
        <is>
          <t>Smart Puzzle</t>
        </is>
      </c>
      <c r="E1615" t="inlineStr">
        <is>
          <t>Toys &amp; Games</t>
        </is>
      </c>
      <c r="F1615" t="inlineStr">
        <is>
          <t>Anna Fischer</t>
        </is>
      </c>
      <c r="G1615" t="inlineStr">
        <is>
          <t>Spain</t>
        </is>
      </c>
      <c r="H1615" t="inlineStr">
        <is>
          <t>Retail Store</t>
        </is>
      </c>
      <c r="I1615" t="n">
        <v>3</v>
      </c>
      <c r="J1615" s="3" t="n">
        <v>138.48</v>
      </c>
      <c r="K1615" s="3" t="n">
        <v>13.85</v>
      </c>
      <c r="L1615" s="3" t="n">
        <v>124.63</v>
      </c>
      <c r="M1615" s="3" t="n">
        <v>73.31999999999999</v>
      </c>
      <c r="N1615" s="3" t="n">
        <v>51.31</v>
      </c>
      <c r="O1615">
        <f>TEXT(A1615,"yyyy-mm")</f>
        <v/>
      </c>
    </row>
    <row r="1616">
      <c r="A1616" s="2" t="n">
        <v>45788</v>
      </c>
      <c r="B1616" t="n">
        <v>2025</v>
      </c>
      <c r="C1616" t="inlineStr">
        <is>
          <t>May</t>
        </is>
      </c>
      <c r="D1616" t="inlineStr">
        <is>
          <t>Essential Cushion</t>
        </is>
      </c>
      <c r="E1616" t="inlineStr">
        <is>
          <t>Home &amp; Garden</t>
        </is>
      </c>
      <c r="F1616" t="inlineStr">
        <is>
          <t>Anna Fischer</t>
        </is>
      </c>
      <c r="G1616" t="inlineStr">
        <is>
          <t>Spain</t>
        </is>
      </c>
      <c r="H1616" t="inlineStr">
        <is>
          <t>Retail Store</t>
        </is>
      </c>
      <c r="I1616" t="n">
        <v>3</v>
      </c>
      <c r="J1616" s="3" t="n">
        <v>130.29</v>
      </c>
      <c r="K1616" s="3" t="n">
        <v>0</v>
      </c>
      <c r="L1616" s="3" t="n">
        <v>130.29</v>
      </c>
      <c r="M1616" s="3" t="n">
        <v>91.65000000000001</v>
      </c>
      <c r="N1616" s="3" t="n">
        <v>38.64</v>
      </c>
      <c r="O1616">
        <f>TEXT(A1616,"yyyy-mm")</f>
        <v/>
      </c>
    </row>
    <row r="1617">
      <c r="A1617" s="2" t="n">
        <v>45788</v>
      </c>
      <c r="B1617" t="n">
        <v>2025</v>
      </c>
      <c r="C1617" t="inlineStr">
        <is>
          <t>May</t>
        </is>
      </c>
      <c r="D1617" t="inlineStr">
        <is>
          <t>Ultra Vitamins</t>
        </is>
      </c>
      <c r="E1617" t="inlineStr">
        <is>
          <t>Beauty &amp; Health</t>
        </is>
      </c>
      <c r="F1617" t="inlineStr">
        <is>
          <t>Anna Fischer</t>
        </is>
      </c>
      <c r="G1617" t="inlineStr">
        <is>
          <t>Spain</t>
        </is>
      </c>
      <c r="H1617" t="inlineStr">
        <is>
          <t>Retail Store</t>
        </is>
      </c>
      <c r="I1617" t="n">
        <v>5</v>
      </c>
      <c r="J1617" s="3" t="n">
        <v>1065.25</v>
      </c>
      <c r="K1617" s="3" t="n">
        <v>0</v>
      </c>
      <c r="L1617" s="3" t="n">
        <v>1065.25</v>
      </c>
      <c r="M1617" s="3" t="n">
        <v>630.5</v>
      </c>
      <c r="N1617" s="3" t="n">
        <v>434.75</v>
      </c>
      <c r="O1617">
        <f>TEXT(A1617,"yyyy-mm")</f>
        <v/>
      </c>
    </row>
    <row r="1618">
      <c r="A1618" s="2" t="n">
        <v>45789</v>
      </c>
      <c r="B1618" t="n">
        <v>2025</v>
      </c>
      <c r="C1618" t="inlineStr">
        <is>
          <t>May</t>
        </is>
      </c>
      <c r="D1618" t="inlineStr">
        <is>
          <t>Smart Sweater</t>
        </is>
      </c>
      <c r="E1618" t="inlineStr">
        <is>
          <t>Clothing</t>
        </is>
      </c>
      <c r="F1618" t="inlineStr">
        <is>
          <t>Thomas Kowalski</t>
        </is>
      </c>
      <c r="G1618" t="inlineStr">
        <is>
          <t>Poland</t>
        </is>
      </c>
      <c r="H1618" t="inlineStr">
        <is>
          <t>Retail Store</t>
        </is>
      </c>
      <c r="I1618" t="n">
        <v>3</v>
      </c>
      <c r="J1618" s="3" t="n">
        <v>445.62</v>
      </c>
      <c r="K1618" s="3" t="n">
        <v>66.84</v>
      </c>
      <c r="L1618" s="3" t="n">
        <v>378.78</v>
      </c>
      <c r="M1618" s="3" t="n">
        <v>232.05</v>
      </c>
      <c r="N1618" s="3" t="n">
        <v>146.73</v>
      </c>
      <c r="O1618">
        <f>TEXT(A1618,"yyyy-mm")</f>
        <v/>
      </c>
    </row>
    <row r="1619">
      <c r="A1619" s="2" t="n">
        <v>45789</v>
      </c>
      <c r="B1619" t="n">
        <v>2025</v>
      </c>
      <c r="C1619" t="inlineStr">
        <is>
          <t>May</t>
        </is>
      </c>
      <c r="D1619" t="inlineStr">
        <is>
          <t>Smart Puzzle</t>
        </is>
      </c>
      <c r="E1619" t="inlineStr">
        <is>
          <t>Toys &amp; Games</t>
        </is>
      </c>
      <c r="F1619" t="inlineStr">
        <is>
          <t>Thomas Kowalski</t>
        </is>
      </c>
      <c r="G1619" t="inlineStr">
        <is>
          <t>Poland</t>
        </is>
      </c>
      <c r="H1619" t="inlineStr">
        <is>
          <t>Retail Store</t>
        </is>
      </c>
      <c r="I1619" t="n">
        <v>2</v>
      </c>
      <c r="J1619" s="3" t="n">
        <v>91.95999999999999</v>
      </c>
      <c r="K1619" s="3" t="n">
        <v>4.6</v>
      </c>
      <c r="L1619" s="3" t="n">
        <v>87.36</v>
      </c>
      <c r="M1619" s="3" t="n">
        <v>48.88</v>
      </c>
      <c r="N1619" s="3" t="n">
        <v>38.48</v>
      </c>
      <c r="O1619">
        <f>TEXT(A1619,"yyyy-mm")</f>
        <v/>
      </c>
    </row>
    <row r="1620">
      <c r="A1620" s="2" t="n">
        <v>45789</v>
      </c>
      <c r="B1620" t="n">
        <v>2025</v>
      </c>
      <c r="C1620" t="inlineStr">
        <is>
          <t>May</t>
        </is>
      </c>
      <c r="D1620" t="inlineStr">
        <is>
          <t>Eco Sweater</t>
        </is>
      </c>
      <c r="E1620" t="inlineStr">
        <is>
          <t>Clothing</t>
        </is>
      </c>
      <c r="F1620" t="inlineStr">
        <is>
          <t>Thomas Kowalski</t>
        </is>
      </c>
      <c r="G1620" t="inlineStr">
        <is>
          <t>Poland</t>
        </is>
      </c>
      <c r="H1620" t="inlineStr">
        <is>
          <t>Retail Store</t>
        </is>
      </c>
      <c r="I1620" t="n">
        <v>3</v>
      </c>
      <c r="J1620" s="3" t="n">
        <v>456.87</v>
      </c>
      <c r="K1620" s="3" t="n">
        <v>45.69</v>
      </c>
      <c r="L1620" s="3" t="n">
        <v>411.18</v>
      </c>
      <c r="M1620" s="3" t="n">
        <v>312.69</v>
      </c>
      <c r="N1620" s="3" t="n">
        <v>98.48999999999999</v>
      </c>
      <c r="O1620">
        <f>TEXT(A1620,"yyyy-mm")</f>
        <v/>
      </c>
    </row>
    <row r="1621">
      <c r="A1621" s="2" t="n">
        <v>45789</v>
      </c>
      <c r="B1621" t="n">
        <v>2025</v>
      </c>
      <c r="C1621" t="inlineStr">
        <is>
          <t>May</t>
        </is>
      </c>
      <c r="D1621" t="inlineStr">
        <is>
          <t>Essential Toolset</t>
        </is>
      </c>
      <c r="E1621" t="inlineStr">
        <is>
          <t>Home &amp; Garden</t>
        </is>
      </c>
      <c r="F1621" t="inlineStr">
        <is>
          <t>Sophie Wilson</t>
        </is>
      </c>
      <c r="G1621" t="inlineStr">
        <is>
          <t>Poland</t>
        </is>
      </c>
      <c r="H1621" t="inlineStr">
        <is>
          <t>Web Store</t>
        </is>
      </c>
      <c r="I1621" t="n">
        <v>3</v>
      </c>
      <c r="J1621" s="3" t="n">
        <v>599.55</v>
      </c>
      <c r="K1621" s="3" t="n">
        <v>0</v>
      </c>
      <c r="L1621" s="3" t="n">
        <v>599.55</v>
      </c>
      <c r="M1621" s="3" t="n">
        <v>451.59</v>
      </c>
      <c r="N1621" s="3" t="n">
        <v>147.96</v>
      </c>
      <c r="O1621">
        <f>TEXT(A1621,"yyyy-mm")</f>
        <v/>
      </c>
    </row>
    <row r="1622">
      <c r="A1622" s="2" t="n">
        <v>45789</v>
      </c>
      <c r="B1622" t="n">
        <v>2025</v>
      </c>
      <c r="C1622" t="inlineStr">
        <is>
          <t>May</t>
        </is>
      </c>
      <c r="D1622" t="inlineStr">
        <is>
          <t>Premium Water Bottle</t>
        </is>
      </c>
      <c r="E1622" t="inlineStr">
        <is>
          <t>Sports &amp; Outdoors</t>
        </is>
      </c>
      <c r="F1622" t="inlineStr">
        <is>
          <t>Sophie Wilson</t>
        </is>
      </c>
      <c r="G1622" t="inlineStr">
        <is>
          <t>Poland</t>
        </is>
      </c>
      <c r="H1622" t="inlineStr">
        <is>
          <t>Web Store</t>
        </is>
      </c>
      <c r="I1622" t="n">
        <v>3</v>
      </c>
      <c r="J1622" s="3" t="n">
        <v>911.34</v>
      </c>
      <c r="K1622" s="3" t="n">
        <v>182.27</v>
      </c>
      <c r="L1622" s="3" t="n">
        <v>729.0700000000001</v>
      </c>
      <c r="M1622" s="3" t="n">
        <v>543.48</v>
      </c>
      <c r="N1622" s="3" t="n">
        <v>185.59</v>
      </c>
      <c r="O1622">
        <f>TEXT(A1622,"yyyy-mm")</f>
        <v/>
      </c>
    </row>
    <row r="1623">
      <c r="A1623" s="2" t="n">
        <v>45789</v>
      </c>
      <c r="B1623" t="n">
        <v>2025</v>
      </c>
      <c r="C1623" t="inlineStr">
        <is>
          <t>May</t>
        </is>
      </c>
      <c r="D1623" t="inlineStr">
        <is>
          <t>Deluxe Headphones</t>
        </is>
      </c>
      <c r="E1623" t="inlineStr">
        <is>
          <t>Electronics</t>
        </is>
      </c>
      <c r="F1623" t="inlineStr">
        <is>
          <t>Sophie Wilson</t>
        </is>
      </c>
      <c r="G1623" t="inlineStr">
        <is>
          <t>Poland</t>
        </is>
      </c>
      <c r="H1623" t="inlineStr">
        <is>
          <t>Web Store</t>
        </is>
      </c>
      <c r="I1623" t="n">
        <v>5</v>
      </c>
      <c r="J1623" s="3" t="n">
        <v>373.7</v>
      </c>
      <c r="K1623" s="3" t="n">
        <v>18.68</v>
      </c>
      <c r="L1623" s="3" t="n">
        <v>355.02</v>
      </c>
      <c r="M1623" s="3" t="n">
        <v>262.5</v>
      </c>
      <c r="N1623" s="3" t="n">
        <v>92.51000000000001</v>
      </c>
      <c r="O1623">
        <f>TEXT(A1623,"yyyy-mm")</f>
        <v/>
      </c>
    </row>
    <row r="1624">
      <c r="A1624" s="2" t="n">
        <v>45789</v>
      </c>
      <c r="B1624" t="n">
        <v>2025</v>
      </c>
      <c r="C1624" t="inlineStr">
        <is>
          <t>May</t>
        </is>
      </c>
      <c r="D1624" t="inlineStr">
        <is>
          <t>Classic Tent</t>
        </is>
      </c>
      <c r="E1624" t="inlineStr">
        <is>
          <t>Sports &amp; Outdoors</t>
        </is>
      </c>
      <c r="F1624" t="inlineStr">
        <is>
          <t>Clara Martin</t>
        </is>
      </c>
      <c r="G1624" t="inlineStr">
        <is>
          <t>United States</t>
        </is>
      </c>
      <c r="H1624" t="inlineStr">
        <is>
          <t>Mobile App</t>
        </is>
      </c>
      <c r="I1624" t="n">
        <v>2</v>
      </c>
      <c r="J1624" s="3" t="n">
        <v>424.6</v>
      </c>
      <c r="K1624" s="3" t="n">
        <v>42.46</v>
      </c>
      <c r="L1624" s="3" t="n">
        <v>382.14</v>
      </c>
      <c r="M1624" s="3" t="n">
        <v>236.04</v>
      </c>
      <c r="N1624" s="3" t="n">
        <v>146.1</v>
      </c>
      <c r="O1624">
        <f>TEXT(A1624,"yyyy-mm")</f>
        <v/>
      </c>
    </row>
    <row r="1625">
      <c r="A1625" s="2" t="n">
        <v>45789</v>
      </c>
      <c r="B1625" t="n">
        <v>2025</v>
      </c>
      <c r="C1625" t="inlineStr">
        <is>
          <t>May</t>
        </is>
      </c>
      <c r="D1625" t="inlineStr">
        <is>
          <t>Eco Tent</t>
        </is>
      </c>
      <c r="E1625" t="inlineStr">
        <is>
          <t>Sports &amp; Outdoors</t>
        </is>
      </c>
      <c r="F1625" t="inlineStr">
        <is>
          <t>Clara Martin</t>
        </is>
      </c>
      <c r="G1625" t="inlineStr">
        <is>
          <t>United States</t>
        </is>
      </c>
      <c r="H1625" t="inlineStr">
        <is>
          <t>Mobile App</t>
        </is>
      </c>
      <c r="I1625" t="n">
        <v>5</v>
      </c>
      <c r="J1625" s="3" t="n">
        <v>1296.25</v>
      </c>
      <c r="K1625" s="3" t="n">
        <v>259.25</v>
      </c>
      <c r="L1625" s="3" t="n">
        <v>1037</v>
      </c>
      <c r="M1625" s="3" t="n">
        <v>675.15</v>
      </c>
      <c r="N1625" s="3" t="n">
        <v>361.85</v>
      </c>
      <c r="O1625">
        <f>TEXT(A1625,"yyyy-mm")</f>
        <v/>
      </c>
    </row>
    <row r="1626">
      <c r="A1626" s="2" t="n">
        <v>45789</v>
      </c>
      <c r="B1626" t="n">
        <v>2025</v>
      </c>
      <c r="C1626" t="inlineStr">
        <is>
          <t>May</t>
        </is>
      </c>
      <c r="D1626" t="inlineStr">
        <is>
          <t>Ultra Backpack</t>
        </is>
      </c>
      <c r="E1626" t="inlineStr">
        <is>
          <t>Sports &amp; Outdoors</t>
        </is>
      </c>
      <c r="F1626" t="inlineStr">
        <is>
          <t>Clara Martin</t>
        </is>
      </c>
      <c r="G1626" t="inlineStr">
        <is>
          <t>United States</t>
        </is>
      </c>
      <c r="H1626" t="inlineStr">
        <is>
          <t>Mobile App</t>
        </is>
      </c>
      <c r="I1626" t="n">
        <v>1</v>
      </c>
      <c r="J1626" s="3" t="n">
        <v>319.01</v>
      </c>
      <c r="K1626" s="3" t="n">
        <v>63.8</v>
      </c>
      <c r="L1626" s="3" t="n">
        <v>255.21</v>
      </c>
      <c r="M1626" s="3" t="n">
        <v>173.69</v>
      </c>
      <c r="N1626" s="3" t="n">
        <v>81.52</v>
      </c>
      <c r="O1626">
        <f>TEXT(A1626,"yyyy-mm")</f>
        <v/>
      </c>
    </row>
    <row r="1627">
      <c r="A1627" s="2" t="n">
        <v>45789</v>
      </c>
      <c r="B1627" t="n">
        <v>2025</v>
      </c>
      <c r="C1627" t="inlineStr">
        <is>
          <t>May</t>
        </is>
      </c>
      <c r="D1627" t="inlineStr">
        <is>
          <t>Wireless Coffee Beans</t>
        </is>
      </c>
      <c r="E1627" t="inlineStr">
        <is>
          <t>Grocery</t>
        </is>
      </c>
      <c r="F1627" t="inlineStr">
        <is>
          <t>Clara Martin</t>
        </is>
      </c>
      <c r="G1627" t="inlineStr">
        <is>
          <t>United States</t>
        </is>
      </c>
      <c r="H1627" t="inlineStr">
        <is>
          <t>Mobile App</t>
        </is>
      </c>
      <c r="I1627" t="n">
        <v>1</v>
      </c>
      <c r="J1627" s="3" t="n">
        <v>126.22</v>
      </c>
      <c r="K1627" s="3" t="n">
        <v>6.31</v>
      </c>
      <c r="L1627" s="3" t="n">
        <v>119.91</v>
      </c>
      <c r="M1627" s="3" t="n">
        <v>79.37</v>
      </c>
      <c r="N1627" s="3" t="n">
        <v>40.54</v>
      </c>
      <c r="O1627">
        <f>TEXT(A1627,"yyyy-mm")</f>
        <v/>
      </c>
    </row>
    <row r="1628">
      <c r="A1628" s="2" t="n">
        <v>45789</v>
      </c>
      <c r="B1628" t="n">
        <v>2025</v>
      </c>
      <c r="C1628" t="inlineStr">
        <is>
          <t>May</t>
        </is>
      </c>
      <c r="D1628" t="inlineStr">
        <is>
          <t>Classic Sunscreen</t>
        </is>
      </c>
      <c r="E1628" t="inlineStr">
        <is>
          <t>Beauty &amp; Health</t>
        </is>
      </c>
      <c r="F1628" t="inlineStr">
        <is>
          <t>Michael Johnson</t>
        </is>
      </c>
      <c r="G1628" t="inlineStr">
        <is>
          <t>Germany</t>
        </is>
      </c>
      <c r="H1628" t="inlineStr">
        <is>
          <t>Mobile App</t>
        </is>
      </c>
      <c r="I1628" t="n">
        <v>4</v>
      </c>
      <c r="J1628" s="3" t="n">
        <v>554.64</v>
      </c>
      <c r="K1628" s="3" t="n">
        <v>0</v>
      </c>
      <c r="L1628" s="3" t="n">
        <v>554.64</v>
      </c>
      <c r="M1628" s="3" t="n">
        <v>374.76</v>
      </c>
      <c r="N1628" s="3" t="n">
        <v>179.88</v>
      </c>
      <c r="O1628">
        <f>TEXT(A1628,"yyyy-mm")</f>
        <v/>
      </c>
    </row>
    <row r="1629">
      <c r="A1629" s="2" t="n">
        <v>45789</v>
      </c>
      <c r="B1629" t="n">
        <v>2025</v>
      </c>
      <c r="C1629" t="inlineStr">
        <is>
          <t>May</t>
        </is>
      </c>
      <c r="D1629" t="inlineStr">
        <is>
          <t>Essential Toolset</t>
        </is>
      </c>
      <c r="E1629" t="inlineStr">
        <is>
          <t>Home &amp; Garden</t>
        </is>
      </c>
      <c r="F1629" t="inlineStr">
        <is>
          <t>Michael Johnson</t>
        </is>
      </c>
      <c r="G1629" t="inlineStr">
        <is>
          <t>Germany</t>
        </is>
      </c>
      <c r="H1629" t="inlineStr">
        <is>
          <t>Mobile App</t>
        </is>
      </c>
      <c r="I1629" t="n">
        <v>4</v>
      </c>
      <c r="J1629" s="3" t="n">
        <v>829.92</v>
      </c>
      <c r="K1629" s="3" t="n">
        <v>0</v>
      </c>
      <c r="L1629" s="3" t="n">
        <v>829.92</v>
      </c>
      <c r="M1629" s="3" t="n">
        <v>602.12</v>
      </c>
      <c r="N1629" s="3" t="n">
        <v>227.8</v>
      </c>
      <c r="O1629">
        <f>TEXT(A1629,"yyyy-mm")</f>
        <v/>
      </c>
    </row>
    <row r="1630">
      <c r="A1630" s="2" t="n">
        <v>45789</v>
      </c>
      <c r="B1630" t="n">
        <v>2025</v>
      </c>
      <c r="C1630" t="inlineStr">
        <is>
          <t>May</t>
        </is>
      </c>
      <c r="D1630" t="inlineStr">
        <is>
          <t>Wireless Drone</t>
        </is>
      </c>
      <c r="E1630" t="inlineStr">
        <is>
          <t>Toys &amp; Games</t>
        </is>
      </c>
      <c r="F1630" t="inlineStr">
        <is>
          <t>Michael Johnson</t>
        </is>
      </c>
      <c r="G1630" t="inlineStr">
        <is>
          <t>Germany</t>
        </is>
      </c>
      <c r="H1630" t="inlineStr">
        <is>
          <t>Mobile App</t>
        </is>
      </c>
      <c r="I1630" t="n">
        <v>3</v>
      </c>
      <c r="J1630" s="3" t="n">
        <v>680.25</v>
      </c>
      <c r="K1630" s="3" t="n">
        <v>68.03</v>
      </c>
      <c r="L1630" s="3" t="n">
        <v>612.22</v>
      </c>
      <c r="M1630" s="3" t="n">
        <v>393.87</v>
      </c>
      <c r="N1630" s="3" t="n">
        <v>218.36</v>
      </c>
      <c r="O1630">
        <f>TEXT(A1630,"yyyy-mm")</f>
        <v/>
      </c>
    </row>
    <row r="1631">
      <c r="A1631" s="2" t="n">
        <v>45789</v>
      </c>
      <c r="B1631" t="n">
        <v>2025</v>
      </c>
      <c r="C1631" t="inlineStr">
        <is>
          <t>May</t>
        </is>
      </c>
      <c r="D1631" t="inlineStr">
        <is>
          <t>Eco Sweater</t>
        </is>
      </c>
      <c r="E1631" t="inlineStr">
        <is>
          <t>Clothing</t>
        </is>
      </c>
      <c r="F1631" t="inlineStr">
        <is>
          <t>Sophie Wilson</t>
        </is>
      </c>
      <c r="G1631" t="inlineStr">
        <is>
          <t>Poland</t>
        </is>
      </c>
      <c r="H1631" t="inlineStr">
        <is>
          <t>Web Store</t>
        </is>
      </c>
      <c r="I1631" t="n">
        <v>2</v>
      </c>
      <c r="J1631" s="3" t="n">
        <v>317.16</v>
      </c>
      <c r="K1631" s="3" t="n">
        <v>0</v>
      </c>
      <c r="L1631" s="3" t="n">
        <v>317.16</v>
      </c>
      <c r="M1631" s="3" t="n">
        <v>208.46</v>
      </c>
      <c r="N1631" s="3" t="n">
        <v>108.7</v>
      </c>
      <c r="O1631">
        <f>TEXT(A1631,"yyyy-mm")</f>
        <v/>
      </c>
    </row>
    <row r="1632">
      <c r="A1632" s="2" t="n">
        <v>45790</v>
      </c>
      <c r="B1632" t="n">
        <v>2025</v>
      </c>
      <c r="C1632" t="inlineStr">
        <is>
          <t>May</t>
        </is>
      </c>
      <c r="D1632" t="inlineStr">
        <is>
          <t>Smart Camera</t>
        </is>
      </c>
      <c r="E1632" t="inlineStr">
        <is>
          <t>Electronics</t>
        </is>
      </c>
      <c r="F1632" t="inlineStr">
        <is>
          <t>Sophie Schmidt</t>
        </is>
      </c>
      <c r="G1632" t="inlineStr">
        <is>
          <t>Germany</t>
        </is>
      </c>
      <c r="H1632" t="inlineStr">
        <is>
          <t>Marketplace</t>
        </is>
      </c>
      <c r="I1632" t="n">
        <v>2</v>
      </c>
      <c r="J1632" s="3" t="n">
        <v>587.5599999999999</v>
      </c>
      <c r="K1632" s="3" t="n">
        <v>88.13</v>
      </c>
      <c r="L1632" s="3" t="n">
        <v>499.43</v>
      </c>
      <c r="M1632" s="3" t="n">
        <v>334.8</v>
      </c>
      <c r="N1632" s="3" t="n">
        <v>164.63</v>
      </c>
      <c r="O1632">
        <f>TEXT(A1632,"yyyy-mm")</f>
        <v/>
      </c>
    </row>
    <row r="1633">
      <c r="A1633" s="2" t="n">
        <v>45790</v>
      </c>
      <c r="B1633" t="n">
        <v>2025</v>
      </c>
      <c r="C1633" t="inlineStr">
        <is>
          <t>May</t>
        </is>
      </c>
      <c r="D1633" t="inlineStr">
        <is>
          <t>Classic Bike Helmet</t>
        </is>
      </c>
      <c r="E1633" t="inlineStr">
        <is>
          <t>Sports &amp; Outdoors</t>
        </is>
      </c>
      <c r="F1633" t="inlineStr">
        <is>
          <t>Sophie Schmidt</t>
        </is>
      </c>
      <c r="G1633" t="inlineStr">
        <is>
          <t>Germany</t>
        </is>
      </c>
      <c r="H1633" t="inlineStr">
        <is>
          <t>Marketplace</t>
        </is>
      </c>
      <c r="I1633" t="n">
        <v>3</v>
      </c>
      <c r="J1633" s="3" t="n">
        <v>671.73</v>
      </c>
      <c r="K1633" s="3" t="n">
        <v>0</v>
      </c>
      <c r="L1633" s="3" t="n">
        <v>671.73</v>
      </c>
      <c r="M1633" s="3" t="n">
        <v>461.43</v>
      </c>
      <c r="N1633" s="3" t="n">
        <v>210.3</v>
      </c>
      <c r="O1633">
        <f>TEXT(A1633,"yyyy-mm")</f>
        <v/>
      </c>
    </row>
    <row r="1634">
      <c r="A1634" s="2" t="n">
        <v>45790</v>
      </c>
      <c r="B1634" t="n">
        <v>2025</v>
      </c>
      <c r="C1634" t="inlineStr">
        <is>
          <t>May</t>
        </is>
      </c>
      <c r="D1634" t="inlineStr">
        <is>
          <t>Smart Cookbook</t>
        </is>
      </c>
      <c r="E1634" t="inlineStr">
        <is>
          <t>Books</t>
        </is>
      </c>
      <c r="F1634" t="inlineStr">
        <is>
          <t>Sophie Schmidt</t>
        </is>
      </c>
      <c r="G1634" t="inlineStr">
        <is>
          <t>Germany</t>
        </is>
      </c>
      <c r="H1634" t="inlineStr">
        <is>
          <t>Marketplace</t>
        </is>
      </c>
      <c r="I1634" t="n">
        <v>4</v>
      </c>
      <c r="J1634" s="3" t="n">
        <v>72.12</v>
      </c>
      <c r="K1634" s="3" t="n">
        <v>14.42</v>
      </c>
      <c r="L1634" s="3" t="n">
        <v>57.7</v>
      </c>
      <c r="M1634" s="3" t="n">
        <v>39.52</v>
      </c>
      <c r="N1634" s="3" t="n">
        <v>18.18</v>
      </c>
      <c r="O1634">
        <f>TEXT(A1634,"yyyy-mm")</f>
        <v/>
      </c>
    </row>
    <row r="1635">
      <c r="A1635" s="2" t="n">
        <v>45790</v>
      </c>
      <c r="B1635" t="n">
        <v>2025</v>
      </c>
      <c r="C1635" t="inlineStr">
        <is>
          <t>May</t>
        </is>
      </c>
      <c r="D1635" t="inlineStr">
        <is>
          <t>Portable Speaker</t>
        </is>
      </c>
      <c r="E1635" t="inlineStr">
        <is>
          <t>Electronics</t>
        </is>
      </c>
      <c r="F1635" t="inlineStr">
        <is>
          <t>Mark Martin</t>
        </is>
      </c>
      <c r="G1635" t="inlineStr">
        <is>
          <t>Spain</t>
        </is>
      </c>
      <c r="H1635" t="inlineStr">
        <is>
          <t>Web Store</t>
        </is>
      </c>
      <c r="I1635" t="n">
        <v>1</v>
      </c>
      <c r="J1635" s="3" t="n">
        <v>342.53</v>
      </c>
      <c r="K1635" s="3" t="n">
        <v>0</v>
      </c>
      <c r="L1635" s="3" t="n">
        <v>342.53</v>
      </c>
      <c r="M1635" s="3" t="n">
        <v>174.83</v>
      </c>
      <c r="N1635" s="3" t="n">
        <v>167.7</v>
      </c>
      <c r="O1635">
        <f>TEXT(A1635,"yyyy-mm")</f>
        <v/>
      </c>
    </row>
    <row r="1636">
      <c r="A1636" s="2" t="n">
        <v>45790</v>
      </c>
      <c r="B1636" t="n">
        <v>2025</v>
      </c>
      <c r="C1636" t="inlineStr">
        <is>
          <t>May</t>
        </is>
      </c>
      <c r="D1636" t="inlineStr">
        <is>
          <t>Deluxe Puzzle</t>
        </is>
      </c>
      <c r="E1636" t="inlineStr">
        <is>
          <t>Toys &amp; Games</t>
        </is>
      </c>
      <c r="F1636" t="inlineStr">
        <is>
          <t>Mark Martin</t>
        </is>
      </c>
      <c r="G1636" t="inlineStr">
        <is>
          <t>Spain</t>
        </is>
      </c>
      <c r="H1636" t="inlineStr">
        <is>
          <t>Web Store</t>
        </is>
      </c>
      <c r="I1636" t="n">
        <v>3</v>
      </c>
      <c r="J1636" s="3" t="n">
        <v>604.98</v>
      </c>
      <c r="K1636" s="3" t="n">
        <v>0</v>
      </c>
      <c r="L1636" s="3" t="n">
        <v>604.98</v>
      </c>
      <c r="M1636" s="3" t="n">
        <v>333.51</v>
      </c>
      <c r="N1636" s="3" t="n">
        <v>271.47</v>
      </c>
      <c r="O1636">
        <f>TEXT(A1636,"yyyy-mm")</f>
        <v/>
      </c>
    </row>
    <row r="1637">
      <c r="A1637" s="2" t="n">
        <v>45791</v>
      </c>
      <c r="B1637" t="n">
        <v>2025</v>
      </c>
      <c r="C1637" t="inlineStr">
        <is>
          <t>May</t>
        </is>
      </c>
      <c r="D1637" t="inlineStr">
        <is>
          <t>Smart Olive Oil</t>
        </is>
      </c>
      <c r="E1637" t="inlineStr">
        <is>
          <t>Grocery</t>
        </is>
      </c>
      <c r="F1637" t="inlineStr">
        <is>
          <t>Emma Schmidt</t>
        </is>
      </c>
      <c r="G1637" t="inlineStr">
        <is>
          <t>United States</t>
        </is>
      </c>
      <c r="H1637" t="inlineStr">
        <is>
          <t>Retail Store</t>
        </is>
      </c>
      <c r="I1637" t="n">
        <v>4</v>
      </c>
      <c r="J1637" s="3" t="n">
        <v>645.6799999999999</v>
      </c>
      <c r="K1637" s="3" t="n">
        <v>129.14</v>
      </c>
      <c r="L1637" s="3" t="n">
        <v>516.54</v>
      </c>
      <c r="M1637" s="3" t="n">
        <v>440.08</v>
      </c>
      <c r="N1637" s="3" t="n">
        <v>76.45999999999999</v>
      </c>
      <c r="O1637">
        <f>TEXT(A1637,"yyyy-mm")</f>
        <v/>
      </c>
    </row>
    <row r="1638">
      <c r="A1638" s="2" t="n">
        <v>45791</v>
      </c>
      <c r="B1638" t="n">
        <v>2025</v>
      </c>
      <c r="C1638" t="inlineStr">
        <is>
          <t>May</t>
        </is>
      </c>
      <c r="D1638" t="inlineStr">
        <is>
          <t>Premium Water Bottle</t>
        </is>
      </c>
      <c r="E1638" t="inlineStr">
        <is>
          <t>Sports &amp; Outdoors</t>
        </is>
      </c>
      <c r="F1638" t="inlineStr">
        <is>
          <t>Olivia Wilson</t>
        </is>
      </c>
      <c r="G1638" t="inlineStr">
        <is>
          <t>France</t>
        </is>
      </c>
      <c r="H1638" t="inlineStr">
        <is>
          <t>Web Store</t>
        </is>
      </c>
      <c r="I1638" t="n">
        <v>1</v>
      </c>
      <c r="J1638" s="3" t="n">
        <v>29.69</v>
      </c>
      <c r="K1638" s="3" t="n">
        <v>0</v>
      </c>
      <c r="L1638" s="3" t="n">
        <v>29.69</v>
      </c>
      <c r="M1638" s="3" t="n">
        <v>16.63</v>
      </c>
      <c r="N1638" s="3" t="n">
        <v>13.06</v>
      </c>
      <c r="O1638">
        <f>TEXT(A1638,"yyyy-mm")</f>
        <v/>
      </c>
    </row>
    <row r="1639">
      <c r="A1639" s="2" t="n">
        <v>45791</v>
      </c>
      <c r="B1639" t="n">
        <v>2025</v>
      </c>
      <c r="C1639" t="inlineStr">
        <is>
          <t>May</t>
        </is>
      </c>
      <c r="D1639" t="inlineStr">
        <is>
          <t>Compact Sunscreen</t>
        </is>
      </c>
      <c r="E1639" t="inlineStr">
        <is>
          <t>Beauty &amp; Health</t>
        </is>
      </c>
      <c r="F1639" t="inlineStr">
        <is>
          <t>Sophie Zielinski</t>
        </is>
      </c>
      <c r="G1639" t="inlineStr">
        <is>
          <t>Spain</t>
        </is>
      </c>
      <c r="H1639" t="inlineStr">
        <is>
          <t>Web Store</t>
        </is>
      </c>
      <c r="I1639" t="n">
        <v>2</v>
      </c>
      <c r="J1639" s="3" t="n">
        <v>602.66</v>
      </c>
      <c r="K1639" s="3" t="n">
        <v>0</v>
      </c>
      <c r="L1639" s="3" t="n">
        <v>602.66</v>
      </c>
      <c r="M1639" s="3" t="n">
        <v>355.32</v>
      </c>
      <c r="N1639" s="3" t="n">
        <v>247.34</v>
      </c>
      <c r="O1639">
        <f>TEXT(A1639,"yyyy-mm")</f>
        <v/>
      </c>
    </row>
    <row r="1640">
      <c r="A1640" s="2" t="n">
        <v>45791</v>
      </c>
      <c r="B1640" t="n">
        <v>2025</v>
      </c>
      <c r="C1640" t="inlineStr">
        <is>
          <t>May</t>
        </is>
      </c>
      <c r="D1640" t="inlineStr">
        <is>
          <t>Premium Tent</t>
        </is>
      </c>
      <c r="E1640" t="inlineStr">
        <is>
          <t>Sports &amp; Outdoors</t>
        </is>
      </c>
      <c r="F1640" t="inlineStr">
        <is>
          <t>Sophie Zielinski</t>
        </is>
      </c>
      <c r="G1640" t="inlineStr">
        <is>
          <t>Spain</t>
        </is>
      </c>
      <c r="H1640" t="inlineStr">
        <is>
          <t>Web Store</t>
        </is>
      </c>
      <c r="I1640" t="n">
        <v>4</v>
      </c>
      <c r="J1640" s="3" t="n">
        <v>1045.32</v>
      </c>
      <c r="K1640" s="3" t="n">
        <v>0</v>
      </c>
      <c r="L1640" s="3" t="n">
        <v>1045.32</v>
      </c>
      <c r="M1640" s="3" t="n">
        <v>661.24</v>
      </c>
      <c r="N1640" s="3" t="n">
        <v>384.08</v>
      </c>
      <c r="O1640">
        <f>TEXT(A1640,"yyyy-mm")</f>
        <v/>
      </c>
    </row>
    <row r="1641">
      <c r="A1641" s="2" t="n">
        <v>45791</v>
      </c>
      <c r="B1641" t="n">
        <v>2025</v>
      </c>
      <c r="C1641" t="inlineStr">
        <is>
          <t>May</t>
        </is>
      </c>
      <c r="D1641" t="inlineStr">
        <is>
          <t>Deluxe Headphones</t>
        </is>
      </c>
      <c r="E1641" t="inlineStr">
        <is>
          <t>Electronics</t>
        </is>
      </c>
      <c r="F1641" t="inlineStr">
        <is>
          <t>Michael Weber</t>
        </is>
      </c>
      <c r="G1641" t="inlineStr">
        <is>
          <t>United States</t>
        </is>
      </c>
      <c r="H1641" t="inlineStr">
        <is>
          <t>Mobile App</t>
        </is>
      </c>
      <c r="I1641" t="n">
        <v>1</v>
      </c>
      <c r="J1641" s="3" t="n">
        <v>73.56</v>
      </c>
      <c r="K1641" s="3" t="n">
        <v>14.71</v>
      </c>
      <c r="L1641" s="3" t="n">
        <v>58.85</v>
      </c>
      <c r="M1641" s="3" t="n">
        <v>52.5</v>
      </c>
      <c r="N1641" s="3" t="n">
        <v>6.35</v>
      </c>
      <c r="O1641">
        <f>TEXT(A1641,"yyyy-mm")</f>
        <v/>
      </c>
    </row>
    <row r="1642">
      <c r="A1642" s="2" t="n">
        <v>45791</v>
      </c>
      <c r="B1642" t="n">
        <v>2025</v>
      </c>
      <c r="C1642" t="inlineStr">
        <is>
          <t>May</t>
        </is>
      </c>
      <c r="D1642" t="inlineStr">
        <is>
          <t>Compact Jacket</t>
        </is>
      </c>
      <c r="E1642" t="inlineStr">
        <is>
          <t>Clothing</t>
        </is>
      </c>
      <c r="F1642" t="inlineStr">
        <is>
          <t>Michael Weber</t>
        </is>
      </c>
      <c r="G1642" t="inlineStr">
        <is>
          <t>United States</t>
        </is>
      </c>
      <c r="H1642" t="inlineStr">
        <is>
          <t>Mobile App</t>
        </is>
      </c>
      <c r="I1642" t="n">
        <v>2</v>
      </c>
      <c r="J1642" s="3" t="n">
        <v>75.58</v>
      </c>
      <c r="K1642" s="3" t="n">
        <v>7.56</v>
      </c>
      <c r="L1642" s="3" t="n">
        <v>68.02</v>
      </c>
      <c r="M1642" s="3" t="n">
        <v>40.8</v>
      </c>
      <c r="N1642" s="3" t="n">
        <v>27.22</v>
      </c>
      <c r="O1642">
        <f>TEXT(A1642,"yyyy-mm")</f>
        <v/>
      </c>
    </row>
    <row r="1643">
      <c r="A1643" s="2" t="n">
        <v>45791</v>
      </c>
      <c r="B1643" t="n">
        <v>2025</v>
      </c>
      <c r="C1643" t="inlineStr">
        <is>
          <t>May</t>
        </is>
      </c>
      <c r="D1643" t="inlineStr">
        <is>
          <t>Eco Sweater</t>
        </is>
      </c>
      <c r="E1643" t="inlineStr">
        <is>
          <t>Clothing</t>
        </is>
      </c>
      <c r="F1643" t="inlineStr">
        <is>
          <t>Michael Weber</t>
        </is>
      </c>
      <c r="G1643" t="inlineStr">
        <is>
          <t>United States</t>
        </is>
      </c>
      <c r="H1643" t="inlineStr">
        <is>
          <t>Mobile App</t>
        </is>
      </c>
      <c r="I1643" t="n">
        <v>4</v>
      </c>
      <c r="J1643" s="3" t="n">
        <v>609.4</v>
      </c>
      <c r="K1643" s="3" t="n">
        <v>91.41</v>
      </c>
      <c r="L1643" s="3" t="n">
        <v>517.99</v>
      </c>
      <c r="M1643" s="3" t="n">
        <v>416.92</v>
      </c>
      <c r="N1643" s="3" t="n">
        <v>101.07</v>
      </c>
      <c r="O1643">
        <f>TEXT(A1643,"yyyy-mm")</f>
        <v/>
      </c>
    </row>
    <row r="1644">
      <c r="A1644" s="2" t="n">
        <v>45791</v>
      </c>
      <c r="B1644" t="n">
        <v>2025</v>
      </c>
      <c r="C1644" t="inlineStr">
        <is>
          <t>May</t>
        </is>
      </c>
      <c r="D1644" t="inlineStr">
        <is>
          <t>Premium Rug</t>
        </is>
      </c>
      <c r="E1644" t="inlineStr">
        <is>
          <t>Home &amp; Garden</t>
        </is>
      </c>
      <c r="F1644" t="inlineStr">
        <is>
          <t>Michael Weber</t>
        </is>
      </c>
      <c r="G1644" t="inlineStr">
        <is>
          <t>United States</t>
        </is>
      </c>
      <c r="H1644" t="inlineStr">
        <is>
          <t>Mobile App</t>
        </is>
      </c>
      <c r="I1644" t="n">
        <v>1</v>
      </c>
      <c r="J1644" s="3" t="n">
        <v>184.38</v>
      </c>
      <c r="K1644" s="3" t="n">
        <v>9.220000000000001</v>
      </c>
      <c r="L1644" s="3" t="n">
        <v>175.16</v>
      </c>
      <c r="M1644" s="3" t="n">
        <v>111.19</v>
      </c>
      <c r="N1644" s="3" t="n">
        <v>63.97</v>
      </c>
      <c r="O1644">
        <f>TEXT(A1644,"yyyy-mm")</f>
        <v/>
      </c>
    </row>
    <row r="1645">
      <c r="A1645" s="2" t="n">
        <v>45791</v>
      </c>
      <c r="B1645" t="n">
        <v>2025</v>
      </c>
      <c r="C1645" t="inlineStr">
        <is>
          <t>May</t>
        </is>
      </c>
      <c r="D1645" t="inlineStr">
        <is>
          <t>Smart Face Cream</t>
        </is>
      </c>
      <c r="E1645" t="inlineStr">
        <is>
          <t>Beauty &amp; Health</t>
        </is>
      </c>
      <c r="F1645" t="inlineStr">
        <is>
          <t>Olivia Smith</t>
        </is>
      </c>
      <c r="G1645" t="inlineStr">
        <is>
          <t>Germany</t>
        </is>
      </c>
      <c r="H1645" t="inlineStr">
        <is>
          <t>Retail Store</t>
        </is>
      </c>
      <c r="I1645" t="n">
        <v>5</v>
      </c>
      <c r="J1645" s="3" t="n">
        <v>1383.2</v>
      </c>
      <c r="K1645" s="3" t="n">
        <v>0</v>
      </c>
      <c r="L1645" s="3" t="n">
        <v>1383.2</v>
      </c>
      <c r="M1645" s="3" t="n">
        <v>965.7</v>
      </c>
      <c r="N1645" s="3" t="n">
        <v>417.5</v>
      </c>
      <c r="O1645">
        <f>TEXT(A1645,"yyyy-mm")</f>
        <v/>
      </c>
    </row>
    <row r="1646">
      <c r="A1646" s="2" t="n">
        <v>45791</v>
      </c>
      <c r="B1646" t="n">
        <v>2025</v>
      </c>
      <c r="C1646" t="inlineStr">
        <is>
          <t>May</t>
        </is>
      </c>
      <c r="D1646" t="inlineStr">
        <is>
          <t>Essential Pasta</t>
        </is>
      </c>
      <c r="E1646" t="inlineStr">
        <is>
          <t>Grocery</t>
        </is>
      </c>
      <c r="F1646" t="inlineStr">
        <is>
          <t>Olivia Smith</t>
        </is>
      </c>
      <c r="G1646" t="inlineStr">
        <is>
          <t>Germany</t>
        </is>
      </c>
      <c r="H1646" t="inlineStr">
        <is>
          <t>Retail Store</t>
        </is>
      </c>
      <c r="I1646" t="n">
        <v>2</v>
      </c>
      <c r="J1646" s="3" t="n">
        <v>106.92</v>
      </c>
      <c r="K1646" s="3" t="n">
        <v>21.38</v>
      </c>
      <c r="L1646" s="3" t="n">
        <v>85.54000000000001</v>
      </c>
      <c r="M1646" s="3" t="n">
        <v>71.62</v>
      </c>
      <c r="N1646" s="3" t="n">
        <v>13.92</v>
      </c>
      <c r="O1646">
        <f>TEXT(A1646,"yyyy-mm")</f>
        <v/>
      </c>
    </row>
    <row r="1647">
      <c r="A1647" s="2" t="n">
        <v>45791</v>
      </c>
      <c r="B1647" t="n">
        <v>2025</v>
      </c>
      <c r="C1647" t="inlineStr">
        <is>
          <t>May</t>
        </is>
      </c>
      <c r="D1647" t="inlineStr">
        <is>
          <t>Eco Drone</t>
        </is>
      </c>
      <c r="E1647" t="inlineStr">
        <is>
          <t>Toys &amp; Games</t>
        </is>
      </c>
      <c r="F1647" t="inlineStr">
        <is>
          <t>Olivia Wilson</t>
        </is>
      </c>
      <c r="G1647" t="inlineStr">
        <is>
          <t>France</t>
        </is>
      </c>
      <c r="H1647" t="inlineStr">
        <is>
          <t>Web Store</t>
        </is>
      </c>
      <c r="I1647" t="n">
        <v>4</v>
      </c>
      <c r="J1647" s="3" t="n">
        <v>790.84</v>
      </c>
      <c r="K1647" s="3" t="n">
        <v>0</v>
      </c>
      <c r="L1647" s="3" t="n">
        <v>790.84</v>
      </c>
      <c r="M1647" s="3" t="n">
        <v>518.36</v>
      </c>
      <c r="N1647" s="3" t="n">
        <v>272.48</v>
      </c>
      <c r="O1647">
        <f>TEXT(A1647,"yyyy-mm")</f>
        <v/>
      </c>
    </row>
    <row r="1648">
      <c r="A1648" s="2" t="n">
        <v>45791</v>
      </c>
      <c r="B1648" t="n">
        <v>2025</v>
      </c>
      <c r="C1648" t="inlineStr">
        <is>
          <t>May</t>
        </is>
      </c>
      <c r="D1648" t="inlineStr">
        <is>
          <t>Premium Water Bottle</t>
        </is>
      </c>
      <c r="E1648" t="inlineStr">
        <is>
          <t>Sports &amp; Outdoors</t>
        </is>
      </c>
      <c r="F1648" t="inlineStr">
        <is>
          <t>Olivia Wilson</t>
        </is>
      </c>
      <c r="G1648" t="inlineStr">
        <is>
          <t>France</t>
        </is>
      </c>
      <c r="H1648" t="inlineStr">
        <is>
          <t>Web Store</t>
        </is>
      </c>
      <c r="I1648" t="n">
        <v>5</v>
      </c>
      <c r="J1648" s="3" t="n">
        <v>594.95</v>
      </c>
      <c r="K1648" s="3" t="n">
        <v>89.23999999999999</v>
      </c>
      <c r="L1648" s="3" t="n">
        <v>505.71</v>
      </c>
      <c r="M1648" s="3" t="n">
        <v>448.1</v>
      </c>
      <c r="N1648" s="3" t="n">
        <v>57.61</v>
      </c>
      <c r="O1648">
        <f>TEXT(A1648,"yyyy-mm")</f>
        <v/>
      </c>
    </row>
    <row r="1649">
      <c r="A1649" s="2" t="n">
        <v>45791</v>
      </c>
      <c r="B1649" t="n">
        <v>2025</v>
      </c>
      <c r="C1649" t="inlineStr">
        <is>
          <t>May</t>
        </is>
      </c>
      <c r="D1649" t="inlineStr">
        <is>
          <t>Eco Tent</t>
        </is>
      </c>
      <c r="E1649" t="inlineStr">
        <is>
          <t>Sports &amp; Outdoors</t>
        </is>
      </c>
      <c r="F1649" t="inlineStr">
        <is>
          <t>Olivia Smith</t>
        </is>
      </c>
      <c r="G1649" t="inlineStr">
        <is>
          <t>Germany</t>
        </is>
      </c>
      <c r="H1649" t="inlineStr">
        <is>
          <t>Retail Store</t>
        </is>
      </c>
      <c r="I1649" t="n">
        <v>2</v>
      </c>
      <c r="J1649" s="3" t="n">
        <v>133.52</v>
      </c>
      <c r="K1649" s="3" t="n">
        <v>13.35</v>
      </c>
      <c r="L1649" s="3" t="n">
        <v>120.17</v>
      </c>
      <c r="M1649" s="3" t="n">
        <v>87.7</v>
      </c>
      <c r="N1649" s="3" t="n">
        <v>32.47</v>
      </c>
      <c r="O1649">
        <f>TEXT(A1649,"yyyy-mm")</f>
        <v/>
      </c>
    </row>
    <row r="1650">
      <c r="A1650" s="2" t="n">
        <v>45791</v>
      </c>
      <c r="B1650" t="n">
        <v>2025</v>
      </c>
      <c r="C1650" t="inlineStr">
        <is>
          <t>May</t>
        </is>
      </c>
      <c r="D1650" t="inlineStr">
        <is>
          <t>Essential Lamp</t>
        </is>
      </c>
      <c r="E1650" t="inlineStr">
        <is>
          <t>Home &amp; Garden</t>
        </is>
      </c>
      <c r="F1650" t="inlineStr">
        <is>
          <t>Olivia Smith</t>
        </is>
      </c>
      <c r="G1650" t="inlineStr">
        <is>
          <t>Germany</t>
        </is>
      </c>
      <c r="H1650" t="inlineStr">
        <is>
          <t>Retail Store</t>
        </is>
      </c>
      <c r="I1650" t="n">
        <v>4</v>
      </c>
      <c r="J1650" s="3" t="n">
        <v>271.44</v>
      </c>
      <c r="K1650" s="3" t="n">
        <v>0</v>
      </c>
      <c r="L1650" s="3" t="n">
        <v>271.44</v>
      </c>
      <c r="M1650" s="3" t="n">
        <v>181.6</v>
      </c>
      <c r="N1650" s="3" t="n">
        <v>89.84</v>
      </c>
      <c r="O1650">
        <f>TEXT(A1650,"yyyy-mm")</f>
        <v/>
      </c>
    </row>
    <row r="1651">
      <c r="A1651" s="2" t="n">
        <v>45791</v>
      </c>
      <c r="B1651" t="n">
        <v>2025</v>
      </c>
      <c r="C1651" t="inlineStr">
        <is>
          <t>May</t>
        </is>
      </c>
      <c r="D1651" t="inlineStr">
        <is>
          <t>Essential Rug</t>
        </is>
      </c>
      <c r="E1651" t="inlineStr">
        <is>
          <t>Home &amp; Garden</t>
        </is>
      </c>
      <c r="F1651" t="inlineStr">
        <is>
          <t>Laura Moreau</t>
        </is>
      </c>
      <c r="G1651" t="inlineStr">
        <is>
          <t>Spain</t>
        </is>
      </c>
      <c r="H1651" t="inlineStr">
        <is>
          <t>Mobile App</t>
        </is>
      </c>
      <c r="I1651" t="n">
        <v>1</v>
      </c>
      <c r="J1651" s="3" t="n">
        <v>141.08</v>
      </c>
      <c r="K1651" s="3" t="n">
        <v>21.16</v>
      </c>
      <c r="L1651" s="3" t="n">
        <v>119.92</v>
      </c>
      <c r="M1651" s="3" t="n">
        <v>76.33</v>
      </c>
      <c r="N1651" s="3" t="n">
        <v>43.59</v>
      </c>
      <c r="O1651">
        <f>TEXT(A1651,"yyyy-mm")</f>
        <v/>
      </c>
    </row>
    <row r="1652">
      <c r="A1652" s="2" t="n">
        <v>45792</v>
      </c>
      <c r="B1652" t="n">
        <v>2025</v>
      </c>
      <c r="C1652" t="inlineStr">
        <is>
          <t>May</t>
        </is>
      </c>
      <c r="D1652" t="inlineStr">
        <is>
          <t>Premium Tent</t>
        </is>
      </c>
      <c r="E1652" t="inlineStr">
        <is>
          <t>Sports &amp; Outdoors</t>
        </is>
      </c>
      <c r="F1652" t="inlineStr">
        <is>
          <t>John Rossi</t>
        </is>
      </c>
      <c r="G1652" t="inlineStr">
        <is>
          <t>United Kingdom</t>
        </is>
      </c>
      <c r="H1652" t="inlineStr">
        <is>
          <t>Mobile App</t>
        </is>
      </c>
      <c r="I1652" t="n">
        <v>3</v>
      </c>
      <c r="J1652" s="3" t="n">
        <v>739.71</v>
      </c>
      <c r="K1652" s="3" t="n">
        <v>73.97</v>
      </c>
      <c r="L1652" s="3" t="n">
        <v>665.74</v>
      </c>
      <c r="M1652" s="3" t="n">
        <v>417.12</v>
      </c>
      <c r="N1652" s="3" t="n">
        <v>248.62</v>
      </c>
      <c r="O1652">
        <f>TEXT(A1652,"yyyy-mm")</f>
        <v/>
      </c>
    </row>
    <row r="1653">
      <c r="A1653" s="2" t="n">
        <v>45792</v>
      </c>
      <c r="B1653" t="n">
        <v>2025</v>
      </c>
      <c r="C1653" t="inlineStr">
        <is>
          <t>May</t>
        </is>
      </c>
      <c r="D1653" t="inlineStr">
        <is>
          <t>Premium Tent</t>
        </is>
      </c>
      <c r="E1653" t="inlineStr">
        <is>
          <t>Sports &amp; Outdoors</t>
        </is>
      </c>
      <c r="F1653" t="inlineStr">
        <is>
          <t>John Lopez</t>
        </is>
      </c>
      <c r="G1653" t="inlineStr">
        <is>
          <t>Germany</t>
        </is>
      </c>
      <c r="H1653" t="inlineStr">
        <is>
          <t>Web Store</t>
        </is>
      </c>
      <c r="I1653" t="n">
        <v>1</v>
      </c>
      <c r="J1653" s="3" t="n">
        <v>248.21</v>
      </c>
      <c r="K1653" s="3" t="n">
        <v>0</v>
      </c>
      <c r="L1653" s="3" t="n">
        <v>248.21</v>
      </c>
      <c r="M1653" s="3" t="n">
        <v>139.04</v>
      </c>
      <c r="N1653" s="3" t="n">
        <v>109.17</v>
      </c>
      <c r="O1653">
        <f>TEXT(A1653,"yyyy-mm")</f>
        <v/>
      </c>
    </row>
    <row r="1654">
      <c r="A1654" s="2" t="n">
        <v>45792</v>
      </c>
      <c r="B1654" t="n">
        <v>2025</v>
      </c>
      <c r="C1654" t="inlineStr">
        <is>
          <t>May</t>
        </is>
      </c>
      <c r="D1654" t="inlineStr">
        <is>
          <t>Compact Jacket</t>
        </is>
      </c>
      <c r="E1654" t="inlineStr">
        <is>
          <t>Clothing</t>
        </is>
      </c>
      <c r="F1654" t="inlineStr">
        <is>
          <t>David Moreau</t>
        </is>
      </c>
      <c r="G1654" t="inlineStr">
        <is>
          <t>Poland</t>
        </is>
      </c>
      <c r="H1654" t="inlineStr">
        <is>
          <t>Marketplace</t>
        </is>
      </c>
      <c r="I1654" t="n">
        <v>4</v>
      </c>
      <c r="J1654" s="3" t="n">
        <v>148.72</v>
      </c>
      <c r="K1654" s="3" t="n">
        <v>14.87</v>
      </c>
      <c r="L1654" s="3" t="n">
        <v>133.85</v>
      </c>
      <c r="M1654" s="3" t="n">
        <v>81.59999999999999</v>
      </c>
      <c r="N1654" s="3" t="n">
        <v>52.25</v>
      </c>
      <c r="O1654">
        <f>TEXT(A1654,"yyyy-mm")</f>
        <v/>
      </c>
    </row>
    <row r="1655">
      <c r="A1655" s="2" t="n">
        <v>45792</v>
      </c>
      <c r="B1655" t="n">
        <v>2025</v>
      </c>
      <c r="C1655" t="inlineStr">
        <is>
          <t>May</t>
        </is>
      </c>
      <c r="D1655" t="inlineStr">
        <is>
          <t>Wireless Drone</t>
        </is>
      </c>
      <c r="E1655" t="inlineStr">
        <is>
          <t>Toys &amp; Games</t>
        </is>
      </c>
      <c r="F1655" t="inlineStr">
        <is>
          <t>John Rossi</t>
        </is>
      </c>
      <c r="G1655" t="inlineStr">
        <is>
          <t>United Kingdom</t>
        </is>
      </c>
      <c r="H1655" t="inlineStr">
        <is>
          <t>Mobile App</t>
        </is>
      </c>
      <c r="I1655" t="n">
        <v>2</v>
      </c>
      <c r="J1655" s="3" t="n">
        <v>452.14</v>
      </c>
      <c r="K1655" s="3" t="n">
        <v>0</v>
      </c>
      <c r="L1655" s="3" t="n">
        <v>452.14</v>
      </c>
      <c r="M1655" s="3" t="n">
        <v>262.58</v>
      </c>
      <c r="N1655" s="3" t="n">
        <v>189.56</v>
      </c>
      <c r="O1655">
        <f>TEXT(A1655,"yyyy-mm")</f>
        <v/>
      </c>
    </row>
    <row r="1656">
      <c r="A1656" s="2" t="n">
        <v>45792</v>
      </c>
      <c r="B1656" t="n">
        <v>2025</v>
      </c>
      <c r="C1656" t="inlineStr">
        <is>
          <t>May</t>
        </is>
      </c>
      <c r="D1656" t="inlineStr">
        <is>
          <t>Smart Charger</t>
        </is>
      </c>
      <c r="E1656" t="inlineStr">
        <is>
          <t>Electronics</t>
        </is>
      </c>
      <c r="F1656" t="inlineStr">
        <is>
          <t>John Rossi</t>
        </is>
      </c>
      <c r="G1656" t="inlineStr">
        <is>
          <t>United Kingdom</t>
        </is>
      </c>
      <c r="H1656" t="inlineStr">
        <is>
          <t>Mobile App</t>
        </is>
      </c>
      <c r="I1656" t="n">
        <v>5</v>
      </c>
      <c r="J1656" s="3" t="n">
        <v>1243.5</v>
      </c>
      <c r="K1656" s="3" t="n">
        <v>186.52</v>
      </c>
      <c r="L1656" s="3" t="n">
        <v>1056.97</v>
      </c>
      <c r="M1656" s="3" t="n">
        <v>712.6</v>
      </c>
      <c r="N1656" s="3" t="n">
        <v>344.37</v>
      </c>
      <c r="O1656">
        <f>TEXT(A1656,"yyyy-mm")</f>
        <v/>
      </c>
    </row>
    <row r="1657">
      <c r="A1657" s="2" t="n">
        <v>45792</v>
      </c>
      <c r="B1657" t="n">
        <v>2025</v>
      </c>
      <c r="C1657" t="inlineStr">
        <is>
          <t>May</t>
        </is>
      </c>
      <c r="D1657" t="inlineStr">
        <is>
          <t>Portable Pasta</t>
        </is>
      </c>
      <c r="E1657" t="inlineStr">
        <is>
          <t>Grocery</t>
        </is>
      </c>
      <c r="F1657" t="inlineStr">
        <is>
          <t>John Rossi</t>
        </is>
      </c>
      <c r="G1657" t="inlineStr">
        <is>
          <t>United Kingdom</t>
        </is>
      </c>
      <c r="H1657" t="inlineStr">
        <is>
          <t>Mobile App</t>
        </is>
      </c>
      <c r="I1657" t="n">
        <v>3</v>
      </c>
      <c r="J1657" s="3" t="n">
        <v>110.49</v>
      </c>
      <c r="K1657" s="3" t="n">
        <v>0</v>
      </c>
      <c r="L1657" s="3" t="n">
        <v>110.49</v>
      </c>
      <c r="M1657" s="3" t="n">
        <v>83.25</v>
      </c>
      <c r="N1657" s="3" t="n">
        <v>27.24</v>
      </c>
      <c r="O1657">
        <f>TEXT(A1657,"yyyy-mm")</f>
        <v/>
      </c>
    </row>
    <row r="1658">
      <c r="A1658" s="2" t="n">
        <v>45793</v>
      </c>
      <c r="B1658" t="n">
        <v>2025</v>
      </c>
      <c r="C1658" t="inlineStr">
        <is>
          <t>May</t>
        </is>
      </c>
      <c r="D1658" t="inlineStr">
        <is>
          <t>Classic Sunscreen</t>
        </is>
      </c>
      <c r="E1658" t="inlineStr">
        <is>
          <t>Beauty &amp; Health</t>
        </is>
      </c>
      <c r="F1658" t="inlineStr">
        <is>
          <t>Julia Johnson</t>
        </is>
      </c>
      <c r="G1658" t="inlineStr">
        <is>
          <t>Poland</t>
        </is>
      </c>
      <c r="H1658" t="inlineStr">
        <is>
          <t>Retail Store</t>
        </is>
      </c>
      <c r="I1658" t="n">
        <v>1</v>
      </c>
      <c r="J1658" s="3" t="n">
        <v>142.36</v>
      </c>
      <c r="K1658" s="3" t="n">
        <v>21.35</v>
      </c>
      <c r="L1658" s="3" t="n">
        <v>121.01</v>
      </c>
      <c r="M1658" s="3" t="n">
        <v>93.69</v>
      </c>
      <c r="N1658" s="3" t="n">
        <v>27.32</v>
      </c>
      <c r="O1658">
        <f>TEXT(A1658,"yyyy-mm")</f>
        <v/>
      </c>
    </row>
    <row r="1659">
      <c r="A1659" s="2" t="n">
        <v>45793</v>
      </c>
      <c r="B1659" t="n">
        <v>2025</v>
      </c>
      <c r="C1659" t="inlineStr">
        <is>
          <t>May</t>
        </is>
      </c>
      <c r="D1659" t="inlineStr">
        <is>
          <t>Ultra Toolset</t>
        </is>
      </c>
      <c r="E1659" t="inlineStr">
        <is>
          <t>Home &amp; Garden</t>
        </is>
      </c>
      <c r="F1659" t="inlineStr">
        <is>
          <t>Julia Johnson</t>
        </is>
      </c>
      <c r="G1659" t="inlineStr">
        <is>
          <t>Poland</t>
        </is>
      </c>
      <c r="H1659" t="inlineStr">
        <is>
          <t>Retail Store</t>
        </is>
      </c>
      <c r="I1659" t="n">
        <v>3</v>
      </c>
      <c r="J1659" s="3" t="n">
        <v>1040.13</v>
      </c>
      <c r="K1659" s="3" t="n">
        <v>156.02</v>
      </c>
      <c r="L1659" s="3" t="n">
        <v>884.11</v>
      </c>
      <c r="M1659" s="3" t="n">
        <v>571.2</v>
      </c>
      <c r="N1659" s="3" t="n">
        <v>312.91</v>
      </c>
      <c r="O1659">
        <f>TEXT(A1659,"yyyy-mm")</f>
        <v/>
      </c>
    </row>
    <row r="1660">
      <c r="A1660" s="2" t="n">
        <v>45793</v>
      </c>
      <c r="B1660" t="n">
        <v>2025</v>
      </c>
      <c r="C1660" t="inlineStr">
        <is>
          <t>May</t>
        </is>
      </c>
      <c r="D1660" t="inlineStr">
        <is>
          <t>Premium Water Bottle</t>
        </is>
      </c>
      <c r="E1660" t="inlineStr">
        <is>
          <t>Sports &amp; Outdoors</t>
        </is>
      </c>
      <c r="F1660" t="inlineStr">
        <is>
          <t>Julia Johnson</t>
        </is>
      </c>
      <c r="G1660" t="inlineStr">
        <is>
          <t>Poland</t>
        </is>
      </c>
      <c r="H1660" t="inlineStr">
        <is>
          <t>Retail Store</t>
        </is>
      </c>
      <c r="I1660" t="n">
        <v>4</v>
      </c>
      <c r="J1660" s="3" t="n">
        <v>120.8</v>
      </c>
      <c r="K1660" s="3" t="n">
        <v>12.08</v>
      </c>
      <c r="L1660" s="3" t="n">
        <v>108.72</v>
      </c>
      <c r="M1660" s="3" t="n">
        <v>66.52</v>
      </c>
      <c r="N1660" s="3" t="n">
        <v>42.2</v>
      </c>
      <c r="O1660">
        <f>TEXT(A1660,"yyyy-mm")</f>
        <v/>
      </c>
    </row>
    <row r="1661">
      <c r="A1661" s="2" t="n">
        <v>45793</v>
      </c>
      <c r="B1661" t="n">
        <v>2025</v>
      </c>
      <c r="C1661" t="inlineStr">
        <is>
          <t>May</t>
        </is>
      </c>
      <c r="D1661" t="inlineStr">
        <is>
          <t>Smart Puzzle</t>
        </is>
      </c>
      <c r="E1661" t="inlineStr">
        <is>
          <t>Toys &amp; Games</t>
        </is>
      </c>
      <c r="F1661" t="inlineStr">
        <is>
          <t>Laura Lopez</t>
        </is>
      </c>
      <c r="G1661" t="inlineStr">
        <is>
          <t>United States</t>
        </is>
      </c>
      <c r="H1661" t="inlineStr">
        <is>
          <t>Mobile App</t>
        </is>
      </c>
      <c r="I1661" t="n">
        <v>4</v>
      </c>
      <c r="J1661" s="3" t="n">
        <v>183.52</v>
      </c>
      <c r="K1661" s="3" t="n">
        <v>18.35</v>
      </c>
      <c r="L1661" s="3" t="n">
        <v>165.17</v>
      </c>
      <c r="M1661" s="3" t="n">
        <v>97.76000000000001</v>
      </c>
      <c r="N1661" s="3" t="n">
        <v>67.41</v>
      </c>
      <c r="O1661">
        <f>TEXT(A1661,"yyyy-mm")</f>
        <v/>
      </c>
    </row>
    <row r="1662">
      <c r="A1662" s="2" t="n">
        <v>45793</v>
      </c>
      <c r="B1662" t="n">
        <v>2025</v>
      </c>
      <c r="C1662" t="inlineStr">
        <is>
          <t>May</t>
        </is>
      </c>
      <c r="D1662" t="inlineStr">
        <is>
          <t>Classic Tea Set</t>
        </is>
      </c>
      <c r="E1662" t="inlineStr">
        <is>
          <t>Grocery</t>
        </is>
      </c>
      <c r="F1662" t="inlineStr">
        <is>
          <t>Laura Lopez</t>
        </is>
      </c>
      <c r="G1662" t="inlineStr">
        <is>
          <t>United States</t>
        </is>
      </c>
      <c r="H1662" t="inlineStr">
        <is>
          <t>Mobile App</t>
        </is>
      </c>
      <c r="I1662" t="n">
        <v>5</v>
      </c>
      <c r="J1662" s="3" t="n">
        <v>910.35</v>
      </c>
      <c r="K1662" s="3" t="n">
        <v>0</v>
      </c>
      <c r="L1662" s="3" t="n">
        <v>910.35</v>
      </c>
      <c r="M1662" s="3" t="n">
        <v>627</v>
      </c>
      <c r="N1662" s="3" t="n">
        <v>283.35</v>
      </c>
      <c r="O1662">
        <f>TEXT(A1662,"yyyy-mm")</f>
        <v/>
      </c>
    </row>
    <row r="1663">
      <c r="A1663" s="2" t="n">
        <v>45794</v>
      </c>
      <c r="B1663" t="n">
        <v>2025</v>
      </c>
      <c r="C1663" t="inlineStr">
        <is>
          <t>May</t>
        </is>
      </c>
      <c r="D1663" t="inlineStr">
        <is>
          <t>Essential Vitamins</t>
        </is>
      </c>
      <c r="E1663" t="inlineStr">
        <is>
          <t>Beauty &amp; Health</t>
        </is>
      </c>
      <c r="F1663" t="inlineStr">
        <is>
          <t>Michael Nowak</t>
        </is>
      </c>
      <c r="G1663" t="inlineStr">
        <is>
          <t>Spain</t>
        </is>
      </c>
      <c r="H1663" t="inlineStr">
        <is>
          <t>Web Store</t>
        </is>
      </c>
      <c r="I1663" t="n">
        <v>4</v>
      </c>
      <c r="J1663" s="3" t="n">
        <v>655.6799999999999</v>
      </c>
      <c r="K1663" s="3" t="n">
        <v>0</v>
      </c>
      <c r="L1663" s="3" t="n">
        <v>655.6799999999999</v>
      </c>
      <c r="M1663" s="3" t="n">
        <v>441.2</v>
      </c>
      <c r="N1663" s="3" t="n">
        <v>214.48</v>
      </c>
      <c r="O1663">
        <f>TEXT(A1663,"yyyy-mm")</f>
        <v/>
      </c>
    </row>
    <row r="1664">
      <c r="A1664" s="2" t="n">
        <v>45794</v>
      </c>
      <c r="B1664" t="n">
        <v>2025</v>
      </c>
      <c r="C1664" t="inlineStr">
        <is>
          <t>May</t>
        </is>
      </c>
      <c r="D1664" t="inlineStr">
        <is>
          <t>Classic Atlas</t>
        </is>
      </c>
      <c r="E1664" t="inlineStr">
        <is>
          <t>Books</t>
        </is>
      </c>
      <c r="F1664" t="inlineStr">
        <is>
          <t>Daniel Rossi</t>
        </is>
      </c>
      <c r="G1664" t="inlineStr">
        <is>
          <t>Poland</t>
        </is>
      </c>
      <c r="H1664" t="inlineStr">
        <is>
          <t>Mobile App</t>
        </is>
      </c>
      <c r="I1664" t="n">
        <v>2</v>
      </c>
      <c r="J1664" s="3" t="n">
        <v>118.8</v>
      </c>
      <c r="K1664" s="3" t="n">
        <v>0</v>
      </c>
      <c r="L1664" s="3" t="n">
        <v>118.8</v>
      </c>
      <c r="M1664" s="3" t="n">
        <v>69.18000000000001</v>
      </c>
      <c r="N1664" s="3" t="n">
        <v>49.62</v>
      </c>
      <c r="O1664">
        <f>TEXT(A1664,"yyyy-mm")</f>
        <v/>
      </c>
    </row>
    <row r="1665">
      <c r="A1665" s="2" t="n">
        <v>45794</v>
      </c>
      <c r="B1665" t="n">
        <v>2025</v>
      </c>
      <c r="C1665" t="inlineStr">
        <is>
          <t>May</t>
        </is>
      </c>
      <c r="D1665" t="inlineStr">
        <is>
          <t>Smart Tea Set</t>
        </is>
      </c>
      <c r="E1665" t="inlineStr">
        <is>
          <t>Grocery</t>
        </is>
      </c>
      <c r="F1665" t="inlineStr">
        <is>
          <t>Daniel Rossi</t>
        </is>
      </c>
      <c r="G1665" t="inlineStr">
        <is>
          <t>Poland</t>
        </is>
      </c>
      <c r="H1665" t="inlineStr">
        <is>
          <t>Mobile App</t>
        </is>
      </c>
      <c r="I1665" t="n">
        <v>4</v>
      </c>
      <c r="J1665" s="3" t="n">
        <v>365.04</v>
      </c>
      <c r="K1665" s="3" t="n">
        <v>18.25</v>
      </c>
      <c r="L1665" s="3" t="n">
        <v>346.79</v>
      </c>
      <c r="M1665" s="3" t="n">
        <v>247.2</v>
      </c>
      <c r="N1665" s="3" t="n">
        <v>99.59</v>
      </c>
      <c r="O1665">
        <f>TEXT(A1665,"yyyy-mm")</f>
        <v/>
      </c>
    </row>
    <row r="1666">
      <c r="A1666" s="2" t="n">
        <v>45794</v>
      </c>
      <c r="B1666" t="n">
        <v>2025</v>
      </c>
      <c r="C1666" t="inlineStr">
        <is>
          <t>May</t>
        </is>
      </c>
      <c r="D1666" t="inlineStr">
        <is>
          <t>Essential Lamp</t>
        </is>
      </c>
      <c r="E1666" t="inlineStr">
        <is>
          <t>Home &amp; Garden</t>
        </is>
      </c>
      <c r="F1666" t="inlineStr">
        <is>
          <t>Anna Schmidt</t>
        </is>
      </c>
      <c r="G1666" t="inlineStr">
        <is>
          <t>Italy</t>
        </is>
      </c>
      <c r="H1666" t="inlineStr">
        <is>
          <t>Retail Store</t>
        </is>
      </c>
      <c r="I1666" t="n">
        <v>1</v>
      </c>
      <c r="J1666" s="3" t="n">
        <v>64.73</v>
      </c>
      <c r="K1666" s="3" t="n">
        <v>12.95</v>
      </c>
      <c r="L1666" s="3" t="n">
        <v>51.78</v>
      </c>
      <c r="M1666" s="3" t="n">
        <v>45.4</v>
      </c>
      <c r="N1666" s="3" t="n">
        <v>6.38</v>
      </c>
      <c r="O1666">
        <f>TEXT(A1666,"yyyy-mm")</f>
        <v/>
      </c>
    </row>
    <row r="1667">
      <c r="A1667" s="2" t="n">
        <v>45794</v>
      </c>
      <c r="B1667" t="n">
        <v>2025</v>
      </c>
      <c r="C1667" t="inlineStr">
        <is>
          <t>May</t>
        </is>
      </c>
      <c r="D1667" t="inlineStr">
        <is>
          <t>Ultra Vitamins</t>
        </is>
      </c>
      <c r="E1667" t="inlineStr">
        <is>
          <t>Beauty &amp; Health</t>
        </is>
      </c>
      <c r="F1667" t="inlineStr">
        <is>
          <t>Anna Schmidt</t>
        </is>
      </c>
      <c r="G1667" t="inlineStr">
        <is>
          <t>Italy</t>
        </is>
      </c>
      <c r="H1667" t="inlineStr">
        <is>
          <t>Retail Store</t>
        </is>
      </c>
      <c r="I1667" t="n">
        <v>3</v>
      </c>
      <c r="J1667" s="3" t="n">
        <v>604.95</v>
      </c>
      <c r="K1667" s="3" t="n">
        <v>60.5</v>
      </c>
      <c r="L1667" s="3" t="n">
        <v>544.46</v>
      </c>
      <c r="M1667" s="3" t="n">
        <v>378.3</v>
      </c>
      <c r="N1667" s="3" t="n">
        <v>166.16</v>
      </c>
      <c r="O1667">
        <f>TEXT(A1667,"yyyy-mm")</f>
        <v/>
      </c>
    </row>
    <row r="1668">
      <c r="A1668" s="2" t="n">
        <v>45794</v>
      </c>
      <c r="B1668" t="n">
        <v>2025</v>
      </c>
      <c r="C1668" t="inlineStr">
        <is>
          <t>May</t>
        </is>
      </c>
      <c r="D1668" t="inlineStr">
        <is>
          <t>Smart Drone</t>
        </is>
      </c>
      <c r="E1668" t="inlineStr">
        <is>
          <t>Toys &amp; Games</t>
        </is>
      </c>
      <c r="F1668" t="inlineStr">
        <is>
          <t>Anna Schmidt</t>
        </is>
      </c>
      <c r="G1668" t="inlineStr">
        <is>
          <t>Italy</t>
        </is>
      </c>
      <c r="H1668" t="inlineStr">
        <is>
          <t>Retail Store</t>
        </is>
      </c>
      <c r="I1668" t="n">
        <v>3</v>
      </c>
      <c r="J1668" s="3" t="n">
        <v>694.17</v>
      </c>
      <c r="K1668" s="3" t="n">
        <v>138.83</v>
      </c>
      <c r="L1668" s="3" t="n">
        <v>555.34</v>
      </c>
      <c r="M1668" s="3" t="n">
        <v>380.85</v>
      </c>
      <c r="N1668" s="3" t="n">
        <v>174.49</v>
      </c>
      <c r="O1668">
        <f>TEXT(A1668,"yyyy-mm")</f>
        <v/>
      </c>
    </row>
    <row r="1669">
      <c r="A1669" s="2" t="n">
        <v>45794</v>
      </c>
      <c r="B1669" t="n">
        <v>2025</v>
      </c>
      <c r="C1669" t="inlineStr">
        <is>
          <t>May</t>
        </is>
      </c>
      <c r="D1669" t="inlineStr">
        <is>
          <t>Smart Cookbook</t>
        </is>
      </c>
      <c r="E1669" t="inlineStr">
        <is>
          <t>Books</t>
        </is>
      </c>
      <c r="F1669" t="inlineStr">
        <is>
          <t>Daniel Rossi</t>
        </is>
      </c>
      <c r="G1669" t="inlineStr">
        <is>
          <t>Poland</t>
        </is>
      </c>
      <c r="H1669" t="inlineStr">
        <is>
          <t>Mobile App</t>
        </is>
      </c>
      <c r="I1669" t="n">
        <v>5</v>
      </c>
      <c r="J1669" s="3" t="n">
        <v>94.90000000000001</v>
      </c>
      <c r="K1669" s="3" t="n">
        <v>4.74</v>
      </c>
      <c r="L1669" s="3" t="n">
        <v>90.16</v>
      </c>
      <c r="M1669" s="3" t="n">
        <v>49.4</v>
      </c>
      <c r="N1669" s="3" t="n">
        <v>40.75</v>
      </c>
      <c r="O1669">
        <f>TEXT(A1669,"yyyy-mm")</f>
        <v/>
      </c>
    </row>
    <row r="1670">
      <c r="A1670" s="2" t="n">
        <v>45795</v>
      </c>
      <c r="B1670" t="n">
        <v>2025</v>
      </c>
      <c r="C1670" t="inlineStr">
        <is>
          <t>May</t>
        </is>
      </c>
      <c r="D1670" t="inlineStr">
        <is>
          <t>Portable Toolset</t>
        </is>
      </c>
      <c r="E1670" t="inlineStr">
        <is>
          <t>Home &amp; Garden</t>
        </is>
      </c>
      <c r="F1670" t="inlineStr">
        <is>
          <t>Emma Muller</t>
        </is>
      </c>
      <c r="G1670" t="inlineStr">
        <is>
          <t>United States</t>
        </is>
      </c>
      <c r="H1670" t="inlineStr">
        <is>
          <t>Mobile App</t>
        </is>
      </c>
      <c r="I1670" t="n">
        <v>3</v>
      </c>
      <c r="J1670" s="3" t="n">
        <v>272.67</v>
      </c>
      <c r="K1670" s="3" t="n">
        <v>0</v>
      </c>
      <c r="L1670" s="3" t="n">
        <v>272.67</v>
      </c>
      <c r="M1670" s="3" t="n">
        <v>151.62</v>
      </c>
      <c r="N1670" s="3" t="n">
        <v>121.05</v>
      </c>
      <c r="O1670">
        <f>TEXT(A1670,"yyyy-mm")</f>
        <v/>
      </c>
    </row>
    <row r="1671">
      <c r="A1671" s="2" t="n">
        <v>45795</v>
      </c>
      <c r="B1671" t="n">
        <v>2025</v>
      </c>
      <c r="C1671" t="inlineStr">
        <is>
          <t>May</t>
        </is>
      </c>
      <c r="D1671" t="inlineStr">
        <is>
          <t>Premium Water Bottle</t>
        </is>
      </c>
      <c r="E1671" t="inlineStr">
        <is>
          <t>Sports &amp; Outdoors</t>
        </is>
      </c>
      <c r="F1671" t="inlineStr">
        <is>
          <t>John Dubois</t>
        </is>
      </c>
      <c r="G1671" t="inlineStr">
        <is>
          <t>Netherlands</t>
        </is>
      </c>
      <c r="H1671" t="inlineStr">
        <is>
          <t>Web Store</t>
        </is>
      </c>
      <c r="I1671" t="n">
        <v>3</v>
      </c>
      <c r="J1671" s="3" t="n">
        <v>86.48999999999999</v>
      </c>
      <c r="K1671" s="3" t="n">
        <v>0</v>
      </c>
      <c r="L1671" s="3" t="n">
        <v>86.48999999999999</v>
      </c>
      <c r="M1671" s="3" t="n">
        <v>49.89</v>
      </c>
      <c r="N1671" s="3" t="n">
        <v>36.6</v>
      </c>
      <c r="O1671">
        <f>TEXT(A1671,"yyyy-mm")</f>
        <v/>
      </c>
    </row>
    <row r="1672">
      <c r="A1672" s="2" t="n">
        <v>45795</v>
      </c>
      <c r="B1672" t="n">
        <v>2025</v>
      </c>
      <c r="C1672" t="inlineStr">
        <is>
          <t>May</t>
        </is>
      </c>
      <c r="D1672" t="inlineStr">
        <is>
          <t>Wireless Coffee Beans</t>
        </is>
      </c>
      <c r="E1672" t="inlineStr">
        <is>
          <t>Grocery</t>
        </is>
      </c>
      <c r="F1672" t="inlineStr">
        <is>
          <t>John Dubois</t>
        </is>
      </c>
      <c r="G1672" t="inlineStr">
        <is>
          <t>Netherlands</t>
        </is>
      </c>
      <c r="H1672" t="inlineStr">
        <is>
          <t>Web Store</t>
        </is>
      </c>
      <c r="I1672" t="n">
        <v>3</v>
      </c>
      <c r="J1672" s="3" t="n">
        <v>349.5</v>
      </c>
      <c r="K1672" s="3" t="n">
        <v>0</v>
      </c>
      <c r="L1672" s="3" t="n">
        <v>349.5</v>
      </c>
      <c r="M1672" s="3" t="n">
        <v>238.11</v>
      </c>
      <c r="N1672" s="3" t="n">
        <v>111.39</v>
      </c>
      <c r="O1672">
        <f>TEXT(A1672,"yyyy-mm")</f>
        <v/>
      </c>
    </row>
    <row r="1673">
      <c r="A1673" s="2" t="n">
        <v>45795</v>
      </c>
      <c r="B1673" t="n">
        <v>2025</v>
      </c>
      <c r="C1673" t="inlineStr">
        <is>
          <t>May</t>
        </is>
      </c>
      <c r="D1673" t="inlineStr">
        <is>
          <t>Classic Tea Set</t>
        </is>
      </c>
      <c r="E1673" t="inlineStr">
        <is>
          <t>Grocery</t>
        </is>
      </c>
      <c r="F1673" t="inlineStr">
        <is>
          <t>John Dubois</t>
        </is>
      </c>
      <c r="G1673" t="inlineStr">
        <is>
          <t>Netherlands</t>
        </is>
      </c>
      <c r="H1673" t="inlineStr">
        <is>
          <t>Web Store</t>
        </is>
      </c>
      <c r="I1673" t="n">
        <v>3</v>
      </c>
      <c r="J1673" s="3" t="n">
        <v>567.45</v>
      </c>
      <c r="K1673" s="3" t="n">
        <v>85.12</v>
      </c>
      <c r="L1673" s="3" t="n">
        <v>482.33</v>
      </c>
      <c r="M1673" s="3" t="n">
        <v>376.2</v>
      </c>
      <c r="N1673" s="3" t="n">
        <v>106.13</v>
      </c>
      <c r="O1673">
        <f>TEXT(A1673,"yyyy-mm")</f>
        <v/>
      </c>
    </row>
    <row r="1674">
      <c r="A1674" s="2" t="n">
        <v>45795</v>
      </c>
      <c r="B1674" t="n">
        <v>2025</v>
      </c>
      <c r="C1674" t="inlineStr">
        <is>
          <t>May</t>
        </is>
      </c>
      <c r="D1674" t="inlineStr">
        <is>
          <t>Portable Toolset</t>
        </is>
      </c>
      <c r="E1674" t="inlineStr">
        <is>
          <t>Home &amp; Garden</t>
        </is>
      </c>
      <c r="F1674" t="inlineStr">
        <is>
          <t>John Dubois</t>
        </is>
      </c>
      <c r="G1674" t="inlineStr">
        <is>
          <t>Netherlands</t>
        </is>
      </c>
      <c r="H1674" t="inlineStr">
        <is>
          <t>Web Store</t>
        </is>
      </c>
      <c r="I1674" t="n">
        <v>5</v>
      </c>
      <c r="J1674" s="3" t="n">
        <v>744.3</v>
      </c>
      <c r="K1674" s="3" t="n">
        <v>0</v>
      </c>
      <c r="L1674" s="3" t="n">
        <v>744.3</v>
      </c>
      <c r="M1674" s="3" t="n">
        <v>464.25</v>
      </c>
      <c r="N1674" s="3" t="n">
        <v>280.05</v>
      </c>
      <c r="O1674">
        <f>TEXT(A1674,"yyyy-mm")</f>
        <v/>
      </c>
    </row>
    <row r="1675">
      <c r="A1675" s="2" t="n">
        <v>45795</v>
      </c>
      <c r="B1675" t="n">
        <v>2025</v>
      </c>
      <c r="C1675" t="inlineStr">
        <is>
          <t>May</t>
        </is>
      </c>
      <c r="D1675" t="inlineStr">
        <is>
          <t>Premium Water Bottle</t>
        </is>
      </c>
      <c r="E1675" t="inlineStr">
        <is>
          <t>Sports &amp; Outdoors</t>
        </is>
      </c>
      <c r="F1675" t="inlineStr">
        <is>
          <t>Clara Schmidt</t>
        </is>
      </c>
      <c r="G1675" t="inlineStr">
        <is>
          <t>United States</t>
        </is>
      </c>
      <c r="H1675" t="inlineStr">
        <is>
          <t>Retail Store</t>
        </is>
      </c>
      <c r="I1675" t="n">
        <v>5</v>
      </c>
      <c r="J1675" s="3" t="n">
        <v>585.1</v>
      </c>
      <c r="K1675" s="3" t="n">
        <v>29.26</v>
      </c>
      <c r="L1675" s="3" t="n">
        <v>555.84</v>
      </c>
      <c r="M1675" s="3" t="n">
        <v>448.1</v>
      </c>
      <c r="N1675" s="3" t="n">
        <v>107.74</v>
      </c>
      <c r="O1675">
        <f>TEXT(A1675,"yyyy-mm")</f>
        <v/>
      </c>
    </row>
    <row r="1676">
      <c r="A1676" s="2" t="n">
        <v>45795</v>
      </c>
      <c r="B1676" t="n">
        <v>2025</v>
      </c>
      <c r="C1676" t="inlineStr">
        <is>
          <t>May</t>
        </is>
      </c>
      <c r="D1676" t="inlineStr">
        <is>
          <t>Deluxe Scarf</t>
        </is>
      </c>
      <c r="E1676" t="inlineStr">
        <is>
          <t>Clothing</t>
        </is>
      </c>
      <c r="F1676" t="inlineStr">
        <is>
          <t>Clara Schmidt</t>
        </is>
      </c>
      <c r="G1676" t="inlineStr">
        <is>
          <t>United States</t>
        </is>
      </c>
      <c r="H1676" t="inlineStr">
        <is>
          <t>Retail Store</t>
        </is>
      </c>
      <c r="I1676" t="n">
        <v>3</v>
      </c>
      <c r="J1676" s="3" t="n">
        <v>628.95</v>
      </c>
      <c r="K1676" s="3" t="n">
        <v>31.45</v>
      </c>
      <c r="L1676" s="3" t="n">
        <v>597.5</v>
      </c>
      <c r="M1676" s="3" t="n">
        <v>325.56</v>
      </c>
      <c r="N1676" s="3" t="n">
        <v>271.94</v>
      </c>
      <c r="O1676">
        <f>TEXT(A1676,"yyyy-mm")</f>
        <v/>
      </c>
    </row>
    <row r="1677">
      <c r="A1677" s="2" t="n">
        <v>45795</v>
      </c>
      <c r="B1677" t="n">
        <v>2025</v>
      </c>
      <c r="C1677" t="inlineStr">
        <is>
          <t>May</t>
        </is>
      </c>
      <c r="D1677" t="inlineStr">
        <is>
          <t>Premium Rug</t>
        </is>
      </c>
      <c r="E1677" t="inlineStr">
        <is>
          <t>Home &amp; Garden</t>
        </is>
      </c>
      <c r="F1677" t="inlineStr">
        <is>
          <t>Emma Muller</t>
        </is>
      </c>
      <c r="G1677" t="inlineStr">
        <is>
          <t>United States</t>
        </is>
      </c>
      <c r="H1677" t="inlineStr">
        <is>
          <t>Mobile App</t>
        </is>
      </c>
      <c r="I1677" t="n">
        <v>3</v>
      </c>
      <c r="J1677" s="3" t="n">
        <v>540.3</v>
      </c>
      <c r="K1677" s="3" t="n">
        <v>0</v>
      </c>
      <c r="L1677" s="3" t="n">
        <v>540.3</v>
      </c>
      <c r="M1677" s="3" t="n">
        <v>333.57</v>
      </c>
      <c r="N1677" s="3" t="n">
        <v>206.73</v>
      </c>
      <c r="O1677">
        <f>TEXT(A1677,"yyyy-mm")</f>
        <v/>
      </c>
    </row>
    <row r="1678">
      <c r="A1678" s="2" t="n">
        <v>45795</v>
      </c>
      <c r="B1678" t="n">
        <v>2025</v>
      </c>
      <c r="C1678" t="inlineStr">
        <is>
          <t>May</t>
        </is>
      </c>
      <c r="D1678" t="inlineStr">
        <is>
          <t>Portable Puzzle</t>
        </is>
      </c>
      <c r="E1678" t="inlineStr">
        <is>
          <t>Toys &amp; Games</t>
        </is>
      </c>
      <c r="F1678" t="inlineStr">
        <is>
          <t>Clara Schmidt</t>
        </is>
      </c>
      <c r="G1678" t="inlineStr">
        <is>
          <t>United States</t>
        </is>
      </c>
      <c r="H1678" t="inlineStr">
        <is>
          <t>Retail Store</t>
        </is>
      </c>
      <c r="I1678" t="n">
        <v>4</v>
      </c>
      <c r="J1678" s="3" t="n">
        <v>433.56</v>
      </c>
      <c r="K1678" s="3" t="n">
        <v>0</v>
      </c>
      <c r="L1678" s="3" t="n">
        <v>433.56</v>
      </c>
      <c r="M1678" s="3" t="n">
        <v>235.2</v>
      </c>
      <c r="N1678" s="3" t="n">
        <v>198.36</v>
      </c>
      <c r="O1678">
        <f>TEXT(A1678,"yyyy-mm")</f>
        <v/>
      </c>
    </row>
    <row r="1679">
      <c r="A1679" s="2" t="n">
        <v>45795</v>
      </c>
      <c r="B1679" t="n">
        <v>2025</v>
      </c>
      <c r="C1679" t="inlineStr">
        <is>
          <t>May</t>
        </is>
      </c>
      <c r="D1679" t="inlineStr">
        <is>
          <t>Ultra Rug</t>
        </is>
      </c>
      <c r="E1679" t="inlineStr">
        <is>
          <t>Home &amp; Garden</t>
        </is>
      </c>
      <c r="F1679" t="inlineStr">
        <is>
          <t>Emma Muller</t>
        </is>
      </c>
      <c r="G1679" t="inlineStr">
        <is>
          <t>United States</t>
        </is>
      </c>
      <c r="H1679" t="inlineStr">
        <is>
          <t>Mobile App</t>
        </is>
      </c>
      <c r="I1679" t="n">
        <v>5</v>
      </c>
      <c r="J1679" s="3" t="n">
        <v>268</v>
      </c>
      <c r="K1679" s="3" t="n">
        <v>0</v>
      </c>
      <c r="L1679" s="3" t="n">
        <v>268</v>
      </c>
      <c r="M1679" s="3" t="n">
        <v>164.55</v>
      </c>
      <c r="N1679" s="3" t="n">
        <v>103.45</v>
      </c>
      <c r="O1679">
        <f>TEXT(A1679,"yyyy-mm")</f>
        <v/>
      </c>
    </row>
    <row r="1680">
      <c r="A1680" s="2" t="n">
        <v>45796</v>
      </c>
      <c r="B1680" t="n">
        <v>2025</v>
      </c>
      <c r="C1680" t="inlineStr">
        <is>
          <t>May</t>
        </is>
      </c>
      <c r="D1680" t="inlineStr">
        <is>
          <t>Eco Sweater</t>
        </is>
      </c>
      <c r="E1680" t="inlineStr">
        <is>
          <t>Clothing</t>
        </is>
      </c>
      <c r="F1680" t="inlineStr">
        <is>
          <t>Mark Moreau</t>
        </is>
      </c>
      <c r="G1680" t="inlineStr">
        <is>
          <t>Italy</t>
        </is>
      </c>
      <c r="H1680" t="inlineStr">
        <is>
          <t>Marketplace</t>
        </is>
      </c>
      <c r="I1680" t="n">
        <v>1</v>
      </c>
      <c r="J1680" s="3" t="n">
        <v>149.25</v>
      </c>
      <c r="K1680" s="3" t="n">
        <v>22.39</v>
      </c>
      <c r="L1680" s="3" t="n">
        <v>126.86</v>
      </c>
      <c r="M1680" s="3" t="n">
        <v>104.23</v>
      </c>
      <c r="N1680" s="3" t="n">
        <v>22.63</v>
      </c>
      <c r="O1680">
        <f>TEXT(A1680,"yyyy-mm")</f>
        <v/>
      </c>
    </row>
    <row r="1681">
      <c r="A1681" s="2" t="n">
        <v>45796</v>
      </c>
      <c r="B1681" t="n">
        <v>2025</v>
      </c>
      <c r="C1681" t="inlineStr">
        <is>
          <t>May</t>
        </is>
      </c>
      <c r="D1681" t="inlineStr">
        <is>
          <t>Classic Tent</t>
        </is>
      </c>
      <c r="E1681" t="inlineStr">
        <is>
          <t>Sports &amp; Outdoors</t>
        </is>
      </c>
      <c r="F1681" t="inlineStr">
        <is>
          <t>Olivia Fischer</t>
        </is>
      </c>
      <c r="G1681" t="inlineStr">
        <is>
          <t>France</t>
        </is>
      </c>
      <c r="H1681" t="inlineStr">
        <is>
          <t>Mobile App</t>
        </is>
      </c>
      <c r="I1681" t="n">
        <v>4</v>
      </c>
      <c r="J1681" s="3" t="n">
        <v>844.4400000000001</v>
      </c>
      <c r="K1681" s="3" t="n">
        <v>0</v>
      </c>
      <c r="L1681" s="3" t="n">
        <v>844.4400000000001</v>
      </c>
      <c r="M1681" s="3" t="n">
        <v>472.08</v>
      </c>
      <c r="N1681" s="3" t="n">
        <v>372.36</v>
      </c>
      <c r="O1681">
        <f>TEXT(A1681,"yyyy-mm")</f>
        <v/>
      </c>
    </row>
    <row r="1682">
      <c r="A1682" s="2" t="n">
        <v>45796</v>
      </c>
      <c r="B1682" t="n">
        <v>2025</v>
      </c>
      <c r="C1682" t="inlineStr">
        <is>
          <t>May</t>
        </is>
      </c>
      <c r="D1682" t="inlineStr">
        <is>
          <t>Smart Camera</t>
        </is>
      </c>
      <c r="E1682" t="inlineStr">
        <is>
          <t>Electronics</t>
        </is>
      </c>
      <c r="F1682" t="inlineStr">
        <is>
          <t>Olivia Fischer</t>
        </is>
      </c>
      <c r="G1682" t="inlineStr">
        <is>
          <t>France</t>
        </is>
      </c>
      <c r="H1682" t="inlineStr">
        <is>
          <t>Mobile App</t>
        </is>
      </c>
      <c r="I1682" t="n">
        <v>1</v>
      </c>
      <c r="J1682" s="3" t="n">
        <v>306.38</v>
      </c>
      <c r="K1682" s="3" t="n">
        <v>15.32</v>
      </c>
      <c r="L1682" s="3" t="n">
        <v>291.06</v>
      </c>
      <c r="M1682" s="3" t="n">
        <v>167.4</v>
      </c>
      <c r="N1682" s="3" t="n">
        <v>123.66</v>
      </c>
      <c r="O1682">
        <f>TEXT(A1682,"yyyy-mm")</f>
        <v/>
      </c>
    </row>
    <row r="1683">
      <c r="A1683" s="2" t="n">
        <v>45796</v>
      </c>
      <c r="B1683" t="n">
        <v>2025</v>
      </c>
      <c r="C1683" t="inlineStr">
        <is>
          <t>May</t>
        </is>
      </c>
      <c r="D1683" t="inlineStr">
        <is>
          <t>Smart Tea Set</t>
        </is>
      </c>
      <c r="E1683" t="inlineStr">
        <is>
          <t>Grocery</t>
        </is>
      </c>
      <c r="F1683" t="inlineStr">
        <is>
          <t>Olivia Fischer</t>
        </is>
      </c>
      <c r="G1683" t="inlineStr">
        <is>
          <t>France</t>
        </is>
      </c>
      <c r="H1683" t="inlineStr">
        <is>
          <t>Mobile App</t>
        </is>
      </c>
      <c r="I1683" t="n">
        <v>2</v>
      </c>
      <c r="J1683" s="3" t="n">
        <v>182.74</v>
      </c>
      <c r="K1683" s="3" t="n">
        <v>18.27</v>
      </c>
      <c r="L1683" s="3" t="n">
        <v>164.47</v>
      </c>
      <c r="M1683" s="3" t="n">
        <v>123.6</v>
      </c>
      <c r="N1683" s="3" t="n">
        <v>40.87</v>
      </c>
      <c r="O1683">
        <f>TEXT(A1683,"yyyy-mm")</f>
        <v/>
      </c>
    </row>
    <row r="1684">
      <c r="A1684" s="2" t="n">
        <v>45796</v>
      </c>
      <c r="B1684" t="n">
        <v>2025</v>
      </c>
      <c r="C1684" t="inlineStr">
        <is>
          <t>May</t>
        </is>
      </c>
      <c r="D1684" t="inlineStr">
        <is>
          <t>Ultra Toolset</t>
        </is>
      </c>
      <c r="E1684" t="inlineStr">
        <is>
          <t>Home &amp; Garden</t>
        </is>
      </c>
      <c r="F1684" t="inlineStr">
        <is>
          <t>Olivia Fischer</t>
        </is>
      </c>
      <c r="G1684" t="inlineStr">
        <is>
          <t>France</t>
        </is>
      </c>
      <c r="H1684" t="inlineStr">
        <is>
          <t>Mobile App</t>
        </is>
      </c>
      <c r="I1684" t="n">
        <v>5</v>
      </c>
      <c r="J1684" s="3" t="n">
        <v>1780.95</v>
      </c>
      <c r="K1684" s="3" t="n">
        <v>356.19</v>
      </c>
      <c r="L1684" s="3" t="n">
        <v>1424.76</v>
      </c>
      <c r="M1684" s="3" t="n">
        <v>952</v>
      </c>
      <c r="N1684" s="3" t="n">
        <v>472.76</v>
      </c>
      <c r="O1684">
        <f>TEXT(A1684,"yyyy-mm")</f>
        <v/>
      </c>
    </row>
    <row r="1685">
      <c r="A1685" s="2" t="n">
        <v>45796</v>
      </c>
      <c r="B1685" t="n">
        <v>2025</v>
      </c>
      <c r="C1685" t="inlineStr">
        <is>
          <t>May</t>
        </is>
      </c>
      <c r="D1685" t="inlineStr">
        <is>
          <t>Eco Backpack</t>
        </is>
      </c>
      <c r="E1685" t="inlineStr">
        <is>
          <t>Sports &amp; Outdoors</t>
        </is>
      </c>
      <c r="F1685" t="inlineStr">
        <is>
          <t>Mark Moreau</t>
        </is>
      </c>
      <c r="G1685" t="inlineStr">
        <is>
          <t>Italy</t>
        </is>
      </c>
      <c r="H1685" t="inlineStr">
        <is>
          <t>Marketplace</t>
        </is>
      </c>
      <c r="I1685" t="n">
        <v>4</v>
      </c>
      <c r="J1685" s="3" t="n">
        <v>1098.72</v>
      </c>
      <c r="K1685" s="3" t="n">
        <v>109.87</v>
      </c>
      <c r="L1685" s="3" t="n">
        <v>988.85</v>
      </c>
      <c r="M1685" s="3" t="n">
        <v>586.3200000000001</v>
      </c>
      <c r="N1685" s="3" t="n">
        <v>402.53</v>
      </c>
      <c r="O1685">
        <f>TEXT(A1685,"yyyy-mm")</f>
        <v/>
      </c>
    </row>
    <row r="1686">
      <c r="A1686" s="2" t="n">
        <v>45796</v>
      </c>
      <c r="B1686" t="n">
        <v>2025</v>
      </c>
      <c r="C1686" t="inlineStr">
        <is>
          <t>May</t>
        </is>
      </c>
      <c r="D1686" t="inlineStr">
        <is>
          <t>Classic Tea Set</t>
        </is>
      </c>
      <c r="E1686" t="inlineStr">
        <is>
          <t>Grocery</t>
        </is>
      </c>
      <c r="F1686" t="inlineStr">
        <is>
          <t>Mark Moreau</t>
        </is>
      </c>
      <c r="G1686" t="inlineStr">
        <is>
          <t>Italy</t>
        </is>
      </c>
      <c r="H1686" t="inlineStr">
        <is>
          <t>Marketplace</t>
        </is>
      </c>
      <c r="I1686" t="n">
        <v>4</v>
      </c>
      <c r="J1686" s="3" t="n">
        <v>712.16</v>
      </c>
      <c r="K1686" s="3" t="n">
        <v>142.43</v>
      </c>
      <c r="L1686" s="3" t="n">
        <v>569.73</v>
      </c>
      <c r="M1686" s="3" t="n">
        <v>501.6</v>
      </c>
      <c r="N1686" s="3" t="n">
        <v>68.13</v>
      </c>
      <c r="O1686">
        <f>TEXT(A1686,"yyyy-mm")</f>
        <v/>
      </c>
    </row>
    <row r="1687">
      <c r="A1687" s="2" t="n">
        <v>45798</v>
      </c>
      <c r="B1687" t="n">
        <v>2025</v>
      </c>
      <c r="C1687" t="inlineStr">
        <is>
          <t>May</t>
        </is>
      </c>
      <c r="D1687" t="inlineStr">
        <is>
          <t>Essential Notebook</t>
        </is>
      </c>
      <c r="E1687" t="inlineStr">
        <is>
          <t>Books</t>
        </is>
      </c>
      <c r="F1687" t="inlineStr">
        <is>
          <t>Sophie Brown</t>
        </is>
      </c>
      <c r="G1687" t="inlineStr">
        <is>
          <t>United States</t>
        </is>
      </c>
      <c r="H1687" t="inlineStr">
        <is>
          <t>Mobile App</t>
        </is>
      </c>
      <c r="I1687" t="n">
        <v>4</v>
      </c>
      <c r="J1687" s="3" t="n">
        <v>483.08</v>
      </c>
      <c r="K1687" s="3" t="n">
        <v>0</v>
      </c>
      <c r="L1687" s="3" t="n">
        <v>483.08</v>
      </c>
      <c r="M1687" s="3" t="n">
        <v>316.4</v>
      </c>
      <c r="N1687" s="3" t="n">
        <v>166.68</v>
      </c>
      <c r="O1687">
        <f>TEXT(A1687,"yyyy-mm")</f>
        <v/>
      </c>
    </row>
    <row r="1688">
      <c r="A1688" s="2" t="n">
        <v>45798</v>
      </c>
      <c r="B1688" t="n">
        <v>2025</v>
      </c>
      <c r="C1688" t="inlineStr">
        <is>
          <t>May</t>
        </is>
      </c>
      <c r="D1688" t="inlineStr">
        <is>
          <t>Ultra Toolset</t>
        </is>
      </c>
      <c r="E1688" t="inlineStr">
        <is>
          <t>Home &amp; Garden</t>
        </is>
      </c>
      <c r="F1688" t="inlineStr">
        <is>
          <t>Sophie Brown</t>
        </is>
      </c>
      <c r="G1688" t="inlineStr">
        <is>
          <t>United States</t>
        </is>
      </c>
      <c r="H1688" t="inlineStr">
        <is>
          <t>Mobile App</t>
        </is>
      </c>
      <c r="I1688" t="n">
        <v>2</v>
      </c>
      <c r="J1688" s="3" t="n">
        <v>714.76</v>
      </c>
      <c r="K1688" s="3" t="n">
        <v>107.21</v>
      </c>
      <c r="L1688" s="3" t="n">
        <v>607.55</v>
      </c>
      <c r="M1688" s="3" t="n">
        <v>380.8</v>
      </c>
      <c r="N1688" s="3" t="n">
        <v>226.75</v>
      </c>
      <c r="O1688">
        <f>TEXT(A1688,"yyyy-mm")</f>
        <v/>
      </c>
    </row>
    <row r="1689">
      <c r="A1689" s="2" t="n">
        <v>45798</v>
      </c>
      <c r="B1689" t="n">
        <v>2025</v>
      </c>
      <c r="C1689" t="inlineStr">
        <is>
          <t>May</t>
        </is>
      </c>
      <c r="D1689" t="inlineStr">
        <is>
          <t>Smart Honey</t>
        </is>
      </c>
      <c r="E1689" t="inlineStr">
        <is>
          <t>Grocery</t>
        </is>
      </c>
      <c r="F1689" t="inlineStr">
        <is>
          <t>Sophie Brown</t>
        </is>
      </c>
      <c r="G1689" t="inlineStr">
        <is>
          <t>United States</t>
        </is>
      </c>
      <c r="H1689" t="inlineStr">
        <is>
          <t>Mobile App</t>
        </is>
      </c>
      <c r="I1689" t="n">
        <v>2</v>
      </c>
      <c r="J1689" s="3" t="n">
        <v>268.52</v>
      </c>
      <c r="K1689" s="3" t="n">
        <v>53.7</v>
      </c>
      <c r="L1689" s="3" t="n">
        <v>214.82</v>
      </c>
      <c r="M1689" s="3" t="n">
        <v>142.88</v>
      </c>
      <c r="N1689" s="3" t="n">
        <v>71.94</v>
      </c>
      <c r="O1689">
        <f>TEXT(A1689,"yyyy-mm")</f>
        <v/>
      </c>
    </row>
    <row r="1690">
      <c r="A1690" s="2" t="n">
        <v>45798</v>
      </c>
      <c r="B1690" t="n">
        <v>2025</v>
      </c>
      <c r="C1690" t="inlineStr">
        <is>
          <t>May</t>
        </is>
      </c>
      <c r="D1690" t="inlineStr">
        <is>
          <t>Essential Planter</t>
        </is>
      </c>
      <c r="E1690" t="inlineStr">
        <is>
          <t>Home &amp; Garden</t>
        </is>
      </c>
      <c r="F1690" t="inlineStr">
        <is>
          <t>Daniel Garcia</t>
        </is>
      </c>
      <c r="G1690" t="inlineStr">
        <is>
          <t>Spain</t>
        </is>
      </c>
      <c r="H1690" t="inlineStr">
        <is>
          <t>Web Store</t>
        </is>
      </c>
      <c r="I1690" t="n">
        <v>3</v>
      </c>
      <c r="J1690" s="3" t="n">
        <v>73.31999999999999</v>
      </c>
      <c r="K1690" s="3" t="n">
        <v>0</v>
      </c>
      <c r="L1690" s="3" t="n">
        <v>73.31999999999999</v>
      </c>
      <c r="M1690" s="3" t="n">
        <v>58.92</v>
      </c>
      <c r="N1690" s="3" t="n">
        <v>14.4</v>
      </c>
      <c r="O1690">
        <f>TEXT(A1690,"yyyy-mm")</f>
        <v/>
      </c>
    </row>
    <row r="1691">
      <c r="A1691" s="2" t="n">
        <v>45798</v>
      </c>
      <c r="B1691" t="n">
        <v>2025</v>
      </c>
      <c r="C1691" t="inlineStr">
        <is>
          <t>May</t>
        </is>
      </c>
      <c r="D1691" t="inlineStr">
        <is>
          <t>Deluxe Notebook</t>
        </is>
      </c>
      <c r="E1691" t="inlineStr">
        <is>
          <t>Books</t>
        </is>
      </c>
      <c r="F1691" t="inlineStr">
        <is>
          <t>Michael Conti</t>
        </is>
      </c>
      <c r="G1691" t="inlineStr">
        <is>
          <t>Germany</t>
        </is>
      </c>
      <c r="H1691" t="inlineStr">
        <is>
          <t>Web Store</t>
        </is>
      </c>
      <c r="I1691" t="n">
        <v>3</v>
      </c>
      <c r="J1691" s="3" t="n">
        <v>631.92</v>
      </c>
      <c r="K1691" s="3" t="n">
        <v>31.6</v>
      </c>
      <c r="L1691" s="3" t="n">
        <v>600.3200000000001</v>
      </c>
      <c r="M1691" s="3" t="n">
        <v>452.28</v>
      </c>
      <c r="N1691" s="3" t="n">
        <v>148.04</v>
      </c>
      <c r="O1691">
        <f>TEXT(A1691,"yyyy-mm")</f>
        <v/>
      </c>
    </row>
    <row r="1692">
      <c r="A1692" s="2" t="n">
        <v>45798</v>
      </c>
      <c r="B1692" t="n">
        <v>2025</v>
      </c>
      <c r="C1692" t="inlineStr">
        <is>
          <t>May</t>
        </is>
      </c>
      <c r="D1692" t="inlineStr">
        <is>
          <t>Essential Jacket</t>
        </is>
      </c>
      <c r="E1692" t="inlineStr">
        <is>
          <t>Clothing</t>
        </is>
      </c>
      <c r="F1692" t="inlineStr">
        <is>
          <t>Michael Conti</t>
        </is>
      </c>
      <c r="G1692" t="inlineStr">
        <is>
          <t>Germany</t>
        </is>
      </c>
      <c r="H1692" t="inlineStr">
        <is>
          <t>Web Store</t>
        </is>
      </c>
      <c r="I1692" t="n">
        <v>2</v>
      </c>
      <c r="J1692" s="3" t="n">
        <v>294.84</v>
      </c>
      <c r="K1692" s="3" t="n">
        <v>0</v>
      </c>
      <c r="L1692" s="3" t="n">
        <v>294.84</v>
      </c>
      <c r="M1692" s="3" t="n">
        <v>170.7</v>
      </c>
      <c r="N1692" s="3" t="n">
        <v>124.14</v>
      </c>
      <c r="O1692">
        <f>TEXT(A1692,"yyyy-mm")</f>
        <v/>
      </c>
    </row>
    <row r="1693">
      <c r="A1693" s="2" t="n">
        <v>45798</v>
      </c>
      <c r="B1693" t="n">
        <v>2025</v>
      </c>
      <c r="C1693" t="inlineStr">
        <is>
          <t>May</t>
        </is>
      </c>
      <c r="D1693" t="inlineStr">
        <is>
          <t>Smart Board Game</t>
        </is>
      </c>
      <c r="E1693" t="inlineStr">
        <is>
          <t>Toys &amp; Games</t>
        </is>
      </c>
      <c r="F1693" t="inlineStr">
        <is>
          <t>Olivia Smith</t>
        </is>
      </c>
      <c r="G1693" t="inlineStr">
        <is>
          <t>Italy</t>
        </is>
      </c>
      <c r="H1693" t="inlineStr">
        <is>
          <t>Retail Store</t>
        </is>
      </c>
      <c r="I1693" t="n">
        <v>5</v>
      </c>
      <c r="J1693" s="3" t="n">
        <v>649.15</v>
      </c>
      <c r="K1693" s="3" t="n">
        <v>97.37</v>
      </c>
      <c r="L1693" s="3" t="n">
        <v>551.78</v>
      </c>
      <c r="M1693" s="3" t="n">
        <v>458.6</v>
      </c>
      <c r="N1693" s="3" t="n">
        <v>93.18000000000001</v>
      </c>
      <c r="O1693">
        <f>TEXT(A1693,"yyyy-mm")</f>
        <v/>
      </c>
    </row>
    <row r="1694">
      <c r="A1694" s="2" t="n">
        <v>45798</v>
      </c>
      <c r="B1694" t="n">
        <v>2025</v>
      </c>
      <c r="C1694" t="inlineStr">
        <is>
          <t>May</t>
        </is>
      </c>
      <c r="D1694" t="inlineStr">
        <is>
          <t>Portable Toolset</t>
        </is>
      </c>
      <c r="E1694" t="inlineStr">
        <is>
          <t>Home &amp; Garden</t>
        </is>
      </c>
      <c r="F1694" t="inlineStr">
        <is>
          <t>Olivia Smith</t>
        </is>
      </c>
      <c r="G1694" t="inlineStr">
        <is>
          <t>Italy</t>
        </is>
      </c>
      <c r="H1694" t="inlineStr">
        <is>
          <t>Retail Store</t>
        </is>
      </c>
      <c r="I1694" t="n">
        <v>5</v>
      </c>
      <c r="J1694" s="3" t="n">
        <v>751.35</v>
      </c>
      <c r="K1694" s="3" t="n">
        <v>37.57</v>
      </c>
      <c r="L1694" s="3" t="n">
        <v>713.78</v>
      </c>
      <c r="M1694" s="3" t="n">
        <v>464.25</v>
      </c>
      <c r="N1694" s="3" t="n">
        <v>249.53</v>
      </c>
      <c r="O1694">
        <f>TEXT(A1694,"yyyy-mm")</f>
        <v/>
      </c>
    </row>
    <row r="1695">
      <c r="A1695" s="2" t="n">
        <v>45799</v>
      </c>
      <c r="B1695" t="n">
        <v>2025</v>
      </c>
      <c r="C1695" t="inlineStr">
        <is>
          <t>May</t>
        </is>
      </c>
      <c r="D1695" t="inlineStr">
        <is>
          <t>Essential Toolset</t>
        </is>
      </c>
      <c r="E1695" t="inlineStr">
        <is>
          <t>Home &amp; Garden</t>
        </is>
      </c>
      <c r="F1695" t="inlineStr">
        <is>
          <t>Anna Fischer</t>
        </is>
      </c>
      <c r="G1695" t="inlineStr">
        <is>
          <t>Spain</t>
        </is>
      </c>
      <c r="H1695" t="inlineStr">
        <is>
          <t>Mobile App</t>
        </is>
      </c>
      <c r="I1695" t="n">
        <v>2</v>
      </c>
      <c r="J1695" s="3" t="n">
        <v>434.54</v>
      </c>
      <c r="K1695" s="3" t="n">
        <v>21.73</v>
      </c>
      <c r="L1695" s="3" t="n">
        <v>412.81</v>
      </c>
      <c r="M1695" s="3" t="n">
        <v>301.06</v>
      </c>
      <c r="N1695" s="3" t="n">
        <v>111.75</v>
      </c>
      <c r="O1695">
        <f>TEXT(A1695,"yyyy-mm")</f>
        <v/>
      </c>
    </row>
    <row r="1696">
      <c r="A1696" s="2" t="n">
        <v>45799</v>
      </c>
      <c r="B1696" t="n">
        <v>2025</v>
      </c>
      <c r="C1696" t="inlineStr">
        <is>
          <t>May</t>
        </is>
      </c>
      <c r="D1696" t="inlineStr">
        <is>
          <t>Essential Notebook</t>
        </is>
      </c>
      <c r="E1696" t="inlineStr">
        <is>
          <t>Books</t>
        </is>
      </c>
      <c r="F1696" t="inlineStr">
        <is>
          <t>Anna Fischer</t>
        </is>
      </c>
      <c r="G1696" t="inlineStr">
        <is>
          <t>Spain</t>
        </is>
      </c>
      <c r="H1696" t="inlineStr">
        <is>
          <t>Mobile App</t>
        </is>
      </c>
      <c r="I1696" t="n">
        <v>3</v>
      </c>
      <c r="J1696" s="3" t="n">
        <v>359.79</v>
      </c>
      <c r="K1696" s="3" t="n">
        <v>53.97</v>
      </c>
      <c r="L1696" s="3" t="n">
        <v>305.82</v>
      </c>
      <c r="M1696" s="3" t="n">
        <v>237.3</v>
      </c>
      <c r="N1696" s="3" t="n">
        <v>68.52</v>
      </c>
      <c r="O1696">
        <f>TEXT(A1696,"yyyy-mm")</f>
        <v/>
      </c>
    </row>
    <row r="1697">
      <c r="A1697" s="2" t="n">
        <v>45799</v>
      </c>
      <c r="B1697" t="n">
        <v>2025</v>
      </c>
      <c r="C1697" t="inlineStr">
        <is>
          <t>May</t>
        </is>
      </c>
      <c r="D1697" t="inlineStr">
        <is>
          <t>Compact Jacket</t>
        </is>
      </c>
      <c r="E1697" t="inlineStr">
        <is>
          <t>Clothing</t>
        </is>
      </c>
      <c r="F1697" t="inlineStr">
        <is>
          <t>Clara Smith</t>
        </is>
      </c>
      <c r="G1697" t="inlineStr">
        <is>
          <t>France</t>
        </is>
      </c>
      <c r="H1697" t="inlineStr">
        <is>
          <t>Mobile App</t>
        </is>
      </c>
      <c r="I1697" t="n">
        <v>5</v>
      </c>
      <c r="J1697" s="3" t="n">
        <v>182.8</v>
      </c>
      <c r="K1697" s="3" t="n">
        <v>0</v>
      </c>
      <c r="L1697" s="3" t="n">
        <v>182.8</v>
      </c>
      <c r="M1697" s="3" t="n">
        <v>102</v>
      </c>
      <c r="N1697" s="3" t="n">
        <v>80.8</v>
      </c>
      <c r="O1697">
        <f>TEXT(A1697,"yyyy-mm")</f>
        <v/>
      </c>
    </row>
    <row r="1698">
      <c r="A1698" s="2" t="n">
        <v>45799</v>
      </c>
      <c r="B1698" t="n">
        <v>2025</v>
      </c>
      <c r="C1698" t="inlineStr">
        <is>
          <t>May</t>
        </is>
      </c>
      <c r="D1698" t="inlineStr">
        <is>
          <t>Premium Water Bottle</t>
        </is>
      </c>
      <c r="E1698" t="inlineStr">
        <is>
          <t>Sports &amp; Outdoors</t>
        </is>
      </c>
      <c r="F1698" t="inlineStr">
        <is>
          <t>Clara Smith</t>
        </is>
      </c>
      <c r="G1698" t="inlineStr">
        <is>
          <t>France</t>
        </is>
      </c>
      <c r="H1698" t="inlineStr">
        <is>
          <t>Mobile App</t>
        </is>
      </c>
      <c r="I1698" t="n">
        <v>4</v>
      </c>
      <c r="J1698" s="3" t="n">
        <v>463.16</v>
      </c>
      <c r="K1698" s="3" t="n">
        <v>23.16</v>
      </c>
      <c r="L1698" s="3" t="n">
        <v>440</v>
      </c>
      <c r="M1698" s="3" t="n">
        <v>358.48</v>
      </c>
      <c r="N1698" s="3" t="n">
        <v>81.52</v>
      </c>
      <c r="O1698">
        <f>TEXT(A1698,"yyyy-mm")</f>
        <v/>
      </c>
    </row>
    <row r="1699">
      <c r="A1699" s="2" t="n">
        <v>45799</v>
      </c>
      <c r="B1699" t="n">
        <v>2025</v>
      </c>
      <c r="C1699" t="inlineStr">
        <is>
          <t>May</t>
        </is>
      </c>
      <c r="D1699" t="inlineStr">
        <is>
          <t>Essential Notebook</t>
        </is>
      </c>
      <c r="E1699" t="inlineStr">
        <is>
          <t>Books</t>
        </is>
      </c>
      <c r="F1699" t="inlineStr">
        <is>
          <t>Clara Smith</t>
        </is>
      </c>
      <c r="G1699" t="inlineStr">
        <is>
          <t>France</t>
        </is>
      </c>
      <c r="H1699" t="inlineStr">
        <is>
          <t>Mobile App</t>
        </is>
      </c>
      <c r="I1699" t="n">
        <v>4</v>
      </c>
      <c r="J1699" s="3" t="n">
        <v>457.88</v>
      </c>
      <c r="K1699" s="3" t="n">
        <v>0</v>
      </c>
      <c r="L1699" s="3" t="n">
        <v>457.88</v>
      </c>
      <c r="M1699" s="3" t="n">
        <v>316.4</v>
      </c>
      <c r="N1699" s="3" t="n">
        <v>141.48</v>
      </c>
      <c r="O1699">
        <f>TEXT(A1699,"yyyy-mm")</f>
        <v/>
      </c>
    </row>
    <row r="1700">
      <c r="A1700" s="2" t="n">
        <v>45800</v>
      </c>
      <c r="B1700" t="n">
        <v>2025</v>
      </c>
      <c r="C1700" t="inlineStr">
        <is>
          <t>May</t>
        </is>
      </c>
      <c r="D1700" t="inlineStr">
        <is>
          <t>Portable Tea Set</t>
        </is>
      </c>
      <c r="E1700" t="inlineStr">
        <is>
          <t>Grocery</t>
        </is>
      </c>
      <c r="F1700" t="inlineStr">
        <is>
          <t>David Nowak</t>
        </is>
      </c>
      <c r="G1700" t="inlineStr">
        <is>
          <t>Spain</t>
        </is>
      </c>
      <c r="H1700" t="inlineStr">
        <is>
          <t>Marketplace</t>
        </is>
      </c>
      <c r="I1700" t="n">
        <v>1</v>
      </c>
      <c r="J1700" s="3" t="n">
        <v>285.39</v>
      </c>
      <c r="K1700" s="3" t="n">
        <v>42.81</v>
      </c>
      <c r="L1700" s="3" t="n">
        <v>242.58</v>
      </c>
      <c r="M1700" s="3" t="n">
        <v>188.12</v>
      </c>
      <c r="N1700" s="3" t="n">
        <v>54.46</v>
      </c>
      <c r="O1700">
        <f>TEXT(A1700,"yyyy-mm")</f>
        <v/>
      </c>
    </row>
    <row r="1701">
      <c r="A1701" s="2" t="n">
        <v>45801</v>
      </c>
      <c r="B1701" t="n">
        <v>2025</v>
      </c>
      <c r="C1701" t="inlineStr">
        <is>
          <t>May</t>
        </is>
      </c>
      <c r="D1701" t="inlineStr">
        <is>
          <t>Smart Board Game</t>
        </is>
      </c>
      <c r="E1701" t="inlineStr">
        <is>
          <t>Toys &amp; Games</t>
        </is>
      </c>
      <c r="F1701" t="inlineStr">
        <is>
          <t>Clara Schmidt</t>
        </is>
      </c>
      <c r="G1701" t="inlineStr">
        <is>
          <t>Spain</t>
        </is>
      </c>
      <c r="H1701" t="inlineStr">
        <is>
          <t>Web Store</t>
        </is>
      </c>
      <c r="I1701" t="n">
        <v>1</v>
      </c>
      <c r="J1701" s="3" t="n">
        <v>134.17</v>
      </c>
      <c r="K1701" s="3" t="n">
        <v>26.83</v>
      </c>
      <c r="L1701" s="3" t="n">
        <v>107.34</v>
      </c>
      <c r="M1701" s="3" t="n">
        <v>91.72</v>
      </c>
      <c r="N1701" s="3" t="n">
        <v>15.62</v>
      </c>
      <c r="O1701">
        <f>TEXT(A1701,"yyyy-mm")</f>
        <v/>
      </c>
    </row>
    <row r="1702">
      <c r="A1702" s="2" t="n">
        <v>45801</v>
      </c>
      <c r="B1702" t="n">
        <v>2025</v>
      </c>
      <c r="C1702" t="inlineStr">
        <is>
          <t>May</t>
        </is>
      </c>
      <c r="D1702" t="inlineStr">
        <is>
          <t>Essential Jacket</t>
        </is>
      </c>
      <c r="E1702" t="inlineStr">
        <is>
          <t>Clothing</t>
        </is>
      </c>
      <c r="F1702" t="inlineStr">
        <is>
          <t>Clara Schmidt</t>
        </is>
      </c>
      <c r="G1702" t="inlineStr">
        <is>
          <t>Spain</t>
        </is>
      </c>
      <c r="H1702" t="inlineStr">
        <is>
          <t>Web Store</t>
        </is>
      </c>
      <c r="I1702" t="n">
        <v>4</v>
      </c>
      <c r="J1702" s="3" t="n">
        <v>578.12</v>
      </c>
      <c r="K1702" s="3" t="n">
        <v>115.62</v>
      </c>
      <c r="L1702" s="3" t="n">
        <v>462.5</v>
      </c>
      <c r="M1702" s="3" t="n">
        <v>341.4</v>
      </c>
      <c r="N1702" s="3" t="n">
        <v>121.1</v>
      </c>
      <c r="O1702">
        <f>TEXT(A1702,"yyyy-mm")</f>
        <v/>
      </c>
    </row>
    <row r="1703">
      <c r="A1703" s="2" t="n">
        <v>45801</v>
      </c>
      <c r="B1703" t="n">
        <v>2025</v>
      </c>
      <c r="C1703" t="inlineStr">
        <is>
          <t>May</t>
        </is>
      </c>
      <c r="D1703" t="inlineStr">
        <is>
          <t>Essential Lamp</t>
        </is>
      </c>
      <c r="E1703" t="inlineStr">
        <is>
          <t>Home &amp; Garden</t>
        </is>
      </c>
      <c r="F1703" t="inlineStr">
        <is>
          <t>Peter Muller</t>
        </is>
      </c>
      <c r="G1703" t="inlineStr">
        <is>
          <t>Italy</t>
        </is>
      </c>
      <c r="H1703" t="inlineStr">
        <is>
          <t>Marketplace</t>
        </is>
      </c>
      <c r="I1703" t="n">
        <v>4</v>
      </c>
      <c r="J1703" s="3" t="n">
        <v>247.28</v>
      </c>
      <c r="K1703" s="3" t="n">
        <v>24.73</v>
      </c>
      <c r="L1703" s="3" t="n">
        <v>222.55</v>
      </c>
      <c r="M1703" s="3" t="n">
        <v>181.6</v>
      </c>
      <c r="N1703" s="3" t="n">
        <v>40.95</v>
      </c>
      <c r="O1703">
        <f>TEXT(A1703,"yyyy-mm")</f>
        <v/>
      </c>
    </row>
    <row r="1704">
      <c r="A1704" s="2" t="n">
        <v>45801</v>
      </c>
      <c r="B1704" t="n">
        <v>2025</v>
      </c>
      <c r="C1704" t="inlineStr">
        <is>
          <t>May</t>
        </is>
      </c>
      <c r="D1704" t="inlineStr">
        <is>
          <t>Wireless Coffee Beans</t>
        </is>
      </c>
      <c r="E1704" t="inlineStr">
        <is>
          <t>Grocery</t>
        </is>
      </c>
      <c r="F1704" t="inlineStr">
        <is>
          <t>Clara Schmidt</t>
        </is>
      </c>
      <c r="G1704" t="inlineStr">
        <is>
          <t>Spain</t>
        </is>
      </c>
      <c r="H1704" t="inlineStr">
        <is>
          <t>Web Store</t>
        </is>
      </c>
      <c r="I1704" t="n">
        <v>3</v>
      </c>
      <c r="J1704" s="3" t="n">
        <v>347.76</v>
      </c>
      <c r="K1704" s="3" t="n">
        <v>0</v>
      </c>
      <c r="L1704" s="3" t="n">
        <v>347.76</v>
      </c>
      <c r="M1704" s="3" t="n">
        <v>238.11</v>
      </c>
      <c r="N1704" s="3" t="n">
        <v>109.65</v>
      </c>
      <c r="O1704">
        <f>TEXT(A1704,"yyyy-mm")</f>
        <v/>
      </c>
    </row>
    <row r="1705">
      <c r="A1705" s="2" t="n">
        <v>45801</v>
      </c>
      <c r="B1705" t="n">
        <v>2025</v>
      </c>
      <c r="C1705" t="inlineStr">
        <is>
          <t>May</t>
        </is>
      </c>
      <c r="D1705" t="inlineStr">
        <is>
          <t>Essential Rug</t>
        </is>
      </c>
      <c r="E1705" t="inlineStr">
        <is>
          <t>Home &amp; Garden</t>
        </is>
      </c>
      <c r="F1705" t="inlineStr">
        <is>
          <t>Clara Schmidt</t>
        </is>
      </c>
      <c r="G1705" t="inlineStr">
        <is>
          <t>Spain</t>
        </is>
      </c>
      <c r="H1705" t="inlineStr">
        <is>
          <t>Web Store</t>
        </is>
      </c>
      <c r="I1705" t="n">
        <v>5</v>
      </c>
      <c r="J1705" s="3" t="n">
        <v>671.6</v>
      </c>
      <c r="K1705" s="3" t="n">
        <v>100.74</v>
      </c>
      <c r="L1705" s="3" t="n">
        <v>570.86</v>
      </c>
      <c r="M1705" s="3" t="n">
        <v>381.65</v>
      </c>
      <c r="N1705" s="3" t="n">
        <v>189.21</v>
      </c>
      <c r="O1705">
        <f>TEXT(A1705,"yyyy-mm")</f>
        <v/>
      </c>
    </row>
    <row r="1706">
      <c r="A1706" s="2" t="n">
        <v>45802</v>
      </c>
      <c r="B1706" t="n">
        <v>2025</v>
      </c>
      <c r="C1706" t="inlineStr">
        <is>
          <t>May</t>
        </is>
      </c>
      <c r="D1706" t="inlineStr">
        <is>
          <t>Ultra Toolset</t>
        </is>
      </c>
      <c r="E1706" t="inlineStr">
        <is>
          <t>Home &amp; Garden</t>
        </is>
      </c>
      <c r="F1706" t="inlineStr">
        <is>
          <t>David Bianchi</t>
        </is>
      </c>
      <c r="G1706" t="inlineStr">
        <is>
          <t>Netherlands</t>
        </is>
      </c>
      <c r="H1706" t="inlineStr">
        <is>
          <t>Web Store</t>
        </is>
      </c>
      <c r="I1706" t="n">
        <v>3</v>
      </c>
      <c r="J1706" s="3" t="n">
        <v>1092.99</v>
      </c>
      <c r="K1706" s="3" t="n">
        <v>0</v>
      </c>
      <c r="L1706" s="3" t="n">
        <v>1092.99</v>
      </c>
      <c r="M1706" s="3" t="n">
        <v>571.2</v>
      </c>
      <c r="N1706" s="3" t="n">
        <v>521.79</v>
      </c>
      <c r="O1706">
        <f>TEXT(A1706,"yyyy-mm")</f>
        <v/>
      </c>
    </row>
    <row r="1707">
      <c r="A1707" s="2" t="n">
        <v>45802</v>
      </c>
      <c r="B1707" t="n">
        <v>2025</v>
      </c>
      <c r="C1707" t="inlineStr">
        <is>
          <t>May</t>
        </is>
      </c>
      <c r="D1707" t="inlineStr">
        <is>
          <t>Wireless Cookbook</t>
        </is>
      </c>
      <c r="E1707" t="inlineStr">
        <is>
          <t>Books</t>
        </is>
      </c>
      <c r="F1707" t="inlineStr">
        <is>
          <t>David Bianchi</t>
        </is>
      </c>
      <c r="G1707" t="inlineStr">
        <is>
          <t>Netherlands</t>
        </is>
      </c>
      <c r="H1707" t="inlineStr">
        <is>
          <t>Web Store</t>
        </is>
      </c>
      <c r="I1707" t="n">
        <v>4</v>
      </c>
      <c r="J1707" s="3" t="n">
        <v>300.48</v>
      </c>
      <c r="K1707" s="3" t="n">
        <v>0</v>
      </c>
      <c r="L1707" s="3" t="n">
        <v>300.48</v>
      </c>
      <c r="M1707" s="3" t="n">
        <v>226.44</v>
      </c>
      <c r="N1707" s="3" t="n">
        <v>74.04000000000001</v>
      </c>
      <c r="O1707">
        <f>TEXT(A1707,"yyyy-mm")</f>
        <v/>
      </c>
    </row>
    <row r="1708">
      <c r="A1708" s="2" t="n">
        <v>45802</v>
      </c>
      <c r="B1708" t="n">
        <v>2025</v>
      </c>
      <c r="C1708" t="inlineStr">
        <is>
          <t>May</t>
        </is>
      </c>
      <c r="D1708" t="inlineStr">
        <is>
          <t>Deluxe Toolset</t>
        </is>
      </c>
      <c r="E1708" t="inlineStr">
        <is>
          <t>Home &amp; Garden</t>
        </is>
      </c>
      <c r="F1708" t="inlineStr">
        <is>
          <t>David Bianchi</t>
        </is>
      </c>
      <c r="G1708" t="inlineStr">
        <is>
          <t>Netherlands</t>
        </is>
      </c>
      <c r="H1708" t="inlineStr">
        <is>
          <t>Web Store</t>
        </is>
      </c>
      <c r="I1708" t="n">
        <v>5</v>
      </c>
      <c r="J1708" s="3" t="n">
        <v>339.55</v>
      </c>
      <c r="K1708" s="3" t="n">
        <v>50.93</v>
      </c>
      <c r="L1708" s="3" t="n">
        <v>288.62</v>
      </c>
      <c r="M1708" s="3" t="n">
        <v>238.55</v>
      </c>
      <c r="N1708" s="3" t="n">
        <v>50.07</v>
      </c>
      <c r="O1708">
        <f>TEXT(A1708,"yyyy-mm")</f>
        <v/>
      </c>
    </row>
    <row r="1709">
      <c r="A1709" s="2" t="n">
        <v>45802</v>
      </c>
      <c r="B1709" t="n">
        <v>2025</v>
      </c>
      <c r="C1709" t="inlineStr">
        <is>
          <t>May</t>
        </is>
      </c>
      <c r="D1709" t="inlineStr">
        <is>
          <t>Wireless Drone</t>
        </is>
      </c>
      <c r="E1709" t="inlineStr">
        <is>
          <t>Toys &amp; Games</t>
        </is>
      </c>
      <c r="F1709" t="inlineStr">
        <is>
          <t>Clara Johnson</t>
        </is>
      </c>
      <c r="G1709" t="inlineStr">
        <is>
          <t>United Kingdom</t>
        </is>
      </c>
      <c r="H1709" t="inlineStr">
        <is>
          <t>Mobile App</t>
        </is>
      </c>
      <c r="I1709" t="n">
        <v>1</v>
      </c>
      <c r="J1709" s="3" t="n">
        <v>215.09</v>
      </c>
      <c r="K1709" s="3" t="n">
        <v>10.75</v>
      </c>
      <c r="L1709" s="3" t="n">
        <v>204.34</v>
      </c>
      <c r="M1709" s="3" t="n">
        <v>131.29</v>
      </c>
      <c r="N1709" s="3" t="n">
        <v>73.05</v>
      </c>
      <c r="O1709">
        <f>TEXT(A1709,"yyyy-mm")</f>
        <v/>
      </c>
    </row>
    <row r="1710">
      <c r="A1710" s="2" t="n">
        <v>45802</v>
      </c>
      <c r="B1710" t="n">
        <v>2025</v>
      </c>
      <c r="C1710" t="inlineStr">
        <is>
          <t>May</t>
        </is>
      </c>
      <c r="D1710" t="inlineStr">
        <is>
          <t>Eco Backpack</t>
        </is>
      </c>
      <c r="E1710" t="inlineStr">
        <is>
          <t>Sports &amp; Outdoors</t>
        </is>
      </c>
      <c r="F1710" t="inlineStr">
        <is>
          <t>Clara Johnson</t>
        </is>
      </c>
      <c r="G1710" t="inlineStr">
        <is>
          <t>United Kingdom</t>
        </is>
      </c>
      <c r="H1710" t="inlineStr">
        <is>
          <t>Mobile App</t>
        </is>
      </c>
      <c r="I1710" t="n">
        <v>5</v>
      </c>
      <c r="J1710" s="3" t="n">
        <v>1365.5</v>
      </c>
      <c r="K1710" s="3" t="n">
        <v>0</v>
      </c>
      <c r="L1710" s="3" t="n">
        <v>1365.5</v>
      </c>
      <c r="M1710" s="3" t="n">
        <v>732.9</v>
      </c>
      <c r="N1710" s="3" t="n">
        <v>632.6</v>
      </c>
      <c r="O1710">
        <f>TEXT(A1710,"yyyy-mm")</f>
        <v/>
      </c>
    </row>
    <row r="1711">
      <c r="A1711" s="2" t="n">
        <v>45803</v>
      </c>
      <c r="B1711" t="n">
        <v>2025</v>
      </c>
      <c r="C1711" t="inlineStr">
        <is>
          <t>May</t>
        </is>
      </c>
      <c r="D1711" t="inlineStr">
        <is>
          <t>Deluxe Puzzle</t>
        </is>
      </c>
      <c r="E1711" t="inlineStr">
        <is>
          <t>Toys &amp; Games</t>
        </is>
      </c>
      <c r="F1711" t="inlineStr">
        <is>
          <t>Olivia Garcia</t>
        </is>
      </c>
      <c r="G1711" t="inlineStr">
        <is>
          <t>United States</t>
        </is>
      </c>
      <c r="H1711" t="inlineStr">
        <is>
          <t>Retail Store</t>
        </is>
      </c>
      <c r="I1711" t="n">
        <v>3</v>
      </c>
      <c r="J1711" s="3" t="n">
        <v>610.29</v>
      </c>
      <c r="K1711" s="3" t="n">
        <v>30.51</v>
      </c>
      <c r="L1711" s="3" t="n">
        <v>579.78</v>
      </c>
      <c r="M1711" s="3" t="n">
        <v>333.51</v>
      </c>
      <c r="N1711" s="3" t="n">
        <v>246.27</v>
      </c>
      <c r="O1711">
        <f>TEXT(A1711,"yyyy-mm")</f>
        <v/>
      </c>
    </row>
    <row r="1712">
      <c r="A1712" s="2" t="n">
        <v>45803</v>
      </c>
      <c r="B1712" t="n">
        <v>2025</v>
      </c>
      <c r="C1712" t="inlineStr">
        <is>
          <t>May</t>
        </is>
      </c>
      <c r="D1712" t="inlineStr">
        <is>
          <t>Essential Notebook</t>
        </is>
      </c>
      <c r="E1712" t="inlineStr">
        <is>
          <t>Books</t>
        </is>
      </c>
      <c r="F1712" t="inlineStr">
        <is>
          <t>Olivia Garcia</t>
        </is>
      </c>
      <c r="G1712" t="inlineStr">
        <is>
          <t>United States</t>
        </is>
      </c>
      <c r="H1712" t="inlineStr">
        <is>
          <t>Retail Store</t>
        </is>
      </c>
      <c r="I1712" t="n">
        <v>3</v>
      </c>
      <c r="J1712" s="3" t="n">
        <v>342.33</v>
      </c>
      <c r="K1712" s="3" t="n">
        <v>17.12</v>
      </c>
      <c r="L1712" s="3" t="n">
        <v>325.21</v>
      </c>
      <c r="M1712" s="3" t="n">
        <v>237.3</v>
      </c>
      <c r="N1712" s="3" t="n">
        <v>87.91</v>
      </c>
      <c r="O1712">
        <f>TEXT(A1712,"yyyy-mm")</f>
        <v/>
      </c>
    </row>
    <row r="1713">
      <c r="A1713" s="2" t="n">
        <v>45803</v>
      </c>
      <c r="B1713" t="n">
        <v>2025</v>
      </c>
      <c r="C1713" t="inlineStr">
        <is>
          <t>May</t>
        </is>
      </c>
      <c r="D1713" t="inlineStr">
        <is>
          <t>Essential Toolset</t>
        </is>
      </c>
      <c r="E1713" t="inlineStr">
        <is>
          <t>Home &amp; Garden</t>
        </is>
      </c>
      <c r="F1713" t="inlineStr">
        <is>
          <t>Michael Schmidt</t>
        </is>
      </c>
      <c r="G1713" t="inlineStr">
        <is>
          <t>Netherlands</t>
        </is>
      </c>
      <c r="H1713" t="inlineStr">
        <is>
          <t>Retail Store</t>
        </is>
      </c>
      <c r="I1713" t="n">
        <v>2</v>
      </c>
      <c r="J1713" s="3" t="n">
        <v>431.04</v>
      </c>
      <c r="K1713" s="3" t="n">
        <v>21.55</v>
      </c>
      <c r="L1713" s="3" t="n">
        <v>409.49</v>
      </c>
      <c r="M1713" s="3" t="n">
        <v>301.06</v>
      </c>
      <c r="N1713" s="3" t="n">
        <v>108.43</v>
      </c>
      <c r="O1713">
        <f>TEXT(A1713,"yyyy-mm")</f>
        <v/>
      </c>
    </row>
    <row r="1714">
      <c r="A1714" s="2" t="n">
        <v>45803</v>
      </c>
      <c r="B1714" t="n">
        <v>2025</v>
      </c>
      <c r="C1714" t="inlineStr">
        <is>
          <t>May</t>
        </is>
      </c>
      <c r="D1714" t="inlineStr">
        <is>
          <t>Eco Drone</t>
        </is>
      </c>
      <c r="E1714" t="inlineStr">
        <is>
          <t>Toys &amp; Games</t>
        </is>
      </c>
      <c r="F1714" t="inlineStr">
        <is>
          <t>Michael Schmidt</t>
        </is>
      </c>
      <c r="G1714" t="inlineStr">
        <is>
          <t>Netherlands</t>
        </is>
      </c>
      <c r="H1714" t="inlineStr">
        <is>
          <t>Retail Store</t>
        </is>
      </c>
      <c r="I1714" t="n">
        <v>1</v>
      </c>
      <c r="J1714" s="3" t="n">
        <v>206.92</v>
      </c>
      <c r="K1714" s="3" t="n">
        <v>10.35</v>
      </c>
      <c r="L1714" s="3" t="n">
        <v>196.57</v>
      </c>
      <c r="M1714" s="3" t="n">
        <v>129.59</v>
      </c>
      <c r="N1714" s="3" t="n">
        <v>66.98</v>
      </c>
      <c r="O1714">
        <f>TEXT(A1714,"yyyy-mm")</f>
        <v/>
      </c>
    </row>
    <row r="1715">
      <c r="A1715" s="2" t="n">
        <v>45804</v>
      </c>
      <c r="B1715" t="n">
        <v>2025</v>
      </c>
      <c r="C1715" t="inlineStr">
        <is>
          <t>May</t>
        </is>
      </c>
      <c r="D1715" t="inlineStr">
        <is>
          <t>Essential Cushion</t>
        </is>
      </c>
      <c r="E1715" t="inlineStr">
        <is>
          <t>Home &amp; Garden</t>
        </is>
      </c>
      <c r="F1715" t="inlineStr">
        <is>
          <t>Sophie Muller</t>
        </is>
      </c>
      <c r="G1715" t="inlineStr">
        <is>
          <t>United States</t>
        </is>
      </c>
      <c r="H1715" t="inlineStr">
        <is>
          <t>Marketplace</t>
        </is>
      </c>
      <c r="I1715" t="n">
        <v>2</v>
      </c>
      <c r="J1715" s="3" t="n">
        <v>93.58</v>
      </c>
      <c r="K1715" s="3" t="n">
        <v>18.72</v>
      </c>
      <c r="L1715" s="3" t="n">
        <v>74.86</v>
      </c>
      <c r="M1715" s="3" t="n">
        <v>61.1</v>
      </c>
      <c r="N1715" s="3" t="n">
        <v>13.76</v>
      </c>
      <c r="O1715">
        <f>TEXT(A1715,"yyyy-mm")</f>
        <v/>
      </c>
    </row>
    <row r="1716">
      <c r="A1716" s="2" t="n">
        <v>45804</v>
      </c>
      <c r="B1716" t="n">
        <v>2025</v>
      </c>
      <c r="C1716" t="inlineStr">
        <is>
          <t>May</t>
        </is>
      </c>
      <c r="D1716" t="inlineStr">
        <is>
          <t>Deluxe Cookbook</t>
        </is>
      </c>
      <c r="E1716" t="inlineStr">
        <is>
          <t>Books</t>
        </is>
      </c>
      <c r="F1716" t="inlineStr">
        <is>
          <t>Sophie Muller</t>
        </is>
      </c>
      <c r="G1716" t="inlineStr">
        <is>
          <t>United States</t>
        </is>
      </c>
      <c r="H1716" t="inlineStr">
        <is>
          <t>Marketplace</t>
        </is>
      </c>
      <c r="I1716" t="n">
        <v>5</v>
      </c>
      <c r="J1716" s="3" t="n">
        <v>674.45</v>
      </c>
      <c r="K1716" s="3" t="n">
        <v>0</v>
      </c>
      <c r="L1716" s="3" t="n">
        <v>674.45</v>
      </c>
      <c r="M1716" s="3" t="n">
        <v>426.35</v>
      </c>
      <c r="N1716" s="3" t="n">
        <v>248.1</v>
      </c>
      <c r="O1716">
        <f>TEXT(A1716,"yyyy-mm")</f>
        <v/>
      </c>
    </row>
    <row r="1717">
      <c r="A1717" s="2" t="n">
        <v>45804</v>
      </c>
      <c r="B1717" t="n">
        <v>2025</v>
      </c>
      <c r="C1717" t="inlineStr">
        <is>
          <t>May</t>
        </is>
      </c>
      <c r="D1717" t="inlineStr">
        <is>
          <t>Portable Bike Helmet</t>
        </is>
      </c>
      <c r="E1717" t="inlineStr">
        <is>
          <t>Sports &amp; Outdoors</t>
        </is>
      </c>
      <c r="F1717" t="inlineStr">
        <is>
          <t>Sophie Muller</t>
        </is>
      </c>
      <c r="G1717" t="inlineStr">
        <is>
          <t>United States</t>
        </is>
      </c>
      <c r="H1717" t="inlineStr">
        <is>
          <t>Marketplace</t>
        </is>
      </c>
      <c r="I1717" t="n">
        <v>2</v>
      </c>
      <c r="J1717" s="3" t="n">
        <v>630.2</v>
      </c>
      <c r="K1717" s="3" t="n">
        <v>94.53</v>
      </c>
      <c r="L1717" s="3" t="n">
        <v>535.67</v>
      </c>
      <c r="M1717" s="3" t="n">
        <v>330.74</v>
      </c>
      <c r="N1717" s="3" t="n">
        <v>204.93</v>
      </c>
      <c r="O1717">
        <f>TEXT(A1717,"yyyy-mm")</f>
        <v/>
      </c>
    </row>
    <row r="1718">
      <c r="A1718" s="2" t="n">
        <v>45806</v>
      </c>
      <c r="B1718" t="n">
        <v>2025</v>
      </c>
      <c r="C1718" t="inlineStr">
        <is>
          <t>May</t>
        </is>
      </c>
      <c r="D1718" t="inlineStr">
        <is>
          <t>Smart Puzzle</t>
        </is>
      </c>
      <c r="E1718" t="inlineStr">
        <is>
          <t>Toys &amp; Games</t>
        </is>
      </c>
      <c r="F1718" t="inlineStr">
        <is>
          <t>David Johnson</t>
        </is>
      </c>
      <c r="G1718" t="inlineStr">
        <is>
          <t>Poland</t>
        </is>
      </c>
      <c r="H1718" t="inlineStr">
        <is>
          <t>Marketplace</t>
        </is>
      </c>
      <c r="I1718" t="n">
        <v>3</v>
      </c>
      <c r="J1718" s="3" t="n">
        <v>138.42</v>
      </c>
      <c r="K1718" s="3" t="n">
        <v>27.68</v>
      </c>
      <c r="L1718" s="3" t="n">
        <v>110.74</v>
      </c>
      <c r="M1718" s="3" t="n">
        <v>73.31999999999999</v>
      </c>
      <c r="N1718" s="3" t="n">
        <v>37.42</v>
      </c>
      <c r="O1718">
        <f>TEXT(A1718,"yyyy-mm")</f>
        <v/>
      </c>
    </row>
    <row r="1719">
      <c r="A1719" s="2" t="n">
        <v>45806</v>
      </c>
      <c r="B1719" t="n">
        <v>2025</v>
      </c>
      <c r="C1719" t="inlineStr">
        <is>
          <t>May</t>
        </is>
      </c>
      <c r="D1719" t="inlineStr">
        <is>
          <t>Compact Jacket</t>
        </is>
      </c>
      <c r="E1719" t="inlineStr">
        <is>
          <t>Clothing</t>
        </is>
      </c>
      <c r="F1719" t="inlineStr">
        <is>
          <t>David Johnson</t>
        </is>
      </c>
      <c r="G1719" t="inlineStr">
        <is>
          <t>Poland</t>
        </is>
      </c>
      <c r="H1719" t="inlineStr">
        <is>
          <t>Marketplace</t>
        </is>
      </c>
      <c r="I1719" t="n">
        <v>3</v>
      </c>
      <c r="J1719" s="3" t="n">
        <v>110.97</v>
      </c>
      <c r="K1719" s="3" t="n">
        <v>5.55</v>
      </c>
      <c r="L1719" s="3" t="n">
        <v>105.42</v>
      </c>
      <c r="M1719" s="3" t="n">
        <v>61.2</v>
      </c>
      <c r="N1719" s="3" t="n">
        <v>44.22</v>
      </c>
      <c r="O1719">
        <f>TEXT(A1719,"yyyy-mm")</f>
        <v/>
      </c>
    </row>
    <row r="1720">
      <c r="A1720" s="2" t="n">
        <v>45806</v>
      </c>
      <c r="B1720" t="n">
        <v>2025</v>
      </c>
      <c r="C1720" t="inlineStr">
        <is>
          <t>May</t>
        </is>
      </c>
      <c r="D1720" t="inlineStr">
        <is>
          <t>Smart Coffee Beans</t>
        </is>
      </c>
      <c r="E1720" t="inlineStr">
        <is>
          <t>Grocery</t>
        </is>
      </c>
      <c r="F1720" t="inlineStr">
        <is>
          <t>David Johnson</t>
        </is>
      </c>
      <c r="G1720" t="inlineStr">
        <is>
          <t>Poland</t>
        </is>
      </c>
      <c r="H1720" t="inlineStr">
        <is>
          <t>Marketplace</t>
        </is>
      </c>
      <c r="I1720" t="n">
        <v>5</v>
      </c>
      <c r="J1720" s="3" t="n">
        <v>540.55</v>
      </c>
      <c r="K1720" s="3" t="n">
        <v>27.03</v>
      </c>
      <c r="L1720" s="3" t="n">
        <v>513.52</v>
      </c>
      <c r="M1720" s="3" t="n">
        <v>364.25</v>
      </c>
      <c r="N1720" s="3" t="n">
        <v>149.27</v>
      </c>
      <c r="O1720">
        <f>TEXT(A1720,"yyyy-mm")</f>
        <v/>
      </c>
    </row>
    <row r="1721">
      <c r="A1721" s="2" t="n">
        <v>45806</v>
      </c>
      <c r="B1721" t="n">
        <v>2025</v>
      </c>
      <c r="C1721" t="inlineStr">
        <is>
          <t>May</t>
        </is>
      </c>
      <c r="D1721" t="inlineStr">
        <is>
          <t>Portable Speaker</t>
        </is>
      </c>
      <c r="E1721" t="inlineStr">
        <is>
          <t>Electronics</t>
        </is>
      </c>
      <c r="F1721" t="inlineStr">
        <is>
          <t>David Johnson</t>
        </is>
      </c>
      <c r="G1721" t="inlineStr">
        <is>
          <t>Poland</t>
        </is>
      </c>
      <c r="H1721" t="inlineStr">
        <is>
          <t>Marketplace</t>
        </is>
      </c>
      <c r="I1721" t="n">
        <v>1</v>
      </c>
      <c r="J1721" s="3" t="n">
        <v>337.66</v>
      </c>
      <c r="K1721" s="3" t="n">
        <v>16.88</v>
      </c>
      <c r="L1721" s="3" t="n">
        <v>320.78</v>
      </c>
      <c r="M1721" s="3" t="n">
        <v>174.83</v>
      </c>
      <c r="N1721" s="3" t="n">
        <v>145.95</v>
      </c>
      <c r="O1721">
        <f>TEXT(A1721,"yyyy-mm")</f>
        <v/>
      </c>
    </row>
    <row r="1722">
      <c r="A1722" s="2" t="n">
        <v>45806</v>
      </c>
      <c r="B1722" t="n">
        <v>2025</v>
      </c>
      <c r="C1722" t="inlineStr">
        <is>
          <t>May</t>
        </is>
      </c>
      <c r="D1722" t="inlineStr">
        <is>
          <t>Deluxe Notebook</t>
        </is>
      </c>
      <c r="E1722" t="inlineStr">
        <is>
          <t>Books</t>
        </is>
      </c>
      <c r="F1722" t="inlineStr">
        <is>
          <t>Mark Fischer</t>
        </is>
      </c>
      <c r="G1722" t="inlineStr">
        <is>
          <t>Germany</t>
        </is>
      </c>
      <c r="H1722" t="inlineStr">
        <is>
          <t>Web Store</t>
        </is>
      </c>
      <c r="I1722" t="n">
        <v>2</v>
      </c>
      <c r="J1722" s="3" t="n">
        <v>441</v>
      </c>
      <c r="K1722" s="3" t="n">
        <v>0</v>
      </c>
      <c r="L1722" s="3" t="n">
        <v>441</v>
      </c>
      <c r="M1722" s="3" t="n">
        <v>301.52</v>
      </c>
      <c r="N1722" s="3" t="n">
        <v>139.48</v>
      </c>
      <c r="O1722">
        <f>TEXT(A1722,"yyyy-mm")</f>
        <v/>
      </c>
    </row>
    <row r="1723">
      <c r="A1723" s="2" t="n">
        <v>45806</v>
      </c>
      <c r="B1723" t="n">
        <v>2025</v>
      </c>
      <c r="C1723" t="inlineStr">
        <is>
          <t>May</t>
        </is>
      </c>
      <c r="D1723" t="inlineStr">
        <is>
          <t>Eco Drone</t>
        </is>
      </c>
      <c r="E1723" t="inlineStr">
        <is>
          <t>Toys &amp; Games</t>
        </is>
      </c>
      <c r="F1723" t="inlineStr">
        <is>
          <t>Mark Fischer</t>
        </is>
      </c>
      <c r="G1723" t="inlineStr">
        <is>
          <t>Germany</t>
        </is>
      </c>
      <c r="H1723" t="inlineStr">
        <is>
          <t>Web Store</t>
        </is>
      </c>
      <c r="I1723" t="n">
        <v>1</v>
      </c>
      <c r="J1723" s="3" t="n">
        <v>191.87</v>
      </c>
      <c r="K1723" s="3" t="n">
        <v>0</v>
      </c>
      <c r="L1723" s="3" t="n">
        <v>191.87</v>
      </c>
      <c r="M1723" s="3" t="n">
        <v>129.59</v>
      </c>
      <c r="N1723" s="3" t="n">
        <v>62.28</v>
      </c>
      <c r="O1723">
        <f>TEXT(A1723,"yyyy-mm")</f>
        <v/>
      </c>
    </row>
    <row r="1724">
      <c r="A1724" s="2" t="n">
        <v>45806</v>
      </c>
      <c r="B1724" t="n">
        <v>2025</v>
      </c>
      <c r="C1724" t="inlineStr">
        <is>
          <t>May</t>
        </is>
      </c>
      <c r="D1724" t="inlineStr">
        <is>
          <t>Essential Rug</t>
        </is>
      </c>
      <c r="E1724" t="inlineStr">
        <is>
          <t>Home &amp; Garden</t>
        </is>
      </c>
      <c r="F1724" t="inlineStr">
        <is>
          <t>Mark Fischer</t>
        </is>
      </c>
      <c r="G1724" t="inlineStr">
        <is>
          <t>Germany</t>
        </is>
      </c>
      <c r="H1724" t="inlineStr">
        <is>
          <t>Web Store</t>
        </is>
      </c>
      <c r="I1724" t="n">
        <v>5</v>
      </c>
      <c r="J1724" s="3" t="n">
        <v>656</v>
      </c>
      <c r="K1724" s="3" t="n">
        <v>0</v>
      </c>
      <c r="L1724" s="3" t="n">
        <v>656</v>
      </c>
      <c r="M1724" s="3" t="n">
        <v>381.65</v>
      </c>
      <c r="N1724" s="3" t="n">
        <v>274.35</v>
      </c>
      <c r="O1724">
        <f>TEXT(A1724,"yyyy-mm")</f>
        <v/>
      </c>
    </row>
    <row r="1725">
      <c r="A1725" s="2" t="n">
        <v>45806</v>
      </c>
      <c r="B1725" t="n">
        <v>2025</v>
      </c>
      <c r="C1725" t="inlineStr">
        <is>
          <t>May</t>
        </is>
      </c>
      <c r="D1725" t="inlineStr">
        <is>
          <t>Smart Puzzle</t>
        </is>
      </c>
      <c r="E1725" t="inlineStr">
        <is>
          <t>Toys &amp; Games</t>
        </is>
      </c>
      <c r="F1725" t="inlineStr">
        <is>
          <t>Emma Schmidt</t>
        </is>
      </c>
      <c r="G1725" t="inlineStr">
        <is>
          <t>France</t>
        </is>
      </c>
      <c r="H1725" t="inlineStr">
        <is>
          <t>Mobile App</t>
        </is>
      </c>
      <c r="I1725" t="n">
        <v>5</v>
      </c>
      <c r="J1725" s="3" t="n">
        <v>230</v>
      </c>
      <c r="K1725" s="3" t="n">
        <v>11.5</v>
      </c>
      <c r="L1725" s="3" t="n">
        <v>218.5</v>
      </c>
      <c r="M1725" s="3" t="n">
        <v>122.2</v>
      </c>
      <c r="N1725" s="3" t="n">
        <v>96.3</v>
      </c>
      <c r="O1725">
        <f>TEXT(A1725,"yyyy-mm")</f>
        <v/>
      </c>
    </row>
    <row r="1726">
      <c r="A1726" s="2" t="n">
        <v>45806</v>
      </c>
      <c r="B1726" t="n">
        <v>2025</v>
      </c>
      <c r="C1726" t="inlineStr">
        <is>
          <t>May</t>
        </is>
      </c>
      <c r="D1726" t="inlineStr">
        <is>
          <t>Eco Drone</t>
        </is>
      </c>
      <c r="E1726" t="inlineStr">
        <is>
          <t>Toys &amp; Games</t>
        </is>
      </c>
      <c r="F1726" t="inlineStr">
        <is>
          <t>Emma Schmidt</t>
        </is>
      </c>
      <c r="G1726" t="inlineStr">
        <is>
          <t>France</t>
        </is>
      </c>
      <c r="H1726" t="inlineStr">
        <is>
          <t>Mobile App</t>
        </is>
      </c>
      <c r="I1726" t="n">
        <v>1</v>
      </c>
      <c r="J1726" s="3" t="n">
        <v>193.43</v>
      </c>
      <c r="K1726" s="3" t="n">
        <v>0</v>
      </c>
      <c r="L1726" s="3" t="n">
        <v>193.43</v>
      </c>
      <c r="M1726" s="3" t="n">
        <v>129.59</v>
      </c>
      <c r="N1726" s="3" t="n">
        <v>63.84</v>
      </c>
      <c r="O1726">
        <f>TEXT(A1726,"yyyy-mm")</f>
        <v/>
      </c>
    </row>
    <row r="1727">
      <c r="A1727" s="2" t="n">
        <v>45806</v>
      </c>
      <c r="B1727" t="n">
        <v>2025</v>
      </c>
      <c r="C1727" t="inlineStr">
        <is>
          <t>May</t>
        </is>
      </c>
      <c r="D1727" t="inlineStr">
        <is>
          <t>Eco Planter</t>
        </is>
      </c>
      <c r="E1727" t="inlineStr">
        <is>
          <t>Home &amp; Garden</t>
        </is>
      </c>
      <c r="F1727" t="inlineStr">
        <is>
          <t>Emma Schmidt</t>
        </is>
      </c>
      <c r="G1727" t="inlineStr">
        <is>
          <t>France</t>
        </is>
      </c>
      <c r="H1727" t="inlineStr">
        <is>
          <t>Mobile App</t>
        </is>
      </c>
      <c r="I1727" t="n">
        <v>3</v>
      </c>
      <c r="J1727" s="3" t="n">
        <v>542.46</v>
      </c>
      <c r="K1727" s="3" t="n">
        <v>0</v>
      </c>
      <c r="L1727" s="3" t="n">
        <v>542.46</v>
      </c>
      <c r="M1727" s="3" t="n">
        <v>337.23</v>
      </c>
      <c r="N1727" s="3" t="n">
        <v>205.23</v>
      </c>
      <c r="O1727">
        <f>TEXT(A1727,"yyyy-mm")</f>
        <v/>
      </c>
    </row>
    <row r="1728">
      <c r="A1728" s="2" t="n">
        <v>45806</v>
      </c>
      <c r="B1728" t="n">
        <v>2025</v>
      </c>
      <c r="C1728" t="inlineStr">
        <is>
          <t>May</t>
        </is>
      </c>
      <c r="D1728" t="inlineStr">
        <is>
          <t>Deluxe Puzzle</t>
        </is>
      </c>
      <c r="E1728" t="inlineStr">
        <is>
          <t>Toys &amp; Games</t>
        </is>
      </c>
      <c r="F1728" t="inlineStr">
        <is>
          <t>Emma Schmidt</t>
        </is>
      </c>
      <c r="G1728" t="inlineStr">
        <is>
          <t>France</t>
        </is>
      </c>
      <c r="H1728" t="inlineStr">
        <is>
          <t>Mobile App</t>
        </is>
      </c>
      <c r="I1728" t="n">
        <v>2</v>
      </c>
      <c r="J1728" s="3" t="n">
        <v>423.66</v>
      </c>
      <c r="K1728" s="3" t="n">
        <v>0</v>
      </c>
      <c r="L1728" s="3" t="n">
        <v>423.66</v>
      </c>
      <c r="M1728" s="3" t="n">
        <v>222.34</v>
      </c>
      <c r="N1728" s="3" t="n">
        <v>201.32</v>
      </c>
      <c r="O1728">
        <f>TEXT(A1728,"yyyy-mm")</f>
        <v/>
      </c>
    </row>
    <row r="1729">
      <c r="A1729" s="2" t="n">
        <v>45807</v>
      </c>
      <c r="B1729" t="n">
        <v>2025</v>
      </c>
      <c r="C1729" t="inlineStr">
        <is>
          <t>May</t>
        </is>
      </c>
      <c r="D1729" t="inlineStr">
        <is>
          <t>Premium Rug</t>
        </is>
      </c>
      <c r="E1729" t="inlineStr">
        <is>
          <t>Home &amp; Garden</t>
        </is>
      </c>
      <c r="F1729" t="inlineStr">
        <is>
          <t>Sophie Rossi</t>
        </is>
      </c>
      <c r="G1729" t="inlineStr">
        <is>
          <t>France</t>
        </is>
      </c>
      <c r="H1729" t="inlineStr">
        <is>
          <t>Mobile App</t>
        </is>
      </c>
      <c r="I1729" t="n">
        <v>2</v>
      </c>
      <c r="J1729" s="3" t="n">
        <v>381.48</v>
      </c>
      <c r="K1729" s="3" t="n">
        <v>57.22</v>
      </c>
      <c r="L1729" s="3" t="n">
        <v>324.26</v>
      </c>
      <c r="M1729" s="3" t="n">
        <v>222.38</v>
      </c>
      <c r="N1729" s="3" t="n">
        <v>101.88</v>
      </c>
      <c r="O1729">
        <f>TEXT(A1729,"yyyy-mm")</f>
        <v/>
      </c>
    </row>
    <row r="1730">
      <c r="A1730" s="2" t="n">
        <v>45807</v>
      </c>
      <c r="B1730" t="n">
        <v>2025</v>
      </c>
      <c r="C1730" t="inlineStr">
        <is>
          <t>May</t>
        </is>
      </c>
      <c r="D1730" t="inlineStr">
        <is>
          <t>Smart Sweater</t>
        </is>
      </c>
      <c r="E1730" t="inlineStr">
        <is>
          <t>Clothing</t>
        </is>
      </c>
      <c r="F1730" t="inlineStr">
        <is>
          <t>Sophie Rossi</t>
        </is>
      </c>
      <c r="G1730" t="inlineStr">
        <is>
          <t>France</t>
        </is>
      </c>
      <c r="H1730" t="inlineStr">
        <is>
          <t>Mobile App</t>
        </is>
      </c>
      <c r="I1730" t="n">
        <v>4</v>
      </c>
      <c r="J1730" s="3" t="n">
        <v>553.04</v>
      </c>
      <c r="K1730" s="3" t="n">
        <v>0</v>
      </c>
      <c r="L1730" s="3" t="n">
        <v>553.04</v>
      </c>
      <c r="M1730" s="3" t="n">
        <v>309.4</v>
      </c>
      <c r="N1730" s="3" t="n">
        <v>243.64</v>
      </c>
      <c r="O1730">
        <f>TEXT(A1730,"yyyy-mm")</f>
        <v/>
      </c>
    </row>
    <row r="1731">
      <c r="A1731" s="2" t="n">
        <v>45807</v>
      </c>
      <c r="B1731" t="n">
        <v>2025</v>
      </c>
      <c r="C1731" t="inlineStr">
        <is>
          <t>May</t>
        </is>
      </c>
      <c r="D1731" t="inlineStr">
        <is>
          <t>Essential Cushion</t>
        </is>
      </c>
      <c r="E1731" t="inlineStr">
        <is>
          <t>Home &amp; Garden</t>
        </is>
      </c>
      <c r="F1731" t="inlineStr">
        <is>
          <t>James Nowak</t>
        </is>
      </c>
      <c r="G1731" t="inlineStr">
        <is>
          <t>United States</t>
        </is>
      </c>
      <c r="H1731" t="inlineStr">
        <is>
          <t>Retail Store</t>
        </is>
      </c>
      <c r="I1731" t="n">
        <v>2</v>
      </c>
      <c r="J1731" s="3" t="n">
        <v>91.66</v>
      </c>
      <c r="K1731" s="3" t="n">
        <v>0</v>
      </c>
      <c r="L1731" s="3" t="n">
        <v>91.66</v>
      </c>
      <c r="M1731" s="3" t="n">
        <v>61.1</v>
      </c>
      <c r="N1731" s="3" t="n">
        <v>30.56</v>
      </c>
      <c r="O1731">
        <f>TEXT(A1731,"yyyy-mm")</f>
        <v/>
      </c>
    </row>
    <row r="1732">
      <c r="A1732" s="2" t="n">
        <v>45807</v>
      </c>
      <c r="B1732" t="n">
        <v>2025</v>
      </c>
      <c r="C1732" t="inlineStr">
        <is>
          <t>May</t>
        </is>
      </c>
      <c r="D1732" t="inlineStr">
        <is>
          <t>Deluxe Headphones</t>
        </is>
      </c>
      <c r="E1732" t="inlineStr">
        <is>
          <t>Electronics</t>
        </is>
      </c>
      <c r="F1732" t="inlineStr">
        <is>
          <t>James Nowak</t>
        </is>
      </c>
      <c r="G1732" t="inlineStr">
        <is>
          <t>United States</t>
        </is>
      </c>
      <c r="H1732" t="inlineStr">
        <is>
          <t>Retail Store</t>
        </is>
      </c>
      <c r="I1732" t="n">
        <v>5</v>
      </c>
      <c r="J1732" s="3" t="n">
        <v>363</v>
      </c>
      <c r="K1732" s="3" t="n">
        <v>0</v>
      </c>
      <c r="L1732" s="3" t="n">
        <v>363</v>
      </c>
      <c r="M1732" s="3" t="n">
        <v>262.5</v>
      </c>
      <c r="N1732" s="3" t="n">
        <v>100.5</v>
      </c>
      <c r="O1732">
        <f>TEXT(A1732,"yyyy-mm")</f>
        <v/>
      </c>
    </row>
    <row r="1733">
      <c r="A1733" s="2" t="n">
        <v>45807</v>
      </c>
      <c r="B1733" t="n">
        <v>2025</v>
      </c>
      <c r="C1733" t="inlineStr">
        <is>
          <t>May</t>
        </is>
      </c>
      <c r="D1733" t="inlineStr">
        <is>
          <t>Compact Pasta</t>
        </is>
      </c>
      <c r="E1733" t="inlineStr">
        <is>
          <t>Grocery</t>
        </is>
      </c>
      <c r="F1733" t="inlineStr">
        <is>
          <t>James Nowak</t>
        </is>
      </c>
      <c r="G1733" t="inlineStr">
        <is>
          <t>United States</t>
        </is>
      </c>
      <c r="H1733" t="inlineStr">
        <is>
          <t>Retail Store</t>
        </is>
      </c>
      <c r="I1733" t="n">
        <v>4</v>
      </c>
      <c r="J1733" s="3" t="n">
        <v>1255.68</v>
      </c>
      <c r="K1733" s="3" t="n">
        <v>0</v>
      </c>
      <c r="L1733" s="3" t="n">
        <v>1255.68</v>
      </c>
      <c r="M1733" s="3" t="n">
        <v>797.6</v>
      </c>
      <c r="N1733" s="3" t="n">
        <v>458.08</v>
      </c>
      <c r="O1733">
        <f>TEXT(A1733,"yyyy-mm")</f>
        <v/>
      </c>
    </row>
    <row r="1734">
      <c r="A1734" s="2" t="n">
        <v>45807</v>
      </c>
      <c r="B1734" t="n">
        <v>2025</v>
      </c>
      <c r="C1734" t="inlineStr">
        <is>
          <t>May</t>
        </is>
      </c>
      <c r="D1734" t="inlineStr">
        <is>
          <t>Smart Face Cream</t>
        </is>
      </c>
      <c r="E1734" t="inlineStr">
        <is>
          <t>Beauty &amp; Health</t>
        </is>
      </c>
      <c r="F1734" t="inlineStr">
        <is>
          <t>James Nowak</t>
        </is>
      </c>
      <c r="G1734" t="inlineStr">
        <is>
          <t>United States</t>
        </is>
      </c>
      <c r="H1734" t="inlineStr">
        <is>
          <t>Retail Store</t>
        </is>
      </c>
      <c r="I1734" t="n">
        <v>1</v>
      </c>
      <c r="J1734" s="3" t="n">
        <v>271.68</v>
      </c>
      <c r="K1734" s="3" t="n">
        <v>0</v>
      </c>
      <c r="L1734" s="3" t="n">
        <v>271.68</v>
      </c>
      <c r="M1734" s="3" t="n">
        <v>193.14</v>
      </c>
      <c r="N1734" s="3" t="n">
        <v>78.54000000000001</v>
      </c>
      <c r="O1734">
        <f>TEXT(A1734,"yyyy-mm")</f>
        <v/>
      </c>
    </row>
    <row r="1735">
      <c r="A1735" s="2" t="n">
        <v>45807</v>
      </c>
      <c r="B1735" t="n">
        <v>2025</v>
      </c>
      <c r="C1735" t="inlineStr">
        <is>
          <t>May</t>
        </is>
      </c>
      <c r="D1735" t="inlineStr">
        <is>
          <t>Ultra Rug</t>
        </is>
      </c>
      <c r="E1735" t="inlineStr">
        <is>
          <t>Home &amp; Garden</t>
        </is>
      </c>
      <c r="F1735" t="inlineStr">
        <is>
          <t>Emma Wilson</t>
        </is>
      </c>
      <c r="G1735" t="inlineStr">
        <is>
          <t>Italy</t>
        </is>
      </c>
      <c r="H1735" t="inlineStr">
        <is>
          <t>Web Store</t>
        </is>
      </c>
      <c r="I1735" t="n">
        <v>2</v>
      </c>
      <c r="J1735" s="3" t="n">
        <v>104.6</v>
      </c>
      <c r="K1735" s="3" t="n">
        <v>0</v>
      </c>
      <c r="L1735" s="3" t="n">
        <v>104.6</v>
      </c>
      <c r="M1735" s="3" t="n">
        <v>65.81999999999999</v>
      </c>
      <c r="N1735" s="3" t="n">
        <v>38.78</v>
      </c>
      <c r="O1735">
        <f>TEXT(A1735,"yyyy-mm")</f>
        <v/>
      </c>
    </row>
    <row r="1736">
      <c r="A1736" s="2" t="n">
        <v>45807</v>
      </c>
      <c r="B1736" t="n">
        <v>2025</v>
      </c>
      <c r="C1736" t="inlineStr">
        <is>
          <t>May</t>
        </is>
      </c>
      <c r="D1736" t="inlineStr">
        <is>
          <t>Classic Charger</t>
        </is>
      </c>
      <c r="E1736" t="inlineStr">
        <is>
          <t>Electronics</t>
        </is>
      </c>
      <c r="F1736" t="inlineStr">
        <is>
          <t>Sophie Rossi</t>
        </is>
      </c>
      <c r="G1736" t="inlineStr">
        <is>
          <t>France</t>
        </is>
      </c>
      <c r="H1736" t="inlineStr">
        <is>
          <t>Mobile App</t>
        </is>
      </c>
      <c r="I1736" t="n">
        <v>2</v>
      </c>
      <c r="J1736" s="3" t="n">
        <v>193.42</v>
      </c>
      <c r="K1736" s="3" t="n">
        <v>0</v>
      </c>
      <c r="L1736" s="3" t="n">
        <v>193.42</v>
      </c>
      <c r="M1736" s="3" t="n">
        <v>124.42</v>
      </c>
      <c r="N1736" s="3" t="n">
        <v>69</v>
      </c>
      <c r="O1736">
        <f>TEXT(A1736,"yyyy-mm")</f>
        <v/>
      </c>
    </row>
    <row r="1737">
      <c r="A1737" s="2" t="n">
        <v>45807</v>
      </c>
      <c r="B1737" t="n">
        <v>2025</v>
      </c>
      <c r="C1737" t="inlineStr">
        <is>
          <t>May</t>
        </is>
      </c>
      <c r="D1737" t="inlineStr">
        <is>
          <t>Deluxe Toolset</t>
        </is>
      </c>
      <c r="E1737" t="inlineStr">
        <is>
          <t>Home &amp; Garden</t>
        </is>
      </c>
      <c r="F1737" t="inlineStr">
        <is>
          <t>James Nowak</t>
        </is>
      </c>
      <c r="G1737" t="inlineStr">
        <is>
          <t>France</t>
        </is>
      </c>
      <c r="H1737" t="inlineStr">
        <is>
          <t>Mobile App</t>
        </is>
      </c>
      <c r="I1737" t="n">
        <v>3</v>
      </c>
      <c r="J1737" s="3" t="n">
        <v>194.64</v>
      </c>
      <c r="K1737" s="3" t="n">
        <v>0</v>
      </c>
      <c r="L1737" s="3" t="n">
        <v>194.64</v>
      </c>
      <c r="M1737" s="3" t="n">
        <v>143.13</v>
      </c>
      <c r="N1737" s="3" t="n">
        <v>51.51</v>
      </c>
      <c r="O1737">
        <f>TEXT(A1737,"yyyy-mm")</f>
        <v/>
      </c>
    </row>
    <row r="1738">
      <c r="A1738" s="2" t="n">
        <v>45807</v>
      </c>
      <c r="B1738" t="n">
        <v>2025</v>
      </c>
      <c r="C1738" t="inlineStr">
        <is>
          <t>May</t>
        </is>
      </c>
      <c r="D1738" t="inlineStr">
        <is>
          <t>Classic Tea Set</t>
        </is>
      </c>
      <c r="E1738" t="inlineStr">
        <is>
          <t>Grocery</t>
        </is>
      </c>
      <c r="F1738" t="inlineStr">
        <is>
          <t>James Nowak</t>
        </is>
      </c>
      <c r="G1738" t="inlineStr">
        <is>
          <t>France</t>
        </is>
      </c>
      <c r="H1738" t="inlineStr">
        <is>
          <t>Mobile App</t>
        </is>
      </c>
      <c r="I1738" t="n">
        <v>3</v>
      </c>
      <c r="J1738" s="3" t="n">
        <v>544.35</v>
      </c>
      <c r="K1738" s="3" t="n">
        <v>54.43</v>
      </c>
      <c r="L1738" s="3" t="n">
        <v>489.91</v>
      </c>
      <c r="M1738" s="3" t="n">
        <v>376.2</v>
      </c>
      <c r="N1738" s="3" t="n">
        <v>113.71</v>
      </c>
      <c r="O1738">
        <f>TEXT(A1738,"yyyy-mm")</f>
        <v/>
      </c>
    </row>
    <row r="1739">
      <c r="A1739" s="2" t="n">
        <v>45807</v>
      </c>
      <c r="B1739" t="n">
        <v>2025</v>
      </c>
      <c r="C1739" t="inlineStr">
        <is>
          <t>May</t>
        </is>
      </c>
      <c r="D1739" t="inlineStr">
        <is>
          <t>Smart Olive Oil</t>
        </is>
      </c>
      <c r="E1739" t="inlineStr">
        <is>
          <t>Grocery</t>
        </is>
      </c>
      <c r="F1739" t="inlineStr">
        <is>
          <t>James Nowak</t>
        </is>
      </c>
      <c r="G1739" t="inlineStr">
        <is>
          <t>France</t>
        </is>
      </c>
      <c r="H1739" t="inlineStr">
        <is>
          <t>Mobile App</t>
        </is>
      </c>
      <c r="I1739" t="n">
        <v>4</v>
      </c>
      <c r="J1739" s="3" t="n">
        <v>678.2</v>
      </c>
      <c r="K1739" s="3" t="n">
        <v>0</v>
      </c>
      <c r="L1739" s="3" t="n">
        <v>678.2</v>
      </c>
      <c r="M1739" s="3" t="n">
        <v>440.08</v>
      </c>
      <c r="N1739" s="3" t="n">
        <v>238.12</v>
      </c>
      <c r="O1739">
        <f>TEXT(A1739,"yyyy-mm")</f>
        <v/>
      </c>
    </row>
    <row r="1740">
      <c r="A1740" s="2" t="n">
        <v>45807</v>
      </c>
      <c r="B1740" t="n">
        <v>2025</v>
      </c>
      <c r="C1740" t="inlineStr">
        <is>
          <t>May</t>
        </is>
      </c>
      <c r="D1740" t="inlineStr">
        <is>
          <t>Smart Cookbook</t>
        </is>
      </c>
      <c r="E1740" t="inlineStr">
        <is>
          <t>Books</t>
        </is>
      </c>
      <c r="F1740" t="inlineStr">
        <is>
          <t>Sophie Wilson</t>
        </is>
      </c>
      <c r="G1740" t="inlineStr">
        <is>
          <t>Germany</t>
        </is>
      </c>
      <c r="H1740" t="inlineStr">
        <is>
          <t>Web Store</t>
        </is>
      </c>
      <c r="I1740" t="n">
        <v>4</v>
      </c>
      <c r="J1740" s="3" t="n">
        <v>75.59999999999999</v>
      </c>
      <c r="K1740" s="3" t="n">
        <v>0</v>
      </c>
      <c r="L1740" s="3" t="n">
        <v>75.59999999999999</v>
      </c>
      <c r="M1740" s="3" t="n">
        <v>39.52</v>
      </c>
      <c r="N1740" s="3" t="n">
        <v>36.08</v>
      </c>
      <c r="O1740">
        <f>TEXT(A1740,"yyyy-mm")</f>
        <v/>
      </c>
    </row>
    <row r="1741">
      <c r="A1741" s="2" t="n">
        <v>45807</v>
      </c>
      <c r="B1741" t="n">
        <v>2025</v>
      </c>
      <c r="C1741" t="inlineStr">
        <is>
          <t>May</t>
        </is>
      </c>
      <c r="D1741" t="inlineStr">
        <is>
          <t>Smart Puzzle</t>
        </is>
      </c>
      <c r="E1741" t="inlineStr">
        <is>
          <t>Toys &amp; Games</t>
        </is>
      </c>
      <c r="F1741" t="inlineStr">
        <is>
          <t>Sophie Wilson</t>
        </is>
      </c>
      <c r="G1741" t="inlineStr">
        <is>
          <t>Germany</t>
        </is>
      </c>
      <c r="H1741" t="inlineStr">
        <is>
          <t>Web Store</t>
        </is>
      </c>
      <c r="I1741" t="n">
        <v>3</v>
      </c>
      <c r="J1741" s="3" t="n">
        <v>818.58</v>
      </c>
      <c r="K1741" s="3" t="n">
        <v>0</v>
      </c>
      <c r="L1741" s="3" t="n">
        <v>818.58</v>
      </c>
      <c r="M1741" s="3" t="n">
        <v>578.28</v>
      </c>
      <c r="N1741" s="3" t="n">
        <v>240.3</v>
      </c>
      <c r="O1741">
        <f>TEXT(A1741,"yyyy-mm")</f>
        <v/>
      </c>
    </row>
    <row r="1742">
      <c r="A1742" s="2" t="n">
        <v>45807</v>
      </c>
      <c r="B1742" t="n">
        <v>2025</v>
      </c>
      <c r="C1742" t="inlineStr">
        <is>
          <t>May</t>
        </is>
      </c>
      <c r="D1742" t="inlineStr">
        <is>
          <t>Ultra Toolset</t>
        </is>
      </c>
      <c r="E1742" t="inlineStr">
        <is>
          <t>Home &amp; Garden</t>
        </is>
      </c>
      <c r="F1742" t="inlineStr">
        <is>
          <t>Sophie Wilson</t>
        </is>
      </c>
      <c r="G1742" t="inlineStr">
        <is>
          <t>Germany</t>
        </is>
      </c>
      <c r="H1742" t="inlineStr">
        <is>
          <t>Web Store</t>
        </is>
      </c>
      <c r="I1742" t="n">
        <v>4</v>
      </c>
      <c r="J1742" s="3" t="n">
        <v>1498.36</v>
      </c>
      <c r="K1742" s="3" t="n">
        <v>0</v>
      </c>
      <c r="L1742" s="3" t="n">
        <v>1498.36</v>
      </c>
      <c r="M1742" s="3" t="n">
        <v>761.6</v>
      </c>
      <c r="N1742" s="3" t="n">
        <v>736.76</v>
      </c>
      <c r="O1742">
        <f>TEXT(A1742,"yyyy-mm")</f>
        <v/>
      </c>
    </row>
    <row r="1743">
      <c r="A1743" s="2" t="n">
        <v>45807</v>
      </c>
      <c r="B1743" t="n">
        <v>2025</v>
      </c>
      <c r="C1743" t="inlineStr">
        <is>
          <t>May</t>
        </is>
      </c>
      <c r="D1743" t="inlineStr">
        <is>
          <t>Smart Puzzle</t>
        </is>
      </c>
      <c r="E1743" t="inlineStr">
        <is>
          <t>Toys &amp; Games</t>
        </is>
      </c>
      <c r="F1743" t="inlineStr">
        <is>
          <t>James Nowak</t>
        </is>
      </c>
      <c r="G1743" t="inlineStr">
        <is>
          <t>France</t>
        </is>
      </c>
      <c r="H1743" t="inlineStr">
        <is>
          <t>Mobile App</t>
        </is>
      </c>
      <c r="I1743" t="n">
        <v>1</v>
      </c>
      <c r="J1743" s="3" t="n">
        <v>269.18</v>
      </c>
      <c r="K1743" s="3" t="n">
        <v>40.38</v>
      </c>
      <c r="L1743" s="3" t="n">
        <v>228.8</v>
      </c>
      <c r="M1743" s="3" t="n">
        <v>192.76</v>
      </c>
      <c r="N1743" s="3" t="n">
        <v>36.04</v>
      </c>
      <c r="O1743">
        <f>TEXT(A1743,"yyyy-mm")</f>
        <v/>
      </c>
    </row>
    <row r="1744">
      <c r="A1744" s="2" t="n">
        <v>45808</v>
      </c>
      <c r="B1744" t="n">
        <v>2025</v>
      </c>
      <c r="C1744" t="inlineStr">
        <is>
          <t>May</t>
        </is>
      </c>
      <c r="D1744" t="inlineStr">
        <is>
          <t>Essential Jacket</t>
        </is>
      </c>
      <c r="E1744" t="inlineStr">
        <is>
          <t>Clothing</t>
        </is>
      </c>
      <c r="F1744" t="inlineStr">
        <is>
          <t>Clara Smith</t>
        </is>
      </c>
      <c r="G1744" t="inlineStr">
        <is>
          <t>Poland</t>
        </is>
      </c>
      <c r="H1744" t="inlineStr">
        <is>
          <t>Retail Store</t>
        </is>
      </c>
      <c r="I1744" t="n">
        <v>5</v>
      </c>
      <c r="J1744" s="3" t="n">
        <v>714.5</v>
      </c>
      <c r="K1744" s="3" t="n">
        <v>71.45</v>
      </c>
      <c r="L1744" s="3" t="n">
        <v>643.05</v>
      </c>
      <c r="M1744" s="3" t="n">
        <v>426.75</v>
      </c>
      <c r="N1744" s="3" t="n">
        <v>216.3</v>
      </c>
      <c r="O1744">
        <f>TEXT(A1744,"yyyy-mm")</f>
        <v/>
      </c>
    </row>
    <row r="1745">
      <c r="A1745" s="2" t="n">
        <v>45808</v>
      </c>
      <c r="B1745" t="n">
        <v>2025</v>
      </c>
      <c r="C1745" t="inlineStr">
        <is>
          <t>May</t>
        </is>
      </c>
      <c r="D1745" t="inlineStr">
        <is>
          <t>Premium Water Bottle</t>
        </is>
      </c>
      <c r="E1745" t="inlineStr">
        <is>
          <t>Sports &amp; Outdoors</t>
        </is>
      </c>
      <c r="F1745" t="inlineStr">
        <is>
          <t>Clara Smith</t>
        </is>
      </c>
      <c r="G1745" t="inlineStr">
        <is>
          <t>Poland</t>
        </is>
      </c>
      <c r="H1745" t="inlineStr">
        <is>
          <t>Retail Store</t>
        </is>
      </c>
      <c r="I1745" t="n">
        <v>1</v>
      </c>
      <c r="J1745" s="3" t="n">
        <v>117.07</v>
      </c>
      <c r="K1745" s="3" t="n">
        <v>11.71</v>
      </c>
      <c r="L1745" s="3" t="n">
        <v>105.36</v>
      </c>
      <c r="M1745" s="3" t="n">
        <v>89.62</v>
      </c>
      <c r="N1745" s="3" t="n">
        <v>15.74</v>
      </c>
      <c r="O1745">
        <f>TEXT(A1745,"yyyy-mm")</f>
        <v/>
      </c>
    </row>
    <row r="1746">
      <c r="A1746" s="2" t="n">
        <v>45808</v>
      </c>
      <c r="B1746" t="n">
        <v>2025</v>
      </c>
      <c r="C1746" t="inlineStr">
        <is>
          <t>May</t>
        </is>
      </c>
      <c r="D1746" t="inlineStr">
        <is>
          <t>Smart Camera</t>
        </is>
      </c>
      <c r="E1746" t="inlineStr">
        <is>
          <t>Electronics</t>
        </is>
      </c>
      <c r="F1746" t="inlineStr">
        <is>
          <t>Clara Smith</t>
        </is>
      </c>
      <c r="G1746" t="inlineStr">
        <is>
          <t>Poland</t>
        </is>
      </c>
      <c r="H1746" t="inlineStr">
        <is>
          <t>Retail Store</t>
        </is>
      </c>
      <c r="I1746" t="n">
        <v>3</v>
      </c>
      <c r="J1746" s="3" t="n">
        <v>962.73</v>
      </c>
      <c r="K1746" s="3" t="n">
        <v>144.41</v>
      </c>
      <c r="L1746" s="3" t="n">
        <v>818.3200000000001</v>
      </c>
      <c r="M1746" s="3" t="n">
        <v>502.2</v>
      </c>
      <c r="N1746" s="3" t="n">
        <v>316.12</v>
      </c>
      <c r="O1746">
        <f>TEXT(A1746,"yyyy-mm")</f>
        <v/>
      </c>
    </row>
    <row r="1747">
      <c r="A1747" s="2" t="n">
        <v>45808</v>
      </c>
      <c r="B1747" t="n">
        <v>2025</v>
      </c>
      <c r="C1747" t="inlineStr">
        <is>
          <t>May</t>
        </is>
      </c>
      <c r="D1747" t="inlineStr">
        <is>
          <t>Compact Biography</t>
        </is>
      </c>
      <c r="E1747" t="inlineStr">
        <is>
          <t>Books</t>
        </is>
      </c>
      <c r="F1747" t="inlineStr">
        <is>
          <t>Clara Smith</t>
        </is>
      </c>
      <c r="G1747" t="inlineStr">
        <is>
          <t>Poland</t>
        </is>
      </c>
      <c r="H1747" t="inlineStr">
        <is>
          <t>Retail Store</t>
        </is>
      </c>
      <c r="I1747" t="n">
        <v>2</v>
      </c>
      <c r="J1747" s="3" t="n">
        <v>540.74</v>
      </c>
      <c r="K1747" s="3" t="n">
        <v>0</v>
      </c>
      <c r="L1747" s="3" t="n">
        <v>540.74</v>
      </c>
      <c r="M1747" s="3" t="n">
        <v>280.66</v>
      </c>
      <c r="N1747" s="3" t="n">
        <v>260.08</v>
      </c>
      <c r="O1747">
        <f>TEXT(A1747,"yyyy-mm")</f>
        <v/>
      </c>
    </row>
    <row r="1748">
      <c r="A1748" s="2" t="n">
        <v>45810</v>
      </c>
      <c r="B1748" t="n">
        <v>2025</v>
      </c>
      <c r="C1748" t="inlineStr">
        <is>
          <t>June</t>
        </is>
      </c>
      <c r="D1748" t="inlineStr">
        <is>
          <t>Eco Backpack</t>
        </is>
      </c>
      <c r="E1748" t="inlineStr">
        <is>
          <t>Sports &amp; Outdoors</t>
        </is>
      </c>
      <c r="F1748" t="inlineStr">
        <is>
          <t>Daniel Conti</t>
        </is>
      </c>
      <c r="G1748" t="inlineStr">
        <is>
          <t>United Kingdom</t>
        </is>
      </c>
      <c r="H1748" t="inlineStr">
        <is>
          <t>Marketplace</t>
        </is>
      </c>
      <c r="I1748" t="n">
        <v>5</v>
      </c>
      <c r="J1748" s="3" t="n">
        <v>1306.65</v>
      </c>
      <c r="K1748" s="3" t="n">
        <v>261.33</v>
      </c>
      <c r="L1748" s="3" t="n">
        <v>1045.32</v>
      </c>
      <c r="M1748" s="3" t="n">
        <v>732.9</v>
      </c>
      <c r="N1748" s="3" t="n">
        <v>312.42</v>
      </c>
      <c r="O1748">
        <f>TEXT(A1748,"yyyy-mm")</f>
        <v/>
      </c>
    </row>
    <row r="1749">
      <c r="A1749" s="2" t="n">
        <v>45811</v>
      </c>
      <c r="B1749" t="n">
        <v>2025</v>
      </c>
      <c r="C1749" t="inlineStr">
        <is>
          <t>June</t>
        </is>
      </c>
      <c r="D1749" t="inlineStr">
        <is>
          <t>Portable Bike Helmet</t>
        </is>
      </c>
      <c r="E1749" t="inlineStr">
        <is>
          <t>Sports &amp; Outdoors</t>
        </is>
      </c>
      <c r="F1749" t="inlineStr">
        <is>
          <t>Daniel Garcia</t>
        </is>
      </c>
      <c r="G1749" t="inlineStr">
        <is>
          <t>Spain</t>
        </is>
      </c>
      <c r="H1749" t="inlineStr">
        <is>
          <t>Mobile App</t>
        </is>
      </c>
      <c r="I1749" t="n">
        <v>3</v>
      </c>
      <c r="J1749" s="3" t="n">
        <v>958.3200000000001</v>
      </c>
      <c r="K1749" s="3" t="n">
        <v>95.83</v>
      </c>
      <c r="L1749" s="3" t="n">
        <v>862.49</v>
      </c>
      <c r="M1749" s="3" t="n">
        <v>496.11</v>
      </c>
      <c r="N1749" s="3" t="n">
        <v>366.38</v>
      </c>
      <c r="O1749">
        <f>TEXT(A1749,"yyyy-mm")</f>
        <v/>
      </c>
    </row>
    <row r="1750">
      <c r="A1750" s="2" t="n">
        <v>45811</v>
      </c>
      <c r="B1750" t="n">
        <v>2025</v>
      </c>
      <c r="C1750" t="inlineStr">
        <is>
          <t>June</t>
        </is>
      </c>
      <c r="D1750" t="inlineStr">
        <is>
          <t>Eco Backpack</t>
        </is>
      </c>
      <c r="E1750" t="inlineStr">
        <is>
          <t>Sports &amp; Outdoors</t>
        </is>
      </c>
      <c r="F1750" t="inlineStr">
        <is>
          <t>Daniel Garcia</t>
        </is>
      </c>
      <c r="G1750" t="inlineStr">
        <is>
          <t>Spain</t>
        </is>
      </c>
      <c r="H1750" t="inlineStr">
        <is>
          <t>Mobile App</t>
        </is>
      </c>
      <c r="I1750" t="n">
        <v>3</v>
      </c>
      <c r="J1750" s="3" t="n">
        <v>812.16</v>
      </c>
      <c r="K1750" s="3" t="n">
        <v>0</v>
      </c>
      <c r="L1750" s="3" t="n">
        <v>812.16</v>
      </c>
      <c r="M1750" s="3" t="n">
        <v>439.74</v>
      </c>
      <c r="N1750" s="3" t="n">
        <v>372.42</v>
      </c>
      <c r="O1750">
        <f>TEXT(A1750,"yyyy-mm")</f>
        <v/>
      </c>
    </row>
    <row r="1751">
      <c r="A1751" s="2" t="n">
        <v>45811</v>
      </c>
      <c r="B1751" t="n">
        <v>2025</v>
      </c>
      <c r="C1751" t="inlineStr">
        <is>
          <t>June</t>
        </is>
      </c>
      <c r="D1751" t="inlineStr">
        <is>
          <t>Premium Tent</t>
        </is>
      </c>
      <c r="E1751" t="inlineStr">
        <is>
          <t>Sports &amp; Outdoors</t>
        </is>
      </c>
      <c r="F1751" t="inlineStr">
        <is>
          <t>Daniel Garcia</t>
        </is>
      </c>
      <c r="G1751" t="inlineStr">
        <is>
          <t>Spain</t>
        </is>
      </c>
      <c r="H1751" t="inlineStr">
        <is>
          <t>Mobile App</t>
        </is>
      </c>
      <c r="I1751" t="n">
        <v>1</v>
      </c>
      <c r="J1751" s="3" t="n">
        <v>143.87</v>
      </c>
      <c r="K1751" s="3" t="n">
        <v>0</v>
      </c>
      <c r="L1751" s="3" t="n">
        <v>143.87</v>
      </c>
      <c r="M1751" s="3" t="n">
        <v>96.40000000000001</v>
      </c>
      <c r="N1751" s="3" t="n">
        <v>47.47</v>
      </c>
      <c r="O1751">
        <f>TEXT(A1751,"yyyy-mm")</f>
        <v/>
      </c>
    </row>
    <row r="1752">
      <c r="A1752" s="2" t="n">
        <v>45812</v>
      </c>
      <c r="B1752" t="n">
        <v>2025</v>
      </c>
      <c r="C1752" t="inlineStr">
        <is>
          <t>June</t>
        </is>
      </c>
      <c r="D1752" t="inlineStr">
        <is>
          <t>Premium Water Bottle</t>
        </is>
      </c>
      <c r="E1752" t="inlineStr">
        <is>
          <t>Sports &amp; Outdoors</t>
        </is>
      </c>
      <c r="F1752" t="inlineStr">
        <is>
          <t>Julia Schmidt</t>
        </is>
      </c>
      <c r="G1752" t="inlineStr">
        <is>
          <t>France</t>
        </is>
      </c>
      <c r="H1752" t="inlineStr">
        <is>
          <t>Web Store</t>
        </is>
      </c>
      <c r="I1752" t="n">
        <v>1</v>
      </c>
      <c r="J1752" s="3" t="n">
        <v>29.37</v>
      </c>
      <c r="K1752" s="3" t="n">
        <v>0</v>
      </c>
      <c r="L1752" s="3" t="n">
        <v>29.37</v>
      </c>
      <c r="M1752" s="3" t="n">
        <v>16.63</v>
      </c>
      <c r="N1752" s="3" t="n">
        <v>12.74</v>
      </c>
      <c r="O1752">
        <f>TEXT(A1752,"yyyy-mm")</f>
        <v/>
      </c>
    </row>
    <row r="1753">
      <c r="A1753" s="2" t="n">
        <v>45812</v>
      </c>
      <c r="B1753" t="n">
        <v>2025</v>
      </c>
      <c r="C1753" t="inlineStr">
        <is>
          <t>June</t>
        </is>
      </c>
      <c r="D1753" t="inlineStr">
        <is>
          <t>Classic Sunscreen</t>
        </is>
      </c>
      <c r="E1753" t="inlineStr">
        <is>
          <t>Beauty &amp; Health</t>
        </is>
      </c>
      <c r="F1753" t="inlineStr">
        <is>
          <t>Julia Schmidt</t>
        </is>
      </c>
      <c r="G1753" t="inlineStr">
        <is>
          <t>France</t>
        </is>
      </c>
      <c r="H1753" t="inlineStr">
        <is>
          <t>Web Store</t>
        </is>
      </c>
      <c r="I1753" t="n">
        <v>5</v>
      </c>
      <c r="J1753" s="3" t="n">
        <v>689.95</v>
      </c>
      <c r="K1753" s="3" t="n">
        <v>137.99</v>
      </c>
      <c r="L1753" s="3" t="n">
        <v>551.96</v>
      </c>
      <c r="M1753" s="3" t="n">
        <v>468.45</v>
      </c>
      <c r="N1753" s="3" t="n">
        <v>83.51000000000001</v>
      </c>
      <c r="O1753">
        <f>TEXT(A1753,"yyyy-mm")</f>
        <v/>
      </c>
    </row>
    <row r="1754">
      <c r="A1754" s="2" t="n">
        <v>45812</v>
      </c>
      <c r="B1754" t="n">
        <v>2025</v>
      </c>
      <c r="C1754" t="inlineStr">
        <is>
          <t>June</t>
        </is>
      </c>
      <c r="D1754" t="inlineStr">
        <is>
          <t>Smart Board Game</t>
        </is>
      </c>
      <c r="E1754" t="inlineStr">
        <is>
          <t>Toys &amp; Games</t>
        </is>
      </c>
      <c r="F1754" t="inlineStr">
        <is>
          <t>Julia Schmidt</t>
        </is>
      </c>
      <c r="G1754" t="inlineStr">
        <is>
          <t>France</t>
        </is>
      </c>
      <c r="H1754" t="inlineStr">
        <is>
          <t>Web Store</t>
        </is>
      </c>
      <c r="I1754" t="n">
        <v>5</v>
      </c>
      <c r="J1754" s="3" t="n">
        <v>667.85</v>
      </c>
      <c r="K1754" s="3" t="n">
        <v>0</v>
      </c>
      <c r="L1754" s="3" t="n">
        <v>667.85</v>
      </c>
      <c r="M1754" s="3" t="n">
        <v>458.6</v>
      </c>
      <c r="N1754" s="3" t="n">
        <v>209.25</v>
      </c>
      <c r="O1754">
        <f>TEXT(A1754,"yyyy-mm")</f>
        <v/>
      </c>
    </row>
    <row r="1755">
      <c r="A1755" s="2" t="n">
        <v>45813</v>
      </c>
      <c r="B1755" t="n">
        <v>2025</v>
      </c>
      <c r="C1755" t="inlineStr">
        <is>
          <t>June</t>
        </is>
      </c>
      <c r="D1755" t="inlineStr">
        <is>
          <t>Smart Puzzle</t>
        </is>
      </c>
      <c r="E1755" t="inlineStr">
        <is>
          <t>Toys &amp; Games</t>
        </is>
      </c>
      <c r="F1755" t="inlineStr">
        <is>
          <t>David Johnson</t>
        </is>
      </c>
      <c r="G1755" t="inlineStr">
        <is>
          <t>Netherlands</t>
        </is>
      </c>
      <c r="H1755" t="inlineStr">
        <is>
          <t>Mobile App</t>
        </is>
      </c>
      <c r="I1755" t="n">
        <v>2</v>
      </c>
      <c r="J1755" s="3" t="n">
        <v>86.5</v>
      </c>
      <c r="K1755" s="3" t="n">
        <v>8.65</v>
      </c>
      <c r="L1755" s="3" t="n">
        <v>77.84999999999999</v>
      </c>
      <c r="M1755" s="3" t="n">
        <v>48.88</v>
      </c>
      <c r="N1755" s="3" t="n">
        <v>28.97</v>
      </c>
      <c r="O1755">
        <f>TEXT(A1755,"yyyy-mm")</f>
        <v/>
      </c>
    </row>
    <row r="1756">
      <c r="A1756" s="2" t="n">
        <v>45814</v>
      </c>
      <c r="B1756" t="n">
        <v>2025</v>
      </c>
      <c r="C1756" t="inlineStr">
        <is>
          <t>June</t>
        </is>
      </c>
      <c r="D1756" t="inlineStr">
        <is>
          <t>Portable Puzzle</t>
        </is>
      </c>
      <c r="E1756" t="inlineStr">
        <is>
          <t>Toys &amp; Games</t>
        </is>
      </c>
      <c r="F1756" t="inlineStr">
        <is>
          <t>Anna Fischer</t>
        </is>
      </c>
      <c r="G1756" t="inlineStr">
        <is>
          <t>Spain</t>
        </is>
      </c>
      <c r="H1756" t="inlineStr">
        <is>
          <t>Marketplace</t>
        </is>
      </c>
      <c r="I1756" t="n">
        <v>3</v>
      </c>
      <c r="J1756" s="3" t="n">
        <v>345.96</v>
      </c>
      <c r="K1756" s="3" t="n">
        <v>0</v>
      </c>
      <c r="L1756" s="3" t="n">
        <v>345.96</v>
      </c>
      <c r="M1756" s="3" t="n">
        <v>176.4</v>
      </c>
      <c r="N1756" s="3" t="n">
        <v>169.56</v>
      </c>
      <c r="O1756">
        <f>TEXT(A1756,"yyyy-mm")</f>
        <v/>
      </c>
    </row>
    <row r="1757">
      <c r="A1757" s="2" t="n">
        <v>45814</v>
      </c>
      <c r="B1757" t="n">
        <v>2025</v>
      </c>
      <c r="C1757" t="inlineStr">
        <is>
          <t>June</t>
        </is>
      </c>
      <c r="D1757" t="inlineStr">
        <is>
          <t>Essential Charger</t>
        </is>
      </c>
      <c r="E1757" t="inlineStr">
        <is>
          <t>Electronics</t>
        </is>
      </c>
      <c r="F1757" t="inlineStr">
        <is>
          <t>Anna Fischer</t>
        </is>
      </c>
      <c r="G1757" t="inlineStr">
        <is>
          <t>Spain</t>
        </is>
      </c>
      <c r="H1757" t="inlineStr">
        <is>
          <t>Marketplace</t>
        </is>
      </c>
      <c r="I1757" t="n">
        <v>2</v>
      </c>
      <c r="J1757" s="3" t="n">
        <v>89.12</v>
      </c>
      <c r="K1757" s="3" t="n">
        <v>0</v>
      </c>
      <c r="L1757" s="3" t="n">
        <v>89.12</v>
      </c>
      <c r="M1757" s="3" t="n">
        <v>58.2</v>
      </c>
      <c r="N1757" s="3" t="n">
        <v>30.92</v>
      </c>
      <c r="O1757">
        <f>TEXT(A1757,"yyyy-mm")</f>
        <v/>
      </c>
    </row>
    <row r="1758">
      <c r="A1758" s="2" t="n">
        <v>45814</v>
      </c>
      <c r="B1758" t="n">
        <v>2025</v>
      </c>
      <c r="C1758" t="inlineStr">
        <is>
          <t>June</t>
        </is>
      </c>
      <c r="D1758" t="inlineStr">
        <is>
          <t>Wireless Honey</t>
        </is>
      </c>
      <c r="E1758" t="inlineStr">
        <is>
          <t>Grocery</t>
        </is>
      </c>
      <c r="F1758" t="inlineStr">
        <is>
          <t>Anna Fischer</t>
        </is>
      </c>
      <c r="G1758" t="inlineStr">
        <is>
          <t>Spain</t>
        </is>
      </c>
      <c r="H1758" t="inlineStr">
        <is>
          <t>Marketplace</t>
        </is>
      </c>
      <c r="I1758" t="n">
        <v>3</v>
      </c>
      <c r="J1758" s="3" t="n">
        <v>379.29</v>
      </c>
      <c r="K1758" s="3" t="n">
        <v>0</v>
      </c>
      <c r="L1758" s="3" t="n">
        <v>379.29</v>
      </c>
      <c r="M1758" s="3" t="n">
        <v>282.21</v>
      </c>
      <c r="N1758" s="3" t="n">
        <v>97.08</v>
      </c>
      <c r="O1758">
        <f>TEXT(A1758,"yyyy-mm")</f>
        <v/>
      </c>
    </row>
    <row r="1759">
      <c r="A1759" s="2" t="n">
        <v>45814</v>
      </c>
      <c r="B1759" t="n">
        <v>2025</v>
      </c>
      <c r="C1759" t="inlineStr">
        <is>
          <t>June</t>
        </is>
      </c>
      <c r="D1759" t="inlineStr">
        <is>
          <t>Essential Toolset</t>
        </is>
      </c>
      <c r="E1759" t="inlineStr">
        <is>
          <t>Home &amp; Garden</t>
        </is>
      </c>
      <c r="F1759" t="inlineStr">
        <is>
          <t>Olivia Rossi</t>
        </is>
      </c>
      <c r="G1759" t="inlineStr">
        <is>
          <t>Spain</t>
        </is>
      </c>
      <c r="H1759" t="inlineStr">
        <is>
          <t>Mobile App</t>
        </is>
      </c>
      <c r="I1759" t="n">
        <v>1</v>
      </c>
      <c r="J1759" s="3" t="n">
        <v>210.55</v>
      </c>
      <c r="K1759" s="3" t="n">
        <v>31.58</v>
      </c>
      <c r="L1759" s="3" t="n">
        <v>178.97</v>
      </c>
      <c r="M1759" s="3" t="n">
        <v>150.53</v>
      </c>
      <c r="N1759" s="3" t="n">
        <v>28.44</v>
      </c>
      <c r="O1759">
        <f>TEXT(A1759,"yyyy-mm")</f>
        <v/>
      </c>
    </row>
    <row r="1760">
      <c r="A1760" s="2" t="n">
        <v>45814</v>
      </c>
      <c r="B1760" t="n">
        <v>2025</v>
      </c>
      <c r="C1760" t="inlineStr">
        <is>
          <t>June</t>
        </is>
      </c>
      <c r="D1760" t="inlineStr">
        <is>
          <t>Smart Charger</t>
        </is>
      </c>
      <c r="E1760" t="inlineStr">
        <is>
          <t>Electronics</t>
        </is>
      </c>
      <c r="F1760" t="inlineStr">
        <is>
          <t>Olivia Rossi</t>
        </is>
      </c>
      <c r="G1760" t="inlineStr">
        <is>
          <t>Spain</t>
        </is>
      </c>
      <c r="H1760" t="inlineStr">
        <is>
          <t>Mobile App</t>
        </is>
      </c>
      <c r="I1760" t="n">
        <v>5</v>
      </c>
      <c r="J1760" s="3" t="n">
        <v>195.35</v>
      </c>
      <c r="K1760" s="3" t="n">
        <v>29.3</v>
      </c>
      <c r="L1760" s="3" t="n">
        <v>166.05</v>
      </c>
      <c r="M1760" s="3" t="n">
        <v>138.2</v>
      </c>
      <c r="N1760" s="3" t="n">
        <v>27.85</v>
      </c>
      <c r="O1760">
        <f>TEXT(A1760,"yyyy-mm")</f>
        <v/>
      </c>
    </row>
    <row r="1761">
      <c r="A1761" s="2" t="n">
        <v>45814</v>
      </c>
      <c r="B1761" t="n">
        <v>2025</v>
      </c>
      <c r="C1761" t="inlineStr">
        <is>
          <t>June</t>
        </is>
      </c>
      <c r="D1761" t="inlineStr">
        <is>
          <t>Premium Tent</t>
        </is>
      </c>
      <c r="E1761" t="inlineStr">
        <is>
          <t>Sports &amp; Outdoors</t>
        </is>
      </c>
      <c r="F1761" t="inlineStr">
        <is>
          <t>Olivia Rossi</t>
        </is>
      </c>
      <c r="G1761" t="inlineStr">
        <is>
          <t>Spain</t>
        </is>
      </c>
      <c r="H1761" t="inlineStr">
        <is>
          <t>Mobile App</t>
        </is>
      </c>
      <c r="I1761" t="n">
        <v>2</v>
      </c>
      <c r="J1761" s="3" t="n">
        <v>497.32</v>
      </c>
      <c r="K1761" s="3" t="n">
        <v>0</v>
      </c>
      <c r="L1761" s="3" t="n">
        <v>497.32</v>
      </c>
      <c r="M1761" s="3" t="n">
        <v>278.08</v>
      </c>
      <c r="N1761" s="3" t="n">
        <v>219.24</v>
      </c>
      <c r="O1761">
        <f>TEXT(A1761,"yyyy-mm")</f>
        <v/>
      </c>
    </row>
    <row r="1762">
      <c r="A1762" s="2" t="n">
        <v>45814</v>
      </c>
      <c r="B1762" t="n">
        <v>2025</v>
      </c>
      <c r="C1762" t="inlineStr">
        <is>
          <t>June</t>
        </is>
      </c>
      <c r="D1762" t="inlineStr">
        <is>
          <t>Classic Bike Helmet</t>
        </is>
      </c>
      <c r="E1762" t="inlineStr">
        <is>
          <t>Sports &amp; Outdoors</t>
        </is>
      </c>
      <c r="F1762" t="inlineStr">
        <is>
          <t>Nina Wilson</t>
        </is>
      </c>
      <c r="G1762" t="inlineStr">
        <is>
          <t>Poland</t>
        </is>
      </c>
      <c r="H1762" t="inlineStr">
        <is>
          <t>Web Store</t>
        </is>
      </c>
      <c r="I1762" t="n">
        <v>5</v>
      </c>
      <c r="J1762" s="3" t="n">
        <v>1114.05</v>
      </c>
      <c r="K1762" s="3" t="n">
        <v>222.81</v>
      </c>
      <c r="L1762" s="3" t="n">
        <v>891.24</v>
      </c>
      <c r="M1762" s="3" t="n">
        <v>769.05</v>
      </c>
      <c r="N1762" s="3" t="n">
        <v>122.19</v>
      </c>
      <c r="O1762">
        <f>TEXT(A1762,"yyyy-mm")</f>
        <v/>
      </c>
    </row>
    <row r="1763">
      <c r="A1763" s="2" t="n">
        <v>45814</v>
      </c>
      <c r="B1763" t="n">
        <v>2025</v>
      </c>
      <c r="C1763" t="inlineStr">
        <is>
          <t>June</t>
        </is>
      </c>
      <c r="D1763" t="inlineStr">
        <is>
          <t>Ultra Vitamins</t>
        </is>
      </c>
      <c r="E1763" t="inlineStr">
        <is>
          <t>Beauty &amp; Health</t>
        </is>
      </c>
      <c r="F1763" t="inlineStr">
        <is>
          <t>Nina Wilson</t>
        </is>
      </c>
      <c r="G1763" t="inlineStr">
        <is>
          <t>Poland</t>
        </is>
      </c>
      <c r="H1763" t="inlineStr">
        <is>
          <t>Web Store</t>
        </is>
      </c>
      <c r="I1763" t="n">
        <v>5</v>
      </c>
      <c r="J1763" s="3" t="n">
        <v>1028.85</v>
      </c>
      <c r="K1763" s="3" t="n">
        <v>0</v>
      </c>
      <c r="L1763" s="3" t="n">
        <v>1028.85</v>
      </c>
      <c r="M1763" s="3" t="n">
        <v>630.5</v>
      </c>
      <c r="N1763" s="3" t="n">
        <v>398.35</v>
      </c>
      <c r="O1763">
        <f>TEXT(A1763,"yyyy-mm")</f>
        <v/>
      </c>
    </row>
    <row r="1764">
      <c r="A1764" s="2" t="n">
        <v>45814</v>
      </c>
      <c r="B1764" t="n">
        <v>2025</v>
      </c>
      <c r="C1764" t="inlineStr">
        <is>
          <t>June</t>
        </is>
      </c>
      <c r="D1764" t="inlineStr">
        <is>
          <t>Deluxe Toothbrush</t>
        </is>
      </c>
      <c r="E1764" t="inlineStr">
        <is>
          <t>Beauty &amp; Health</t>
        </is>
      </c>
      <c r="F1764" t="inlineStr">
        <is>
          <t>Robert Weber</t>
        </is>
      </c>
      <c r="G1764" t="inlineStr">
        <is>
          <t>United States</t>
        </is>
      </c>
      <c r="H1764" t="inlineStr">
        <is>
          <t>Web Store</t>
        </is>
      </c>
      <c r="I1764" t="n">
        <v>3</v>
      </c>
      <c r="J1764" s="3" t="n">
        <v>1027.41</v>
      </c>
      <c r="K1764" s="3" t="n">
        <v>205.48</v>
      </c>
      <c r="L1764" s="3" t="n">
        <v>821.9299999999999</v>
      </c>
      <c r="M1764" s="3" t="n">
        <v>523.71</v>
      </c>
      <c r="N1764" s="3" t="n">
        <v>298.22</v>
      </c>
      <c r="O1764">
        <f>TEXT(A1764,"yyyy-mm")</f>
        <v/>
      </c>
    </row>
    <row r="1765">
      <c r="A1765" s="2" t="n">
        <v>45814</v>
      </c>
      <c r="B1765" t="n">
        <v>2025</v>
      </c>
      <c r="C1765" t="inlineStr">
        <is>
          <t>June</t>
        </is>
      </c>
      <c r="D1765" t="inlineStr">
        <is>
          <t>Premium Water Bottle</t>
        </is>
      </c>
      <c r="E1765" t="inlineStr">
        <is>
          <t>Sports &amp; Outdoors</t>
        </is>
      </c>
      <c r="F1765" t="inlineStr">
        <is>
          <t>Robert Weber</t>
        </is>
      </c>
      <c r="G1765" t="inlineStr">
        <is>
          <t>United States</t>
        </is>
      </c>
      <c r="H1765" t="inlineStr">
        <is>
          <t>Web Store</t>
        </is>
      </c>
      <c r="I1765" t="n">
        <v>2</v>
      </c>
      <c r="J1765" s="3" t="n">
        <v>625.52</v>
      </c>
      <c r="K1765" s="3" t="n">
        <v>0</v>
      </c>
      <c r="L1765" s="3" t="n">
        <v>625.52</v>
      </c>
      <c r="M1765" s="3" t="n">
        <v>362.32</v>
      </c>
      <c r="N1765" s="3" t="n">
        <v>263.2</v>
      </c>
      <c r="O1765">
        <f>TEXT(A1765,"yyyy-mm")</f>
        <v/>
      </c>
    </row>
    <row r="1766">
      <c r="A1766" s="2" t="n">
        <v>45815</v>
      </c>
      <c r="B1766" t="n">
        <v>2025</v>
      </c>
      <c r="C1766" t="inlineStr">
        <is>
          <t>June</t>
        </is>
      </c>
      <c r="D1766" t="inlineStr">
        <is>
          <t>Wireless Cookbook</t>
        </is>
      </c>
      <c r="E1766" t="inlineStr">
        <is>
          <t>Books</t>
        </is>
      </c>
      <c r="F1766" t="inlineStr">
        <is>
          <t>Olivia Wojcik</t>
        </is>
      </c>
      <c r="G1766" t="inlineStr">
        <is>
          <t>France</t>
        </is>
      </c>
      <c r="H1766" t="inlineStr">
        <is>
          <t>Mobile App</t>
        </is>
      </c>
      <c r="I1766" t="n">
        <v>1</v>
      </c>
      <c r="J1766" s="3" t="n">
        <v>79.02</v>
      </c>
      <c r="K1766" s="3" t="n">
        <v>15.8</v>
      </c>
      <c r="L1766" s="3" t="n">
        <v>63.22</v>
      </c>
      <c r="M1766" s="3" t="n">
        <v>56.61</v>
      </c>
      <c r="N1766" s="3" t="n">
        <v>6.61</v>
      </c>
      <c r="O1766">
        <f>TEXT(A1766,"yyyy-mm")</f>
        <v/>
      </c>
    </row>
    <row r="1767">
      <c r="A1767" s="2" t="n">
        <v>45815</v>
      </c>
      <c r="B1767" t="n">
        <v>2025</v>
      </c>
      <c r="C1767" t="inlineStr">
        <is>
          <t>June</t>
        </is>
      </c>
      <c r="D1767" t="inlineStr">
        <is>
          <t>Portable Toolset</t>
        </is>
      </c>
      <c r="E1767" t="inlineStr">
        <is>
          <t>Home &amp; Garden</t>
        </is>
      </c>
      <c r="F1767" t="inlineStr">
        <is>
          <t>Olivia Wojcik</t>
        </is>
      </c>
      <c r="G1767" t="inlineStr">
        <is>
          <t>France</t>
        </is>
      </c>
      <c r="H1767" t="inlineStr">
        <is>
          <t>Mobile App</t>
        </is>
      </c>
      <c r="I1767" t="n">
        <v>3</v>
      </c>
      <c r="J1767" s="3" t="n">
        <v>431.13</v>
      </c>
      <c r="K1767" s="3" t="n">
        <v>86.23</v>
      </c>
      <c r="L1767" s="3" t="n">
        <v>344.9</v>
      </c>
      <c r="M1767" s="3" t="n">
        <v>278.55</v>
      </c>
      <c r="N1767" s="3" t="n">
        <v>66.34999999999999</v>
      </c>
      <c r="O1767">
        <f>TEXT(A1767,"yyyy-mm")</f>
        <v/>
      </c>
    </row>
    <row r="1768">
      <c r="A1768" s="2" t="n">
        <v>45815</v>
      </c>
      <c r="B1768" t="n">
        <v>2025</v>
      </c>
      <c r="C1768" t="inlineStr">
        <is>
          <t>June</t>
        </is>
      </c>
      <c r="D1768" t="inlineStr">
        <is>
          <t>Compact Sunscreen</t>
        </is>
      </c>
      <c r="E1768" t="inlineStr">
        <is>
          <t>Beauty &amp; Health</t>
        </is>
      </c>
      <c r="F1768" t="inlineStr">
        <is>
          <t>Olivia Wojcik</t>
        </is>
      </c>
      <c r="G1768" t="inlineStr">
        <is>
          <t>France</t>
        </is>
      </c>
      <c r="H1768" t="inlineStr">
        <is>
          <t>Mobile App</t>
        </is>
      </c>
      <c r="I1768" t="n">
        <v>3</v>
      </c>
      <c r="J1768" s="3" t="n">
        <v>912.09</v>
      </c>
      <c r="K1768" s="3" t="n">
        <v>45.6</v>
      </c>
      <c r="L1768" s="3" t="n">
        <v>866.49</v>
      </c>
      <c r="M1768" s="3" t="n">
        <v>532.98</v>
      </c>
      <c r="N1768" s="3" t="n">
        <v>333.51</v>
      </c>
      <c r="O1768">
        <f>TEXT(A1768,"yyyy-mm")</f>
        <v/>
      </c>
    </row>
    <row r="1769">
      <c r="A1769" s="2" t="n">
        <v>45815</v>
      </c>
      <c r="B1769" t="n">
        <v>2025</v>
      </c>
      <c r="C1769" t="inlineStr">
        <is>
          <t>June</t>
        </is>
      </c>
      <c r="D1769" t="inlineStr">
        <is>
          <t>Smart Camera</t>
        </is>
      </c>
      <c r="E1769" t="inlineStr">
        <is>
          <t>Electronics</t>
        </is>
      </c>
      <c r="F1769" t="inlineStr">
        <is>
          <t>Mark Bianchi</t>
        </is>
      </c>
      <c r="G1769" t="inlineStr">
        <is>
          <t>Spain</t>
        </is>
      </c>
      <c r="H1769" t="inlineStr">
        <is>
          <t>Mobile App</t>
        </is>
      </c>
      <c r="I1769" t="n">
        <v>3</v>
      </c>
      <c r="J1769" s="3" t="n">
        <v>916.95</v>
      </c>
      <c r="K1769" s="3" t="n">
        <v>183.39</v>
      </c>
      <c r="L1769" s="3" t="n">
        <v>733.5599999999999</v>
      </c>
      <c r="M1769" s="3" t="n">
        <v>502.2</v>
      </c>
      <c r="N1769" s="3" t="n">
        <v>231.36</v>
      </c>
      <c r="O1769">
        <f>TEXT(A1769,"yyyy-mm")</f>
        <v/>
      </c>
    </row>
    <row r="1770">
      <c r="A1770" s="2" t="n">
        <v>45815</v>
      </c>
      <c r="B1770" t="n">
        <v>2025</v>
      </c>
      <c r="C1770" t="inlineStr">
        <is>
          <t>June</t>
        </is>
      </c>
      <c r="D1770" t="inlineStr">
        <is>
          <t>Essential Charger</t>
        </is>
      </c>
      <c r="E1770" t="inlineStr">
        <is>
          <t>Electronics</t>
        </is>
      </c>
      <c r="F1770" t="inlineStr">
        <is>
          <t>Olivia Wojcik</t>
        </is>
      </c>
      <c r="G1770" t="inlineStr">
        <is>
          <t>France</t>
        </is>
      </c>
      <c r="H1770" t="inlineStr">
        <is>
          <t>Mobile App</t>
        </is>
      </c>
      <c r="I1770" t="n">
        <v>3</v>
      </c>
      <c r="J1770" s="3" t="n">
        <v>133.02</v>
      </c>
      <c r="K1770" s="3" t="n">
        <v>0</v>
      </c>
      <c r="L1770" s="3" t="n">
        <v>133.02</v>
      </c>
      <c r="M1770" s="3" t="n">
        <v>87.3</v>
      </c>
      <c r="N1770" s="3" t="n">
        <v>45.72</v>
      </c>
      <c r="O1770">
        <f>TEXT(A1770,"yyyy-mm")</f>
        <v/>
      </c>
    </row>
    <row r="1771">
      <c r="A1771" s="2" t="n">
        <v>45816</v>
      </c>
      <c r="B1771" t="n">
        <v>2025</v>
      </c>
      <c r="C1771" t="inlineStr">
        <is>
          <t>June</t>
        </is>
      </c>
      <c r="D1771" t="inlineStr">
        <is>
          <t>Deluxe Toothbrush</t>
        </is>
      </c>
      <c r="E1771" t="inlineStr">
        <is>
          <t>Beauty &amp; Health</t>
        </is>
      </c>
      <c r="F1771" t="inlineStr">
        <is>
          <t>Emma Rossi</t>
        </is>
      </c>
      <c r="G1771" t="inlineStr">
        <is>
          <t>France</t>
        </is>
      </c>
      <c r="H1771" t="inlineStr">
        <is>
          <t>Retail Store</t>
        </is>
      </c>
      <c r="I1771" t="n">
        <v>3</v>
      </c>
      <c r="J1771" s="3" t="n">
        <v>970.98</v>
      </c>
      <c r="K1771" s="3" t="n">
        <v>0</v>
      </c>
      <c r="L1771" s="3" t="n">
        <v>970.98</v>
      </c>
      <c r="M1771" s="3" t="n">
        <v>523.71</v>
      </c>
      <c r="N1771" s="3" t="n">
        <v>447.27</v>
      </c>
      <c r="O1771">
        <f>TEXT(A1771,"yyyy-mm")</f>
        <v/>
      </c>
    </row>
    <row r="1772">
      <c r="A1772" s="2" t="n">
        <v>45816</v>
      </c>
      <c r="B1772" t="n">
        <v>2025</v>
      </c>
      <c r="C1772" t="inlineStr">
        <is>
          <t>June</t>
        </is>
      </c>
      <c r="D1772" t="inlineStr">
        <is>
          <t>Deluxe Scarf</t>
        </is>
      </c>
      <c r="E1772" t="inlineStr">
        <is>
          <t>Clothing</t>
        </is>
      </c>
      <c r="F1772" t="inlineStr">
        <is>
          <t>Clara Moreau</t>
        </is>
      </c>
      <c r="G1772" t="inlineStr">
        <is>
          <t>Spain</t>
        </is>
      </c>
      <c r="H1772" t="inlineStr">
        <is>
          <t>Retail Store</t>
        </is>
      </c>
      <c r="I1772" t="n">
        <v>5</v>
      </c>
      <c r="J1772" s="3" t="n">
        <v>1048.75</v>
      </c>
      <c r="K1772" s="3" t="n">
        <v>52.44</v>
      </c>
      <c r="L1772" s="3" t="n">
        <v>996.3099999999999</v>
      </c>
      <c r="M1772" s="3" t="n">
        <v>542.6</v>
      </c>
      <c r="N1772" s="3" t="n">
        <v>453.71</v>
      </c>
      <c r="O1772">
        <f>TEXT(A1772,"yyyy-mm")</f>
        <v/>
      </c>
    </row>
    <row r="1773">
      <c r="A1773" s="2" t="n">
        <v>45816</v>
      </c>
      <c r="B1773" t="n">
        <v>2025</v>
      </c>
      <c r="C1773" t="inlineStr">
        <is>
          <t>June</t>
        </is>
      </c>
      <c r="D1773" t="inlineStr">
        <is>
          <t>Premium Rug</t>
        </is>
      </c>
      <c r="E1773" t="inlineStr">
        <is>
          <t>Home &amp; Garden</t>
        </is>
      </c>
      <c r="F1773" t="inlineStr">
        <is>
          <t>Julia Schmidt</t>
        </is>
      </c>
      <c r="G1773" t="inlineStr">
        <is>
          <t>France</t>
        </is>
      </c>
      <c r="H1773" t="inlineStr">
        <is>
          <t>Web Store</t>
        </is>
      </c>
      <c r="I1773" t="n">
        <v>3</v>
      </c>
      <c r="J1773" s="3" t="n">
        <v>545.7</v>
      </c>
      <c r="K1773" s="3" t="n">
        <v>109.14</v>
      </c>
      <c r="L1773" s="3" t="n">
        <v>436.56</v>
      </c>
      <c r="M1773" s="3" t="n">
        <v>333.57</v>
      </c>
      <c r="N1773" s="3" t="n">
        <v>102.99</v>
      </c>
      <c r="O1773">
        <f>TEXT(A1773,"yyyy-mm")</f>
        <v/>
      </c>
    </row>
    <row r="1774">
      <c r="A1774" s="2" t="n">
        <v>45816</v>
      </c>
      <c r="B1774" t="n">
        <v>2025</v>
      </c>
      <c r="C1774" t="inlineStr">
        <is>
          <t>June</t>
        </is>
      </c>
      <c r="D1774" t="inlineStr">
        <is>
          <t>Essential Charger</t>
        </is>
      </c>
      <c r="E1774" t="inlineStr">
        <is>
          <t>Electronics</t>
        </is>
      </c>
      <c r="F1774" t="inlineStr">
        <is>
          <t>Daniel Lopez</t>
        </is>
      </c>
      <c r="G1774" t="inlineStr">
        <is>
          <t>Italy</t>
        </is>
      </c>
      <c r="H1774" t="inlineStr">
        <is>
          <t>Web Store</t>
        </is>
      </c>
      <c r="I1774" t="n">
        <v>1</v>
      </c>
      <c r="J1774" s="3" t="n">
        <v>42.99</v>
      </c>
      <c r="K1774" s="3" t="n">
        <v>8.6</v>
      </c>
      <c r="L1774" s="3" t="n">
        <v>34.39</v>
      </c>
      <c r="M1774" s="3" t="n">
        <v>29.1</v>
      </c>
      <c r="N1774" s="3" t="n">
        <v>5.29</v>
      </c>
      <c r="O1774">
        <f>TEXT(A1774,"yyyy-mm")</f>
        <v/>
      </c>
    </row>
    <row r="1775">
      <c r="A1775" s="2" t="n">
        <v>45816</v>
      </c>
      <c r="B1775" t="n">
        <v>2025</v>
      </c>
      <c r="C1775" t="inlineStr">
        <is>
          <t>June</t>
        </is>
      </c>
      <c r="D1775" t="inlineStr">
        <is>
          <t>Eco Biography</t>
        </is>
      </c>
      <c r="E1775" t="inlineStr">
        <is>
          <t>Books</t>
        </is>
      </c>
      <c r="F1775" t="inlineStr">
        <is>
          <t>Julia Schmidt</t>
        </is>
      </c>
      <c r="G1775" t="inlineStr">
        <is>
          <t>France</t>
        </is>
      </c>
      <c r="H1775" t="inlineStr">
        <is>
          <t>Web Store</t>
        </is>
      </c>
      <c r="I1775" t="n">
        <v>1</v>
      </c>
      <c r="J1775" s="3" t="n">
        <v>126.67</v>
      </c>
      <c r="K1775" s="3" t="n">
        <v>12.67</v>
      </c>
      <c r="L1775" s="3" t="n">
        <v>114</v>
      </c>
      <c r="M1775" s="3" t="n">
        <v>71.02</v>
      </c>
      <c r="N1775" s="3" t="n">
        <v>42.98</v>
      </c>
      <c r="O1775">
        <f>TEXT(A1775,"yyyy-mm")</f>
        <v/>
      </c>
    </row>
    <row r="1776">
      <c r="A1776" s="2" t="n">
        <v>45816</v>
      </c>
      <c r="B1776" t="n">
        <v>2025</v>
      </c>
      <c r="C1776" t="inlineStr">
        <is>
          <t>June</t>
        </is>
      </c>
      <c r="D1776" t="inlineStr">
        <is>
          <t>Deluxe Cookbook</t>
        </is>
      </c>
      <c r="E1776" t="inlineStr">
        <is>
          <t>Books</t>
        </is>
      </c>
      <c r="F1776" t="inlineStr">
        <is>
          <t>Emma Rossi</t>
        </is>
      </c>
      <c r="G1776" t="inlineStr">
        <is>
          <t>France</t>
        </is>
      </c>
      <c r="H1776" t="inlineStr">
        <is>
          <t>Retail Store</t>
        </is>
      </c>
      <c r="I1776" t="n">
        <v>1</v>
      </c>
      <c r="J1776" s="3" t="n">
        <v>132.25</v>
      </c>
      <c r="K1776" s="3" t="n">
        <v>6.61</v>
      </c>
      <c r="L1776" s="3" t="n">
        <v>125.64</v>
      </c>
      <c r="M1776" s="3" t="n">
        <v>85.27</v>
      </c>
      <c r="N1776" s="3" t="n">
        <v>40.37</v>
      </c>
      <c r="O1776">
        <f>TEXT(A1776,"yyyy-mm")</f>
        <v/>
      </c>
    </row>
    <row r="1777">
      <c r="A1777" s="2" t="n">
        <v>45816</v>
      </c>
      <c r="B1777" t="n">
        <v>2025</v>
      </c>
      <c r="C1777" t="inlineStr">
        <is>
          <t>June</t>
        </is>
      </c>
      <c r="D1777" t="inlineStr">
        <is>
          <t>Smart Sweater</t>
        </is>
      </c>
      <c r="E1777" t="inlineStr">
        <is>
          <t>Clothing</t>
        </is>
      </c>
      <c r="F1777" t="inlineStr">
        <is>
          <t>Emma Rossi</t>
        </is>
      </c>
      <c r="G1777" t="inlineStr">
        <is>
          <t>France</t>
        </is>
      </c>
      <c r="H1777" t="inlineStr">
        <is>
          <t>Retail Store</t>
        </is>
      </c>
      <c r="I1777" t="n">
        <v>5</v>
      </c>
      <c r="J1777" s="3" t="n">
        <v>706.5</v>
      </c>
      <c r="K1777" s="3" t="n">
        <v>0</v>
      </c>
      <c r="L1777" s="3" t="n">
        <v>706.5</v>
      </c>
      <c r="M1777" s="3" t="n">
        <v>386.75</v>
      </c>
      <c r="N1777" s="3" t="n">
        <v>319.75</v>
      </c>
      <c r="O1777">
        <f>TEXT(A1777,"yyyy-mm")</f>
        <v/>
      </c>
    </row>
    <row r="1778">
      <c r="A1778" s="2" t="n">
        <v>45816</v>
      </c>
      <c r="B1778" t="n">
        <v>2025</v>
      </c>
      <c r="C1778" t="inlineStr">
        <is>
          <t>June</t>
        </is>
      </c>
      <c r="D1778" t="inlineStr">
        <is>
          <t>Smart Board Game</t>
        </is>
      </c>
      <c r="E1778" t="inlineStr">
        <is>
          <t>Toys &amp; Games</t>
        </is>
      </c>
      <c r="F1778" t="inlineStr">
        <is>
          <t>Julia Schmidt</t>
        </is>
      </c>
      <c r="G1778" t="inlineStr">
        <is>
          <t>France</t>
        </is>
      </c>
      <c r="H1778" t="inlineStr">
        <is>
          <t>Web Store</t>
        </is>
      </c>
      <c r="I1778" t="n">
        <v>4</v>
      </c>
      <c r="J1778" s="3" t="n">
        <v>519.96</v>
      </c>
      <c r="K1778" s="3" t="n">
        <v>103.99</v>
      </c>
      <c r="L1778" s="3" t="n">
        <v>415.97</v>
      </c>
      <c r="M1778" s="3" t="n">
        <v>366.88</v>
      </c>
      <c r="N1778" s="3" t="n">
        <v>49.09</v>
      </c>
      <c r="O1778">
        <f>TEXT(A1778,"yyyy-mm")</f>
        <v/>
      </c>
    </row>
    <row r="1779">
      <c r="A1779" s="2" t="n">
        <v>45816</v>
      </c>
      <c r="B1779" t="n">
        <v>2025</v>
      </c>
      <c r="C1779" t="inlineStr">
        <is>
          <t>June</t>
        </is>
      </c>
      <c r="D1779" t="inlineStr">
        <is>
          <t>Smart Camera</t>
        </is>
      </c>
      <c r="E1779" t="inlineStr">
        <is>
          <t>Electronics</t>
        </is>
      </c>
      <c r="F1779" t="inlineStr">
        <is>
          <t>Clara Moreau</t>
        </is>
      </c>
      <c r="G1779" t="inlineStr">
        <is>
          <t>Spain</t>
        </is>
      </c>
      <c r="H1779" t="inlineStr">
        <is>
          <t>Retail Store</t>
        </is>
      </c>
      <c r="I1779" t="n">
        <v>3</v>
      </c>
      <c r="J1779" s="3" t="n">
        <v>376.32</v>
      </c>
      <c r="K1779" s="3" t="n">
        <v>56.45</v>
      </c>
      <c r="L1779" s="3" t="n">
        <v>319.87</v>
      </c>
      <c r="M1779" s="3" t="n">
        <v>256.74</v>
      </c>
      <c r="N1779" s="3" t="n">
        <v>63.13</v>
      </c>
      <c r="O1779">
        <f>TEXT(A1779,"yyyy-mm")</f>
        <v/>
      </c>
    </row>
    <row r="1780">
      <c r="A1780" s="2" t="n">
        <v>45817</v>
      </c>
      <c r="B1780" t="n">
        <v>2025</v>
      </c>
      <c r="C1780" t="inlineStr">
        <is>
          <t>June</t>
        </is>
      </c>
      <c r="D1780" t="inlineStr">
        <is>
          <t>Premium Tent</t>
        </is>
      </c>
      <c r="E1780" t="inlineStr">
        <is>
          <t>Sports &amp; Outdoors</t>
        </is>
      </c>
      <c r="F1780" t="inlineStr">
        <is>
          <t>Daniel Conti</t>
        </is>
      </c>
      <c r="G1780" t="inlineStr">
        <is>
          <t>United Kingdom</t>
        </is>
      </c>
      <c r="H1780" t="inlineStr">
        <is>
          <t>Mobile App</t>
        </is>
      </c>
      <c r="I1780" t="n">
        <v>4</v>
      </c>
      <c r="J1780" s="3" t="n">
        <v>599.04</v>
      </c>
      <c r="K1780" s="3" t="n">
        <v>0</v>
      </c>
      <c r="L1780" s="3" t="n">
        <v>599.04</v>
      </c>
      <c r="M1780" s="3" t="n">
        <v>385.6</v>
      </c>
      <c r="N1780" s="3" t="n">
        <v>213.44</v>
      </c>
      <c r="O1780">
        <f>TEXT(A1780,"yyyy-mm")</f>
        <v/>
      </c>
    </row>
    <row r="1781">
      <c r="A1781" s="2" t="n">
        <v>45817</v>
      </c>
      <c r="B1781" t="n">
        <v>2025</v>
      </c>
      <c r="C1781" t="inlineStr">
        <is>
          <t>June</t>
        </is>
      </c>
      <c r="D1781" t="inlineStr">
        <is>
          <t>Classic Coffee Beans</t>
        </is>
      </c>
      <c r="E1781" t="inlineStr">
        <is>
          <t>Grocery</t>
        </is>
      </c>
      <c r="F1781" t="inlineStr">
        <is>
          <t>Thomas Zielinski</t>
        </is>
      </c>
      <c r="G1781" t="inlineStr">
        <is>
          <t>Netherlands</t>
        </is>
      </c>
      <c r="H1781" t="inlineStr">
        <is>
          <t>Web Store</t>
        </is>
      </c>
      <c r="I1781" t="n">
        <v>4</v>
      </c>
      <c r="J1781" s="3" t="n">
        <v>1281.36</v>
      </c>
      <c r="K1781" s="3" t="n">
        <v>64.06999999999999</v>
      </c>
      <c r="L1781" s="3" t="n">
        <v>1217.29</v>
      </c>
      <c r="M1781" s="3" t="n">
        <v>779.04</v>
      </c>
      <c r="N1781" s="3" t="n">
        <v>438.25</v>
      </c>
      <c r="O1781">
        <f>TEXT(A1781,"yyyy-mm")</f>
        <v/>
      </c>
    </row>
    <row r="1782">
      <c r="A1782" s="2" t="n">
        <v>45817</v>
      </c>
      <c r="B1782" t="n">
        <v>2025</v>
      </c>
      <c r="C1782" t="inlineStr">
        <is>
          <t>June</t>
        </is>
      </c>
      <c r="D1782" t="inlineStr">
        <is>
          <t>Premium Tent</t>
        </is>
      </c>
      <c r="E1782" t="inlineStr">
        <is>
          <t>Sports &amp; Outdoors</t>
        </is>
      </c>
      <c r="F1782" t="inlineStr">
        <is>
          <t>Thomas Zielinski</t>
        </is>
      </c>
      <c r="G1782" t="inlineStr">
        <is>
          <t>Netherlands</t>
        </is>
      </c>
      <c r="H1782" t="inlineStr">
        <is>
          <t>Web Store</t>
        </is>
      </c>
      <c r="I1782" t="n">
        <v>1</v>
      </c>
      <c r="J1782" s="3" t="n">
        <v>138.94</v>
      </c>
      <c r="K1782" s="3" t="n">
        <v>6.95</v>
      </c>
      <c r="L1782" s="3" t="n">
        <v>131.99</v>
      </c>
      <c r="M1782" s="3" t="n">
        <v>96.40000000000001</v>
      </c>
      <c r="N1782" s="3" t="n">
        <v>35.59</v>
      </c>
      <c r="O1782">
        <f>TEXT(A1782,"yyyy-mm")</f>
        <v/>
      </c>
    </row>
    <row r="1783">
      <c r="A1783" s="2" t="n">
        <v>45817</v>
      </c>
      <c r="B1783" t="n">
        <v>2025</v>
      </c>
      <c r="C1783" t="inlineStr">
        <is>
          <t>June</t>
        </is>
      </c>
      <c r="D1783" t="inlineStr">
        <is>
          <t>Smart Olive Oil</t>
        </is>
      </c>
      <c r="E1783" t="inlineStr">
        <is>
          <t>Grocery</t>
        </is>
      </c>
      <c r="F1783" t="inlineStr">
        <is>
          <t>Thomas Zielinski</t>
        </is>
      </c>
      <c r="G1783" t="inlineStr">
        <is>
          <t>Netherlands</t>
        </is>
      </c>
      <c r="H1783" t="inlineStr">
        <is>
          <t>Web Store</t>
        </is>
      </c>
      <c r="I1783" t="n">
        <v>5</v>
      </c>
      <c r="J1783" s="3" t="n">
        <v>810.7</v>
      </c>
      <c r="K1783" s="3" t="n">
        <v>0</v>
      </c>
      <c r="L1783" s="3" t="n">
        <v>810.7</v>
      </c>
      <c r="M1783" s="3" t="n">
        <v>550.1</v>
      </c>
      <c r="N1783" s="3" t="n">
        <v>260.6</v>
      </c>
      <c r="O1783">
        <f>TEXT(A1783,"yyyy-mm")</f>
        <v/>
      </c>
    </row>
    <row r="1784">
      <c r="A1784" s="2" t="n">
        <v>45817</v>
      </c>
      <c r="B1784" t="n">
        <v>2025</v>
      </c>
      <c r="C1784" t="inlineStr">
        <is>
          <t>June</t>
        </is>
      </c>
      <c r="D1784" t="inlineStr">
        <is>
          <t>Portable Tea Set</t>
        </is>
      </c>
      <c r="E1784" t="inlineStr">
        <is>
          <t>Grocery</t>
        </is>
      </c>
      <c r="F1784" t="inlineStr">
        <is>
          <t>Thomas Zielinski</t>
        </is>
      </c>
      <c r="G1784" t="inlineStr">
        <is>
          <t>Netherlands</t>
        </is>
      </c>
      <c r="H1784" t="inlineStr">
        <is>
          <t>Web Store</t>
        </is>
      </c>
      <c r="I1784" t="n">
        <v>5</v>
      </c>
      <c r="J1784" s="3" t="n">
        <v>1381.55</v>
      </c>
      <c r="K1784" s="3" t="n">
        <v>69.08</v>
      </c>
      <c r="L1784" s="3" t="n">
        <v>1312.47</v>
      </c>
      <c r="M1784" s="3" t="n">
        <v>940.6</v>
      </c>
      <c r="N1784" s="3" t="n">
        <v>371.87</v>
      </c>
      <c r="O1784">
        <f>TEXT(A1784,"yyyy-mm")</f>
        <v/>
      </c>
    </row>
    <row r="1785">
      <c r="A1785" s="2" t="n">
        <v>45817</v>
      </c>
      <c r="B1785" t="n">
        <v>2025</v>
      </c>
      <c r="C1785" t="inlineStr">
        <is>
          <t>June</t>
        </is>
      </c>
      <c r="D1785" t="inlineStr">
        <is>
          <t>Smart Charger</t>
        </is>
      </c>
      <c r="E1785" t="inlineStr">
        <is>
          <t>Electronics</t>
        </is>
      </c>
      <c r="F1785" t="inlineStr">
        <is>
          <t>Olivia Schmidt</t>
        </is>
      </c>
      <c r="G1785" t="inlineStr">
        <is>
          <t>United States</t>
        </is>
      </c>
      <c r="H1785" t="inlineStr">
        <is>
          <t>Mobile App</t>
        </is>
      </c>
      <c r="I1785" t="n">
        <v>5</v>
      </c>
      <c r="J1785" s="3" t="n">
        <v>1282.65</v>
      </c>
      <c r="K1785" s="3" t="n">
        <v>128.26</v>
      </c>
      <c r="L1785" s="3" t="n">
        <v>1154.38</v>
      </c>
      <c r="M1785" s="3" t="n">
        <v>712.6</v>
      </c>
      <c r="N1785" s="3" t="n">
        <v>441.78</v>
      </c>
      <c r="O1785">
        <f>TEXT(A1785,"yyyy-mm")</f>
        <v/>
      </c>
    </row>
    <row r="1786">
      <c r="A1786" s="2" t="n">
        <v>45817</v>
      </c>
      <c r="B1786" t="n">
        <v>2025</v>
      </c>
      <c r="C1786" t="inlineStr">
        <is>
          <t>June</t>
        </is>
      </c>
      <c r="D1786" t="inlineStr">
        <is>
          <t>Ultra Toolset</t>
        </is>
      </c>
      <c r="E1786" t="inlineStr">
        <is>
          <t>Home &amp; Garden</t>
        </is>
      </c>
      <c r="F1786" t="inlineStr">
        <is>
          <t>James Johnson</t>
        </is>
      </c>
      <c r="G1786" t="inlineStr">
        <is>
          <t>United Kingdom</t>
        </is>
      </c>
      <c r="H1786" t="inlineStr">
        <is>
          <t>Web Store</t>
        </is>
      </c>
      <c r="I1786" t="n">
        <v>5</v>
      </c>
      <c r="J1786" s="3" t="n">
        <v>1788.75</v>
      </c>
      <c r="K1786" s="3" t="n">
        <v>0</v>
      </c>
      <c r="L1786" s="3" t="n">
        <v>1788.75</v>
      </c>
      <c r="M1786" s="3" t="n">
        <v>952</v>
      </c>
      <c r="N1786" s="3" t="n">
        <v>836.75</v>
      </c>
      <c r="O1786">
        <f>TEXT(A1786,"yyyy-mm")</f>
        <v/>
      </c>
    </row>
    <row r="1787">
      <c r="A1787" s="2" t="n">
        <v>45817</v>
      </c>
      <c r="B1787" t="n">
        <v>2025</v>
      </c>
      <c r="C1787" t="inlineStr">
        <is>
          <t>June</t>
        </is>
      </c>
      <c r="D1787" t="inlineStr">
        <is>
          <t>Deluxe Scarf</t>
        </is>
      </c>
      <c r="E1787" t="inlineStr">
        <is>
          <t>Clothing</t>
        </is>
      </c>
      <c r="F1787" t="inlineStr">
        <is>
          <t>James Johnson</t>
        </is>
      </c>
      <c r="G1787" t="inlineStr">
        <is>
          <t>United Kingdom</t>
        </is>
      </c>
      <c r="H1787" t="inlineStr">
        <is>
          <t>Web Store</t>
        </is>
      </c>
      <c r="I1787" t="n">
        <v>4</v>
      </c>
      <c r="J1787" s="3" t="n">
        <v>762.5599999999999</v>
      </c>
      <c r="K1787" s="3" t="n">
        <v>0</v>
      </c>
      <c r="L1787" s="3" t="n">
        <v>762.5599999999999</v>
      </c>
      <c r="M1787" s="3" t="n">
        <v>434.08</v>
      </c>
      <c r="N1787" s="3" t="n">
        <v>328.48</v>
      </c>
      <c r="O1787">
        <f>TEXT(A1787,"yyyy-mm")</f>
        <v/>
      </c>
    </row>
    <row r="1788">
      <c r="A1788" s="2" t="n">
        <v>45818</v>
      </c>
      <c r="B1788" t="n">
        <v>2025</v>
      </c>
      <c r="C1788" t="inlineStr">
        <is>
          <t>June</t>
        </is>
      </c>
      <c r="D1788" t="inlineStr">
        <is>
          <t>Ultra Rug</t>
        </is>
      </c>
      <c r="E1788" t="inlineStr">
        <is>
          <t>Home &amp; Garden</t>
        </is>
      </c>
      <c r="F1788" t="inlineStr">
        <is>
          <t>Clara Nowak</t>
        </is>
      </c>
      <c r="G1788" t="inlineStr">
        <is>
          <t>Italy</t>
        </is>
      </c>
      <c r="H1788" t="inlineStr">
        <is>
          <t>Web Store</t>
        </is>
      </c>
      <c r="I1788" t="n">
        <v>3</v>
      </c>
      <c r="J1788" s="3" t="n">
        <v>154.95</v>
      </c>
      <c r="K1788" s="3" t="n">
        <v>15.5</v>
      </c>
      <c r="L1788" s="3" t="n">
        <v>139.45</v>
      </c>
      <c r="M1788" s="3" t="n">
        <v>98.73</v>
      </c>
      <c r="N1788" s="3" t="n">
        <v>40.72</v>
      </c>
      <c r="O1788">
        <f>TEXT(A1788,"yyyy-mm")</f>
        <v/>
      </c>
    </row>
    <row r="1789">
      <c r="A1789" s="2" t="n">
        <v>45818</v>
      </c>
      <c r="B1789" t="n">
        <v>2025</v>
      </c>
      <c r="C1789" t="inlineStr">
        <is>
          <t>June</t>
        </is>
      </c>
      <c r="D1789" t="inlineStr">
        <is>
          <t>Portable Puzzle</t>
        </is>
      </c>
      <c r="E1789" t="inlineStr">
        <is>
          <t>Toys &amp; Games</t>
        </is>
      </c>
      <c r="F1789" t="inlineStr">
        <is>
          <t>Clara Nowak</t>
        </is>
      </c>
      <c r="G1789" t="inlineStr">
        <is>
          <t>Italy</t>
        </is>
      </c>
      <c r="H1789" t="inlineStr">
        <is>
          <t>Web Store</t>
        </is>
      </c>
      <c r="I1789" t="n">
        <v>4</v>
      </c>
      <c r="J1789" s="3" t="n">
        <v>424.68</v>
      </c>
      <c r="K1789" s="3" t="n">
        <v>63.7</v>
      </c>
      <c r="L1789" s="3" t="n">
        <v>360.98</v>
      </c>
      <c r="M1789" s="3" t="n">
        <v>235.2</v>
      </c>
      <c r="N1789" s="3" t="n">
        <v>125.78</v>
      </c>
      <c r="O1789">
        <f>TEXT(A1789,"yyyy-mm")</f>
        <v/>
      </c>
    </row>
    <row r="1790">
      <c r="A1790" s="2" t="n">
        <v>45818</v>
      </c>
      <c r="B1790" t="n">
        <v>2025</v>
      </c>
      <c r="C1790" t="inlineStr">
        <is>
          <t>June</t>
        </is>
      </c>
      <c r="D1790" t="inlineStr">
        <is>
          <t>Smart Cookbook</t>
        </is>
      </c>
      <c r="E1790" t="inlineStr">
        <is>
          <t>Books</t>
        </is>
      </c>
      <c r="F1790" t="inlineStr">
        <is>
          <t>Clara Nowak</t>
        </is>
      </c>
      <c r="G1790" t="inlineStr">
        <is>
          <t>Italy</t>
        </is>
      </c>
      <c r="H1790" t="inlineStr">
        <is>
          <t>Web Store</t>
        </is>
      </c>
      <c r="I1790" t="n">
        <v>1</v>
      </c>
      <c r="J1790" s="3" t="n">
        <v>18.73</v>
      </c>
      <c r="K1790" s="3" t="n">
        <v>2.81</v>
      </c>
      <c r="L1790" s="3" t="n">
        <v>15.92</v>
      </c>
      <c r="M1790" s="3" t="n">
        <v>9.880000000000001</v>
      </c>
      <c r="N1790" s="3" t="n">
        <v>6.04</v>
      </c>
      <c r="O1790">
        <f>TEXT(A1790,"yyyy-mm")</f>
        <v/>
      </c>
    </row>
    <row r="1791">
      <c r="A1791" s="2" t="n">
        <v>45818</v>
      </c>
      <c r="B1791" t="n">
        <v>2025</v>
      </c>
      <c r="C1791" t="inlineStr">
        <is>
          <t>June</t>
        </is>
      </c>
      <c r="D1791" t="inlineStr">
        <is>
          <t>Smart Charger</t>
        </is>
      </c>
      <c r="E1791" t="inlineStr">
        <is>
          <t>Electronics</t>
        </is>
      </c>
      <c r="F1791" t="inlineStr">
        <is>
          <t>Clara Dubois</t>
        </is>
      </c>
      <c r="G1791" t="inlineStr">
        <is>
          <t>Poland</t>
        </is>
      </c>
      <c r="H1791" t="inlineStr">
        <is>
          <t>Marketplace</t>
        </is>
      </c>
      <c r="I1791" t="n">
        <v>3</v>
      </c>
      <c r="J1791" s="3" t="n">
        <v>763.47</v>
      </c>
      <c r="K1791" s="3" t="n">
        <v>0</v>
      </c>
      <c r="L1791" s="3" t="n">
        <v>763.47</v>
      </c>
      <c r="M1791" s="3" t="n">
        <v>427.56</v>
      </c>
      <c r="N1791" s="3" t="n">
        <v>335.91</v>
      </c>
      <c r="O1791">
        <f>TEXT(A1791,"yyyy-mm")</f>
        <v/>
      </c>
    </row>
    <row r="1792">
      <c r="A1792" s="2" t="n">
        <v>45818</v>
      </c>
      <c r="B1792" t="n">
        <v>2025</v>
      </c>
      <c r="C1792" t="inlineStr">
        <is>
          <t>June</t>
        </is>
      </c>
      <c r="D1792" t="inlineStr">
        <is>
          <t>Smart Charger</t>
        </is>
      </c>
      <c r="E1792" t="inlineStr">
        <is>
          <t>Electronics</t>
        </is>
      </c>
      <c r="F1792" t="inlineStr">
        <is>
          <t>Clara Dubois</t>
        </is>
      </c>
      <c r="G1792" t="inlineStr">
        <is>
          <t>Poland</t>
        </is>
      </c>
      <c r="H1792" t="inlineStr">
        <is>
          <t>Marketplace</t>
        </is>
      </c>
      <c r="I1792" t="n">
        <v>4</v>
      </c>
      <c r="J1792" s="3" t="n">
        <v>163.28</v>
      </c>
      <c r="K1792" s="3" t="n">
        <v>16.33</v>
      </c>
      <c r="L1792" s="3" t="n">
        <v>146.95</v>
      </c>
      <c r="M1792" s="3" t="n">
        <v>110.56</v>
      </c>
      <c r="N1792" s="3" t="n">
        <v>36.39</v>
      </c>
      <c r="O1792">
        <f>TEXT(A1792,"yyyy-mm")</f>
        <v/>
      </c>
    </row>
    <row r="1793">
      <c r="A1793" s="2" t="n">
        <v>45818</v>
      </c>
      <c r="B1793" t="n">
        <v>2025</v>
      </c>
      <c r="C1793" t="inlineStr">
        <is>
          <t>June</t>
        </is>
      </c>
      <c r="D1793" t="inlineStr">
        <is>
          <t>Wireless Coffee Beans</t>
        </is>
      </c>
      <c r="E1793" t="inlineStr">
        <is>
          <t>Grocery</t>
        </is>
      </c>
      <c r="F1793" t="inlineStr">
        <is>
          <t>Clara Dubois</t>
        </is>
      </c>
      <c r="G1793" t="inlineStr">
        <is>
          <t>Poland</t>
        </is>
      </c>
      <c r="H1793" t="inlineStr">
        <is>
          <t>Marketplace</t>
        </is>
      </c>
      <c r="I1793" t="n">
        <v>4</v>
      </c>
      <c r="J1793" s="3" t="n">
        <v>894.76</v>
      </c>
      <c r="K1793" s="3" t="n">
        <v>178.95</v>
      </c>
      <c r="L1793" s="3" t="n">
        <v>715.8099999999999</v>
      </c>
      <c r="M1793" s="3" t="n">
        <v>520.52</v>
      </c>
      <c r="N1793" s="3" t="n">
        <v>195.29</v>
      </c>
      <c r="O1793">
        <f>TEXT(A1793,"yyyy-mm")</f>
        <v/>
      </c>
    </row>
    <row r="1794">
      <c r="A1794" s="2" t="n">
        <v>45818</v>
      </c>
      <c r="B1794" t="n">
        <v>2025</v>
      </c>
      <c r="C1794" t="inlineStr">
        <is>
          <t>June</t>
        </is>
      </c>
      <c r="D1794" t="inlineStr">
        <is>
          <t>Smart Honey</t>
        </is>
      </c>
      <c r="E1794" t="inlineStr">
        <is>
          <t>Grocery</t>
        </is>
      </c>
      <c r="F1794" t="inlineStr">
        <is>
          <t>Clara Dubois</t>
        </is>
      </c>
      <c r="G1794" t="inlineStr">
        <is>
          <t>Poland</t>
        </is>
      </c>
      <c r="H1794" t="inlineStr">
        <is>
          <t>Marketplace</t>
        </is>
      </c>
      <c r="I1794" t="n">
        <v>2</v>
      </c>
      <c r="J1794" s="3" t="n">
        <v>263.56</v>
      </c>
      <c r="K1794" s="3" t="n">
        <v>0</v>
      </c>
      <c r="L1794" s="3" t="n">
        <v>263.56</v>
      </c>
      <c r="M1794" s="3" t="n">
        <v>142.88</v>
      </c>
      <c r="N1794" s="3" t="n">
        <v>120.68</v>
      </c>
      <c r="O1794">
        <f>TEXT(A1794,"yyyy-mm")</f>
        <v/>
      </c>
    </row>
    <row r="1795">
      <c r="A1795" s="2" t="n">
        <v>45818</v>
      </c>
      <c r="B1795" t="n">
        <v>2025</v>
      </c>
      <c r="C1795" t="inlineStr">
        <is>
          <t>June</t>
        </is>
      </c>
      <c r="D1795" t="inlineStr">
        <is>
          <t>Eco Tent</t>
        </is>
      </c>
      <c r="E1795" t="inlineStr">
        <is>
          <t>Sports &amp; Outdoors</t>
        </is>
      </c>
      <c r="F1795" t="inlineStr">
        <is>
          <t>Maria Martin</t>
        </is>
      </c>
      <c r="G1795" t="inlineStr">
        <is>
          <t>Poland</t>
        </is>
      </c>
      <c r="H1795" t="inlineStr">
        <is>
          <t>Web Store</t>
        </is>
      </c>
      <c r="I1795" t="n">
        <v>3</v>
      </c>
      <c r="J1795" s="3" t="n">
        <v>720.0599999999999</v>
      </c>
      <c r="K1795" s="3" t="n">
        <v>36</v>
      </c>
      <c r="L1795" s="3" t="n">
        <v>684.0599999999999</v>
      </c>
      <c r="M1795" s="3" t="n">
        <v>405.09</v>
      </c>
      <c r="N1795" s="3" t="n">
        <v>278.97</v>
      </c>
      <c r="O1795">
        <f>TEXT(A1795,"yyyy-mm")</f>
        <v/>
      </c>
    </row>
    <row r="1796">
      <c r="A1796" s="2" t="n">
        <v>45818</v>
      </c>
      <c r="B1796" t="n">
        <v>2025</v>
      </c>
      <c r="C1796" t="inlineStr">
        <is>
          <t>June</t>
        </is>
      </c>
      <c r="D1796" t="inlineStr">
        <is>
          <t>Classic Bike Helmet</t>
        </is>
      </c>
      <c r="E1796" t="inlineStr">
        <is>
          <t>Sports &amp; Outdoors</t>
        </is>
      </c>
      <c r="F1796" t="inlineStr">
        <is>
          <t>Daniel Zielinski</t>
        </is>
      </c>
      <c r="G1796" t="inlineStr">
        <is>
          <t>United States</t>
        </is>
      </c>
      <c r="H1796" t="inlineStr">
        <is>
          <t>Retail Store</t>
        </is>
      </c>
      <c r="I1796" t="n">
        <v>1</v>
      </c>
      <c r="J1796" s="3" t="n">
        <v>219.24</v>
      </c>
      <c r="K1796" s="3" t="n">
        <v>0</v>
      </c>
      <c r="L1796" s="3" t="n">
        <v>219.24</v>
      </c>
      <c r="M1796" s="3" t="n">
        <v>153.81</v>
      </c>
      <c r="N1796" s="3" t="n">
        <v>65.43000000000001</v>
      </c>
      <c r="O1796">
        <f>TEXT(A1796,"yyyy-mm")</f>
        <v/>
      </c>
    </row>
    <row r="1797">
      <c r="A1797" s="2" t="n">
        <v>45818</v>
      </c>
      <c r="B1797" t="n">
        <v>2025</v>
      </c>
      <c r="C1797" t="inlineStr">
        <is>
          <t>June</t>
        </is>
      </c>
      <c r="D1797" t="inlineStr">
        <is>
          <t>Wireless Honey</t>
        </is>
      </c>
      <c r="E1797" t="inlineStr">
        <is>
          <t>Grocery</t>
        </is>
      </c>
      <c r="F1797" t="inlineStr">
        <is>
          <t>Daniel Zielinski</t>
        </is>
      </c>
      <c r="G1797" t="inlineStr">
        <is>
          <t>United States</t>
        </is>
      </c>
      <c r="H1797" t="inlineStr">
        <is>
          <t>Retail Store</t>
        </is>
      </c>
      <c r="I1797" t="n">
        <v>2</v>
      </c>
      <c r="J1797" s="3" t="n">
        <v>267.22</v>
      </c>
      <c r="K1797" s="3" t="n">
        <v>53.44</v>
      </c>
      <c r="L1797" s="3" t="n">
        <v>213.78</v>
      </c>
      <c r="M1797" s="3" t="n">
        <v>188.14</v>
      </c>
      <c r="N1797" s="3" t="n">
        <v>25.64</v>
      </c>
      <c r="O1797">
        <f>TEXT(A1797,"yyyy-mm")</f>
        <v/>
      </c>
    </row>
    <row r="1798">
      <c r="A1798" s="2" t="n">
        <v>45819</v>
      </c>
      <c r="B1798" t="n">
        <v>2025</v>
      </c>
      <c r="C1798" t="inlineStr">
        <is>
          <t>June</t>
        </is>
      </c>
      <c r="D1798" t="inlineStr">
        <is>
          <t>Classic Charger</t>
        </is>
      </c>
      <c r="E1798" t="inlineStr">
        <is>
          <t>Electronics</t>
        </is>
      </c>
      <c r="F1798" t="inlineStr">
        <is>
          <t>Sophie Smith</t>
        </is>
      </c>
      <c r="G1798" t="inlineStr">
        <is>
          <t>United Kingdom</t>
        </is>
      </c>
      <c r="H1798" t="inlineStr">
        <is>
          <t>Mobile App</t>
        </is>
      </c>
      <c r="I1798" t="n">
        <v>2</v>
      </c>
      <c r="J1798" s="3" t="n">
        <v>190.06</v>
      </c>
      <c r="K1798" s="3" t="n">
        <v>28.51</v>
      </c>
      <c r="L1798" s="3" t="n">
        <v>161.55</v>
      </c>
      <c r="M1798" s="3" t="n">
        <v>124.42</v>
      </c>
      <c r="N1798" s="3" t="n">
        <v>37.13</v>
      </c>
      <c r="O1798">
        <f>TEXT(A1798,"yyyy-mm")</f>
        <v/>
      </c>
    </row>
    <row r="1799">
      <c r="A1799" s="2" t="n">
        <v>45819</v>
      </c>
      <c r="B1799" t="n">
        <v>2025</v>
      </c>
      <c r="C1799" t="inlineStr">
        <is>
          <t>June</t>
        </is>
      </c>
      <c r="D1799" t="inlineStr">
        <is>
          <t>Essential Pasta</t>
        </is>
      </c>
      <c r="E1799" t="inlineStr">
        <is>
          <t>Grocery</t>
        </is>
      </c>
      <c r="F1799" t="inlineStr">
        <is>
          <t>Sophie Smith</t>
        </is>
      </c>
      <c r="G1799" t="inlineStr">
        <is>
          <t>United Kingdom</t>
        </is>
      </c>
      <c r="H1799" t="inlineStr">
        <is>
          <t>Mobile App</t>
        </is>
      </c>
      <c r="I1799" t="n">
        <v>1</v>
      </c>
      <c r="J1799" s="3" t="n">
        <v>58.39</v>
      </c>
      <c r="K1799" s="3" t="n">
        <v>5.84</v>
      </c>
      <c r="L1799" s="3" t="n">
        <v>52.55</v>
      </c>
      <c r="M1799" s="3" t="n">
        <v>35.81</v>
      </c>
      <c r="N1799" s="3" t="n">
        <v>16.74</v>
      </c>
      <c r="O1799">
        <f>TEXT(A1799,"yyyy-mm")</f>
        <v/>
      </c>
    </row>
    <row r="1800">
      <c r="A1800" s="2" t="n">
        <v>45819</v>
      </c>
      <c r="B1800" t="n">
        <v>2025</v>
      </c>
      <c r="C1800" t="inlineStr">
        <is>
          <t>June</t>
        </is>
      </c>
      <c r="D1800" t="inlineStr">
        <is>
          <t>Eco Drone</t>
        </is>
      </c>
      <c r="E1800" t="inlineStr">
        <is>
          <t>Toys &amp; Games</t>
        </is>
      </c>
      <c r="F1800" t="inlineStr">
        <is>
          <t>Sophie Smith</t>
        </is>
      </c>
      <c r="G1800" t="inlineStr">
        <is>
          <t>United Kingdom</t>
        </is>
      </c>
      <c r="H1800" t="inlineStr">
        <is>
          <t>Mobile App</t>
        </is>
      </c>
      <c r="I1800" t="n">
        <v>3</v>
      </c>
      <c r="J1800" s="3" t="n">
        <v>618.0599999999999</v>
      </c>
      <c r="K1800" s="3" t="n">
        <v>61.81</v>
      </c>
      <c r="L1800" s="3" t="n">
        <v>556.25</v>
      </c>
      <c r="M1800" s="3" t="n">
        <v>388.77</v>
      </c>
      <c r="N1800" s="3" t="n">
        <v>167.48</v>
      </c>
      <c r="O1800">
        <f>TEXT(A1800,"yyyy-mm")</f>
        <v/>
      </c>
    </row>
    <row r="1801">
      <c r="A1801" s="2" t="n">
        <v>45819</v>
      </c>
      <c r="B1801" t="n">
        <v>2025</v>
      </c>
      <c r="C1801" t="inlineStr">
        <is>
          <t>June</t>
        </is>
      </c>
      <c r="D1801" t="inlineStr">
        <is>
          <t>Deluxe Puzzle</t>
        </is>
      </c>
      <c r="E1801" t="inlineStr">
        <is>
          <t>Toys &amp; Games</t>
        </is>
      </c>
      <c r="F1801" t="inlineStr">
        <is>
          <t>Sophie Smith</t>
        </is>
      </c>
      <c r="G1801" t="inlineStr">
        <is>
          <t>United Kingdom</t>
        </is>
      </c>
      <c r="H1801" t="inlineStr">
        <is>
          <t>Mobile App</t>
        </is>
      </c>
      <c r="I1801" t="n">
        <v>5</v>
      </c>
      <c r="J1801" s="3" t="n">
        <v>1032.8</v>
      </c>
      <c r="K1801" s="3" t="n">
        <v>206.56</v>
      </c>
      <c r="L1801" s="3" t="n">
        <v>826.24</v>
      </c>
      <c r="M1801" s="3" t="n">
        <v>555.85</v>
      </c>
      <c r="N1801" s="3" t="n">
        <v>270.39</v>
      </c>
      <c r="O1801">
        <f>TEXT(A1801,"yyyy-mm")</f>
        <v/>
      </c>
    </row>
    <row r="1802">
      <c r="A1802" s="2" t="n">
        <v>45819</v>
      </c>
      <c r="B1802" t="n">
        <v>2025</v>
      </c>
      <c r="C1802" t="inlineStr">
        <is>
          <t>June</t>
        </is>
      </c>
      <c r="D1802" t="inlineStr">
        <is>
          <t>Smart Charger</t>
        </is>
      </c>
      <c r="E1802" t="inlineStr">
        <is>
          <t>Electronics</t>
        </is>
      </c>
      <c r="F1802" t="inlineStr">
        <is>
          <t>Laura Schmidt</t>
        </is>
      </c>
      <c r="G1802" t="inlineStr">
        <is>
          <t>United States</t>
        </is>
      </c>
      <c r="H1802" t="inlineStr">
        <is>
          <t>Mobile App</t>
        </is>
      </c>
      <c r="I1802" t="n">
        <v>4</v>
      </c>
      <c r="J1802" s="3" t="n">
        <v>994.5599999999999</v>
      </c>
      <c r="K1802" s="3" t="n">
        <v>99.45999999999999</v>
      </c>
      <c r="L1802" s="3" t="n">
        <v>895.1</v>
      </c>
      <c r="M1802" s="3" t="n">
        <v>570.08</v>
      </c>
      <c r="N1802" s="3" t="n">
        <v>325.02</v>
      </c>
      <c r="O1802">
        <f>TEXT(A1802,"yyyy-mm")</f>
        <v/>
      </c>
    </row>
    <row r="1803">
      <c r="A1803" s="2" t="n">
        <v>45819</v>
      </c>
      <c r="B1803" t="n">
        <v>2025</v>
      </c>
      <c r="C1803" t="inlineStr">
        <is>
          <t>June</t>
        </is>
      </c>
      <c r="D1803" t="inlineStr">
        <is>
          <t>Eco Sweater</t>
        </is>
      </c>
      <c r="E1803" t="inlineStr">
        <is>
          <t>Clothing</t>
        </is>
      </c>
      <c r="F1803" t="inlineStr">
        <is>
          <t>Laura Schmidt</t>
        </is>
      </c>
      <c r="G1803" t="inlineStr">
        <is>
          <t>United States</t>
        </is>
      </c>
      <c r="H1803" t="inlineStr">
        <is>
          <t>Mobile App</t>
        </is>
      </c>
      <c r="I1803" t="n">
        <v>5</v>
      </c>
      <c r="J1803" s="3" t="n">
        <v>737.9</v>
      </c>
      <c r="K1803" s="3" t="n">
        <v>0</v>
      </c>
      <c r="L1803" s="3" t="n">
        <v>737.9</v>
      </c>
      <c r="M1803" s="3" t="n">
        <v>521.15</v>
      </c>
      <c r="N1803" s="3" t="n">
        <v>216.75</v>
      </c>
      <c r="O1803">
        <f>TEXT(A1803,"yyyy-mm")</f>
        <v/>
      </c>
    </row>
    <row r="1804">
      <c r="A1804" s="2" t="n">
        <v>45819</v>
      </c>
      <c r="B1804" t="n">
        <v>2025</v>
      </c>
      <c r="C1804" t="inlineStr">
        <is>
          <t>June</t>
        </is>
      </c>
      <c r="D1804" t="inlineStr">
        <is>
          <t>Portable Tea Set</t>
        </is>
      </c>
      <c r="E1804" t="inlineStr">
        <is>
          <t>Grocery</t>
        </is>
      </c>
      <c r="F1804" t="inlineStr">
        <is>
          <t>Laura Schmidt</t>
        </is>
      </c>
      <c r="G1804" t="inlineStr">
        <is>
          <t>United States</t>
        </is>
      </c>
      <c r="H1804" t="inlineStr">
        <is>
          <t>Mobile App</t>
        </is>
      </c>
      <c r="I1804" t="n">
        <v>1</v>
      </c>
      <c r="J1804" s="3" t="n">
        <v>278.71</v>
      </c>
      <c r="K1804" s="3" t="n">
        <v>27.87</v>
      </c>
      <c r="L1804" s="3" t="n">
        <v>250.84</v>
      </c>
      <c r="M1804" s="3" t="n">
        <v>188.12</v>
      </c>
      <c r="N1804" s="3" t="n">
        <v>62.72</v>
      </c>
      <c r="O1804">
        <f>TEXT(A1804,"yyyy-mm")</f>
        <v/>
      </c>
    </row>
    <row r="1805">
      <c r="A1805" s="2" t="n">
        <v>45819</v>
      </c>
      <c r="B1805" t="n">
        <v>2025</v>
      </c>
      <c r="C1805" t="inlineStr">
        <is>
          <t>June</t>
        </is>
      </c>
      <c r="D1805" t="inlineStr">
        <is>
          <t>Deluxe Toothbrush</t>
        </is>
      </c>
      <c r="E1805" t="inlineStr">
        <is>
          <t>Beauty &amp; Health</t>
        </is>
      </c>
      <c r="F1805" t="inlineStr">
        <is>
          <t>Laura Schmidt</t>
        </is>
      </c>
      <c r="G1805" t="inlineStr">
        <is>
          <t>United States</t>
        </is>
      </c>
      <c r="H1805" t="inlineStr">
        <is>
          <t>Mobile App</t>
        </is>
      </c>
      <c r="I1805" t="n">
        <v>4</v>
      </c>
      <c r="J1805" s="3" t="n">
        <v>1269.68</v>
      </c>
      <c r="K1805" s="3" t="n">
        <v>190.45</v>
      </c>
      <c r="L1805" s="3" t="n">
        <v>1079.23</v>
      </c>
      <c r="M1805" s="3" t="n">
        <v>698.28</v>
      </c>
      <c r="N1805" s="3" t="n">
        <v>380.95</v>
      </c>
      <c r="O1805">
        <f>TEXT(A1805,"yyyy-mm")</f>
        <v/>
      </c>
    </row>
    <row r="1806">
      <c r="A1806" s="2" t="n">
        <v>45819</v>
      </c>
      <c r="B1806" t="n">
        <v>2025</v>
      </c>
      <c r="C1806" t="inlineStr">
        <is>
          <t>June</t>
        </is>
      </c>
      <c r="D1806" t="inlineStr">
        <is>
          <t>Smart Puzzle</t>
        </is>
      </c>
      <c r="E1806" t="inlineStr">
        <is>
          <t>Toys &amp; Games</t>
        </is>
      </c>
      <c r="F1806" t="inlineStr">
        <is>
          <t>Maria Martin</t>
        </is>
      </c>
      <c r="G1806" t="inlineStr">
        <is>
          <t>Germany</t>
        </is>
      </c>
      <c r="H1806" t="inlineStr">
        <is>
          <t>Web Store</t>
        </is>
      </c>
      <c r="I1806" t="n">
        <v>1</v>
      </c>
      <c r="J1806" s="3" t="n">
        <v>255.02</v>
      </c>
      <c r="K1806" s="3" t="n">
        <v>0</v>
      </c>
      <c r="L1806" s="3" t="n">
        <v>255.02</v>
      </c>
      <c r="M1806" s="3" t="n">
        <v>192.76</v>
      </c>
      <c r="N1806" s="3" t="n">
        <v>62.26</v>
      </c>
      <c r="O1806">
        <f>TEXT(A1806,"yyyy-mm")</f>
        <v/>
      </c>
    </row>
    <row r="1807">
      <c r="A1807" s="2" t="n">
        <v>45821</v>
      </c>
      <c r="B1807" t="n">
        <v>2025</v>
      </c>
      <c r="C1807" t="inlineStr">
        <is>
          <t>June</t>
        </is>
      </c>
      <c r="D1807" t="inlineStr">
        <is>
          <t>Deluxe Smartwatch</t>
        </is>
      </c>
      <c r="E1807" t="inlineStr">
        <is>
          <t>Electronics</t>
        </is>
      </c>
      <c r="F1807" t="inlineStr">
        <is>
          <t>Emma Fischer</t>
        </is>
      </c>
      <c r="G1807" t="inlineStr">
        <is>
          <t>Spain</t>
        </is>
      </c>
      <c r="H1807" t="inlineStr">
        <is>
          <t>Mobile App</t>
        </is>
      </c>
      <c r="I1807" t="n">
        <v>5</v>
      </c>
      <c r="J1807" s="3" t="n">
        <v>789.25</v>
      </c>
      <c r="K1807" s="3" t="n">
        <v>0</v>
      </c>
      <c r="L1807" s="3" t="n">
        <v>789.25</v>
      </c>
      <c r="M1807" s="3" t="n">
        <v>613.6</v>
      </c>
      <c r="N1807" s="3" t="n">
        <v>175.65</v>
      </c>
      <c r="O1807">
        <f>TEXT(A1807,"yyyy-mm")</f>
        <v/>
      </c>
    </row>
    <row r="1808">
      <c r="A1808" s="2" t="n">
        <v>45821</v>
      </c>
      <c r="B1808" t="n">
        <v>2025</v>
      </c>
      <c r="C1808" t="inlineStr">
        <is>
          <t>June</t>
        </is>
      </c>
      <c r="D1808" t="inlineStr">
        <is>
          <t>Ultra Vitamins</t>
        </is>
      </c>
      <c r="E1808" t="inlineStr">
        <is>
          <t>Beauty &amp; Health</t>
        </is>
      </c>
      <c r="F1808" t="inlineStr">
        <is>
          <t>Michael Johnson</t>
        </is>
      </c>
      <c r="G1808" t="inlineStr">
        <is>
          <t>Germany</t>
        </is>
      </c>
      <c r="H1808" t="inlineStr">
        <is>
          <t>Web Store</t>
        </is>
      </c>
      <c r="I1808" t="n">
        <v>5</v>
      </c>
      <c r="J1808" s="3" t="n">
        <v>1039.7</v>
      </c>
      <c r="K1808" s="3" t="n">
        <v>103.97</v>
      </c>
      <c r="L1808" s="3" t="n">
        <v>935.73</v>
      </c>
      <c r="M1808" s="3" t="n">
        <v>630.5</v>
      </c>
      <c r="N1808" s="3" t="n">
        <v>305.23</v>
      </c>
      <c r="O1808">
        <f>TEXT(A1808,"yyyy-mm")</f>
        <v/>
      </c>
    </row>
    <row r="1809">
      <c r="A1809" s="2" t="n">
        <v>45821</v>
      </c>
      <c r="B1809" t="n">
        <v>2025</v>
      </c>
      <c r="C1809" t="inlineStr">
        <is>
          <t>June</t>
        </is>
      </c>
      <c r="D1809" t="inlineStr">
        <is>
          <t>Smart Camera</t>
        </is>
      </c>
      <c r="E1809" t="inlineStr">
        <is>
          <t>Electronics</t>
        </is>
      </c>
      <c r="F1809" t="inlineStr">
        <is>
          <t>Michael Johnson</t>
        </is>
      </c>
      <c r="G1809" t="inlineStr">
        <is>
          <t>Germany</t>
        </is>
      </c>
      <c r="H1809" t="inlineStr">
        <is>
          <t>Web Store</t>
        </is>
      </c>
      <c r="I1809" t="n">
        <v>1</v>
      </c>
      <c r="J1809" s="3" t="n">
        <v>314.05</v>
      </c>
      <c r="K1809" s="3" t="n">
        <v>0</v>
      </c>
      <c r="L1809" s="3" t="n">
        <v>314.05</v>
      </c>
      <c r="M1809" s="3" t="n">
        <v>167.4</v>
      </c>
      <c r="N1809" s="3" t="n">
        <v>146.65</v>
      </c>
      <c r="O1809">
        <f>TEXT(A1809,"yyyy-mm")</f>
        <v/>
      </c>
    </row>
    <row r="1810">
      <c r="A1810" s="2" t="n">
        <v>45821</v>
      </c>
      <c r="B1810" t="n">
        <v>2025</v>
      </c>
      <c r="C1810" t="inlineStr">
        <is>
          <t>June</t>
        </is>
      </c>
      <c r="D1810" t="inlineStr">
        <is>
          <t>Essential Toolset</t>
        </is>
      </c>
      <c r="E1810" t="inlineStr">
        <is>
          <t>Home &amp; Garden</t>
        </is>
      </c>
      <c r="F1810" t="inlineStr">
        <is>
          <t>Peter Muller</t>
        </is>
      </c>
      <c r="G1810" t="inlineStr">
        <is>
          <t>Poland</t>
        </is>
      </c>
      <c r="H1810" t="inlineStr">
        <is>
          <t>Mobile App</t>
        </is>
      </c>
      <c r="I1810" t="n">
        <v>5</v>
      </c>
      <c r="J1810" s="3" t="n">
        <v>1077.05</v>
      </c>
      <c r="K1810" s="3" t="n">
        <v>107.7</v>
      </c>
      <c r="L1810" s="3" t="n">
        <v>969.34</v>
      </c>
      <c r="M1810" s="3" t="n">
        <v>752.65</v>
      </c>
      <c r="N1810" s="3" t="n">
        <v>216.69</v>
      </c>
      <c r="O1810">
        <f>TEXT(A1810,"yyyy-mm")</f>
        <v/>
      </c>
    </row>
    <row r="1811">
      <c r="A1811" s="2" t="n">
        <v>45821</v>
      </c>
      <c r="B1811" t="n">
        <v>2025</v>
      </c>
      <c r="C1811" t="inlineStr">
        <is>
          <t>June</t>
        </is>
      </c>
      <c r="D1811" t="inlineStr">
        <is>
          <t>Eco Tent</t>
        </is>
      </c>
      <c r="E1811" t="inlineStr">
        <is>
          <t>Sports &amp; Outdoors</t>
        </is>
      </c>
      <c r="F1811" t="inlineStr">
        <is>
          <t>Peter Muller</t>
        </is>
      </c>
      <c r="G1811" t="inlineStr">
        <is>
          <t>Poland</t>
        </is>
      </c>
      <c r="H1811" t="inlineStr">
        <is>
          <t>Mobile App</t>
        </is>
      </c>
      <c r="I1811" t="n">
        <v>3</v>
      </c>
      <c r="J1811" s="3" t="n">
        <v>716.01</v>
      </c>
      <c r="K1811" s="3" t="n">
        <v>0</v>
      </c>
      <c r="L1811" s="3" t="n">
        <v>716.01</v>
      </c>
      <c r="M1811" s="3" t="n">
        <v>405.09</v>
      </c>
      <c r="N1811" s="3" t="n">
        <v>310.92</v>
      </c>
      <c r="O1811">
        <f>TEXT(A1811,"yyyy-mm")</f>
        <v/>
      </c>
    </row>
    <row r="1812">
      <c r="A1812" s="2" t="n">
        <v>45821</v>
      </c>
      <c r="B1812" t="n">
        <v>2025</v>
      </c>
      <c r="C1812" t="inlineStr">
        <is>
          <t>June</t>
        </is>
      </c>
      <c r="D1812" t="inlineStr">
        <is>
          <t>Premium Water Bottle</t>
        </is>
      </c>
      <c r="E1812" t="inlineStr">
        <is>
          <t>Sports &amp; Outdoors</t>
        </is>
      </c>
      <c r="F1812" t="inlineStr">
        <is>
          <t>Emma Zielinski</t>
        </is>
      </c>
      <c r="G1812" t="inlineStr">
        <is>
          <t>France</t>
        </is>
      </c>
      <c r="H1812" t="inlineStr">
        <is>
          <t>Marketplace</t>
        </is>
      </c>
      <c r="I1812" t="n">
        <v>2</v>
      </c>
      <c r="J1812" s="3" t="n">
        <v>244.88</v>
      </c>
      <c r="K1812" s="3" t="n">
        <v>0</v>
      </c>
      <c r="L1812" s="3" t="n">
        <v>244.88</v>
      </c>
      <c r="M1812" s="3" t="n">
        <v>179.24</v>
      </c>
      <c r="N1812" s="3" t="n">
        <v>65.64</v>
      </c>
      <c r="O1812">
        <f>TEXT(A1812,"yyyy-mm")</f>
        <v/>
      </c>
    </row>
    <row r="1813">
      <c r="A1813" s="2" t="n">
        <v>45821</v>
      </c>
      <c r="B1813" t="n">
        <v>2025</v>
      </c>
      <c r="C1813" t="inlineStr">
        <is>
          <t>June</t>
        </is>
      </c>
      <c r="D1813" t="inlineStr">
        <is>
          <t>Essential Jacket</t>
        </is>
      </c>
      <c r="E1813" t="inlineStr">
        <is>
          <t>Clothing</t>
        </is>
      </c>
      <c r="F1813" t="inlineStr">
        <is>
          <t>Emma Zielinski</t>
        </is>
      </c>
      <c r="G1813" t="inlineStr">
        <is>
          <t>France</t>
        </is>
      </c>
      <c r="H1813" t="inlineStr">
        <is>
          <t>Marketplace</t>
        </is>
      </c>
      <c r="I1813" t="n">
        <v>5</v>
      </c>
      <c r="J1813" s="3" t="n">
        <v>698.7</v>
      </c>
      <c r="K1813" s="3" t="n">
        <v>0</v>
      </c>
      <c r="L1813" s="3" t="n">
        <v>698.7</v>
      </c>
      <c r="M1813" s="3" t="n">
        <v>426.75</v>
      </c>
      <c r="N1813" s="3" t="n">
        <v>271.95</v>
      </c>
      <c r="O1813">
        <f>TEXT(A1813,"yyyy-mm")</f>
        <v/>
      </c>
    </row>
    <row r="1814">
      <c r="A1814" s="2" t="n">
        <v>45821</v>
      </c>
      <c r="B1814" t="n">
        <v>2025</v>
      </c>
      <c r="C1814" t="inlineStr">
        <is>
          <t>June</t>
        </is>
      </c>
      <c r="D1814" t="inlineStr">
        <is>
          <t>Premium Tent</t>
        </is>
      </c>
      <c r="E1814" t="inlineStr">
        <is>
          <t>Sports &amp; Outdoors</t>
        </is>
      </c>
      <c r="F1814" t="inlineStr">
        <is>
          <t>Emma Zielinski</t>
        </is>
      </c>
      <c r="G1814" t="inlineStr">
        <is>
          <t>France</t>
        </is>
      </c>
      <c r="H1814" t="inlineStr">
        <is>
          <t>Marketplace</t>
        </is>
      </c>
      <c r="I1814" t="n">
        <v>1</v>
      </c>
      <c r="J1814" s="3" t="n">
        <v>140.77</v>
      </c>
      <c r="K1814" s="3" t="n">
        <v>0</v>
      </c>
      <c r="L1814" s="3" t="n">
        <v>140.77</v>
      </c>
      <c r="M1814" s="3" t="n">
        <v>96.40000000000001</v>
      </c>
      <c r="N1814" s="3" t="n">
        <v>44.37</v>
      </c>
      <c r="O1814">
        <f>TEXT(A1814,"yyyy-mm")</f>
        <v/>
      </c>
    </row>
    <row r="1815">
      <c r="A1815" s="2" t="n">
        <v>45821</v>
      </c>
      <c r="B1815" t="n">
        <v>2025</v>
      </c>
      <c r="C1815" t="inlineStr">
        <is>
          <t>June</t>
        </is>
      </c>
      <c r="D1815" t="inlineStr">
        <is>
          <t>Premium Rug</t>
        </is>
      </c>
      <c r="E1815" t="inlineStr">
        <is>
          <t>Home &amp; Garden</t>
        </is>
      </c>
      <c r="F1815" t="inlineStr">
        <is>
          <t>Emma Zielinski</t>
        </is>
      </c>
      <c r="G1815" t="inlineStr">
        <is>
          <t>France</t>
        </is>
      </c>
      <c r="H1815" t="inlineStr">
        <is>
          <t>Marketplace</t>
        </is>
      </c>
      <c r="I1815" t="n">
        <v>2</v>
      </c>
      <c r="J1815" s="3" t="n">
        <v>376.7</v>
      </c>
      <c r="K1815" s="3" t="n">
        <v>37.67</v>
      </c>
      <c r="L1815" s="3" t="n">
        <v>339.03</v>
      </c>
      <c r="M1815" s="3" t="n">
        <v>222.38</v>
      </c>
      <c r="N1815" s="3" t="n">
        <v>116.65</v>
      </c>
      <c r="O1815">
        <f>TEXT(A1815,"yyyy-mm")</f>
        <v/>
      </c>
    </row>
    <row r="1816">
      <c r="A1816" s="2" t="n">
        <v>45821</v>
      </c>
      <c r="B1816" t="n">
        <v>2025</v>
      </c>
      <c r="C1816" t="inlineStr">
        <is>
          <t>June</t>
        </is>
      </c>
      <c r="D1816" t="inlineStr">
        <is>
          <t>Compact Jacket</t>
        </is>
      </c>
      <c r="E1816" t="inlineStr">
        <is>
          <t>Clothing</t>
        </is>
      </c>
      <c r="F1816" t="inlineStr">
        <is>
          <t>Clara Garcia</t>
        </is>
      </c>
      <c r="G1816" t="inlineStr">
        <is>
          <t>France</t>
        </is>
      </c>
      <c r="H1816" t="inlineStr">
        <is>
          <t>Marketplace</t>
        </is>
      </c>
      <c r="I1816" t="n">
        <v>2</v>
      </c>
      <c r="J1816" s="3" t="n">
        <v>76.72</v>
      </c>
      <c r="K1816" s="3" t="n">
        <v>15.34</v>
      </c>
      <c r="L1816" s="3" t="n">
        <v>61.38</v>
      </c>
      <c r="M1816" s="3" t="n">
        <v>40.8</v>
      </c>
      <c r="N1816" s="3" t="n">
        <v>20.58</v>
      </c>
      <c r="O1816">
        <f>TEXT(A1816,"yyyy-mm")</f>
        <v/>
      </c>
    </row>
    <row r="1817">
      <c r="A1817" s="2" t="n">
        <v>45821</v>
      </c>
      <c r="B1817" t="n">
        <v>2025</v>
      </c>
      <c r="C1817" t="inlineStr">
        <is>
          <t>June</t>
        </is>
      </c>
      <c r="D1817" t="inlineStr">
        <is>
          <t>Portable Toolset</t>
        </is>
      </c>
      <c r="E1817" t="inlineStr">
        <is>
          <t>Home &amp; Garden</t>
        </is>
      </c>
      <c r="F1817" t="inlineStr">
        <is>
          <t>Clara Nowak</t>
        </is>
      </c>
      <c r="G1817" t="inlineStr">
        <is>
          <t>United Kingdom</t>
        </is>
      </c>
      <c r="H1817" t="inlineStr">
        <is>
          <t>Marketplace</t>
        </is>
      </c>
      <c r="I1817" t="n">
        <v>5</v>
      </c>
      <c r="J1817" s="3" t="n">
        <v>457.15</v>
      </c>
      <c r="K1817" s="3" t="n">
        <v>0</v>
      </c>
      <c r="L1817" s="3" t="n">
        <v>457.15</v>
      </c>
      <c r="M1817" s="3" t="n">
        <v>252.7</v>
      </c>
      <c r="N1817" s="3" t="n">
        <v>204.45</v>
      </c>
      <c r="O1817">
        <f>TEXT(A1817,"yyyy-mm")</f>
        <v/>
      </c>
    </row>
    <row r="1818">
      <c r="A1818" s="2" t="n">
        <v>45821</v>
      </c>
      <c r="B1818" t="n">
        <v>2025</v>
      </c>
      <c r="C1818" t="inlineStr">
        <is>
          <t>June</t>
        </is>
      </c>
      <c r="D1818" t="inlineStr">
        <is>
          <t>Premium Cookbook</t>
        </is>
      </c>
      <c r="E1818" t="inlineStr">
        <is>
          <t>Books</t>
        </is>
      </c>
      <c r="F1818" t="inlineStr">
        <is>
          <t>Clara Nowak</t>
        </is>
      </c>
      <c r="G1818" t="inlineStr">
        <is>
          <t>United Kingdom</t>
        </is>
      </c>
      <c r="H1818" t="inlineStr">
        <is>
          <t>Marketplace</t>
        </is>
      </c>
      <c r="I1818" t="n">
        <v>4</v>
      </c>
      <c r="J1818" s="3" t="n">
        <v>545.36</v>
      </c>
      <c r="K1818" s="3" t="n">
        <v>0</v>
      </c>
      <c r="L1818" s="3" t="n">
        <v>545.36</v>
      </c>
      <c r="M1818" s="3" t="n">
        <v>379.92</v>
      </c>
      <c r="N1818" s="3" t="n">
        <v>165.44</v>
      </c>
      <c r="O1818">
        <f>TEXT(A1818,"yyyy-mm")</f>
        <v/>
      </c>
    </row>
    <row r="1819">
      <c r="A1819" s="2" t="n">
        <v>45821</v>
      </c>
      <c r="B1819" t="n">
        <v>2025</v>
      </c>
      <c r="C1819" t="inlineStr">
        <is>
          <t>June</t>
        </is>
      </c>
      <c r="D1819" t="inlineStr">
        <is>
          <t>Portable Toolset</t>
        </is>
      </c>
      <c r="E1819" t="inlineStr">
        <is>
          <t>Home &amp; Garden</t>
        </is>
      </c>
      <c r="F1819" t="inlineStr">
        <is>
          <t>Thomas Brown</t>
        </is>
      </c>
      <c r="G1819" t="inlineStr">
        <is>
          <t>France</t>
        </is>
      </c>
      <c r="H1819" t="inlineStr">
        <is>
          <t>Mobile App</t>
        </is>
      </c>
      <c r="I1819" t="n">
        <v>3</v>
      </c>
      <c r="J1819" s="3" t="n">
        <v>446.55</v>
      </c>
      <c r="K1819" s="3" t="n">
        <v>22.33</v>
      </c>
      <c r="L1819" s="3" t="n">
        <v>424.22</v>
      </c>
      <c r="M1819" s="3" t="n">
        <v>278.55</v>
      </c>
      <c r="N1819" s="3" t="n">
        <v>145.67</v>
      </c>
      <c r="O1819">
        <f>TEXT(A1819,"yyyy-mm")</f>
        <v/>
      </c>
    </row>
    <row r="1820">
      <c r="A1820" s="2" t="n">
        <v>45821</v>
      </c>
      <c r="B1820" t="n">
        <v>2025</v>
      </c>
      <c r="C1820" t="inlineStr">
        <is>
          <t>June</t>
        </is>
      </c>
      <c r="D1820" t="inlineStr">
        <is>
          <t>Wireless Backpack</t>
        </is>
      </c>
      <c r="E1820" t="inlineStr">
        <is>
          <t>Sports &amp; Outdoors</t>
        </is>
      </c>
      <c r="F1820" t="inlineStr">
        <is>
          <t>Maria Garcia</t>
        </is>
      </c>
      <c r="G1820" t="inlineStr">
        <is>
          <t>United Kingdom</t>
        </is>
      </c>
      <c r="H1820" t="inlineStr">
        <is>
          <t>Mobile App</t>
        </is>
      </c>
      <c r="I1820" t="n">
        <v>4</v>
      </c>
      <c r="J1820" s="3" t="n">
        <v>195.48</v>
      </c>
      <c r="K1820" s="3" t="n">
        <v>9.77</v>
      </c>
      <c r="L1820" s="3" t="n">
        <v>185.71</v>
      </c>
      <c r="M1820" s="3" t="n">
        <v>112.4</v>
      </c>
      <c r="N1820" s="3" t="n">
        <v>73.31</v>
      </c>
      <c r="O1820">
        <f>TEXT(A1820,"yyyy-mm")</f>
        <v/>
      </c>
    </row>
    <row r="1821">
      <c r="A1821" s="2" t="n">
        <v>45821</v>
      </c>
      <c r="B1821" t="n">
        <v>2025</v>
      </c>
      <c r="C1821" t="inlineStr">
        <is>
          <t>June</t>
        </is>
      </c>
      <c r="D1821" t="inlineStr">
        <is>
          <t>Portable Puzzle</t>
        </is>
      </c>
      <c r="E1821" t="inlineStr">
        <is>
          <t>Toys &amp; Games</t>
        </is>
      </c>
      <c r="F1821" t="inlineStr">
        <is>
          <t>Anna Johnson</t>
        </is>
      </c>
      <c r="G1821" t="inlineStr">
        <is>
          <t>United States</t>
        </is>
      </c>
      <c r="H1821" t="inlineStr">
        <is>
          <t>Web Store</t>
        </is>
      </c>
      <c r="I1821" t="n">
        <v>1</v>
      </c>
      <c r="J1821" s="3" t="n">
        <v>304.48</v>
      </c>
      <c r="K1821" s="3" t="n">
        <v>0</v>
      </c>
      <c r="L1821" s="3" t="n">
        <v>304.48</v>
      </c>
      <c r="M1821" s="3" t="n">
        <v>173.66</v>
      </c>
      <c r="N1821" s="3" t="n">
        <v>130.82</v>
      </c>
      <c r="O1821">
        <f>TEXT(A1821,"yyyy-mm")</f>
        <v/>
      </c>
    </row>
    <row r="1822">
      <c r="A1822" s="2" t="n">
        <v>45821</v>
      </c>
      <c r="B1822" t="n">
        <v>2025</v>
      </c>
      <c r="C1822" t="inlineStr">
        <is>
          <t>June</t>
        </is>
      </c>
      <c r="D1822" t="inlineStr">
        <is>
          <t>Eco Tent</t>
        </is>
      </c>
      <c r="E1822" t="inlineStr">
        <is>
          <t>Sports &amp; Outdoors</t>
        </is>
      </c>
      <c r="F1822" t="inlineStr">
        <is>
          <t>Emma Fischer</t>
        </is>
      </c>
      <c r="G1822" t="inlineStr">
        <is>
          <t>Spain</t>
        </is>
      </c>
      <c r="H1822" t="inlineStr">
        <is>
          <t>Mobile App</t>
        </is>
      </c>
      <c r="I1822" t="n">
        <v>2</v>
      </c>
      <c r="J1822" s="3" t="n">
        <v>136.96</v>
      </c>
      <c r="K1822" s="3" t="n">
        <v>13.7</v>
      </c>
      <c r="L1822" s="3" t="n">
        <v>123.26</v>
      </c>
      <c r="M1822" s="3" t="n">
        <v>87.7</v>
      </c>
      <c r="N1822" s="3" t="n">
        <v>35.56</v>
      </c>
      <c r="O1822">
        <f>TEXT(A1822,"yyyy-mm")</f>
        <v/>
      </c>
    </row>
    <row r="1823">
      <c r="A1823" s="2" t="n">
        <v>45821</v>
      </c>
      <c r="B1823" t="n">
        <v>2025</v>
      </c>
      <c r="C1823" t="inlineStr">
        <is>
          <t>June</t>
        </is>
      </c>
      <c r="D1823" t="inlineStr">
        <is>
          <t>Compact Pasta</t>
        </is>
      </c>
      <c r="E1823" t="inlineStr">
        <is>
          <t>Grocery</t>
        </is>
      </c>
      <c r="F1823" t="inlineStr">
        <is>
          <t>Michael Johnson</t>
        </is>
      </c>
      <c r="G1823" t="inlineStr">
        <is>
          <t>Germany</t>
        </is>
      </c>
      <c r="H1823" t="inlineStr">
        <is>
          <t>Web Store</t>
        </is>
      </c>
      <c r="I1823" t="n">
        <v>4</v>
      </c>
      <c r="J1823" s="3" t="n">
        <v>1259.44</v>
      </c>
      <c r="K1823" s="3" t="n">
        <v>188.92</v>
      </c>
      <c r="L1823" s="3" t="n">
        <v>1070.52</v>
      </c>
      <c r="M1823" s="3" t="n">
        <v>797.6</v>
      </c>
      <c r="N1823" s="3" t="n">
        <v>272.92</v>
      </c>
      <c r="O1823">
        <f>TEXT(A1823,"yyyy-mm")</f>
        <v/>
      </c>
    </row>
    <row r="1824">
      <c r="A1824" s="2" t="n">
        <v>45821</v>
      </c>
      <c r="B1824" t="n">
        <v>2025</v>
      </c>
      <c r="C1824" t="inlineStr">
        <is>
          <t>June</t>
        </is>
      </c>
      <c r="D1824" t="inlineStr">
        <is>
          <t>Portable Toolset</t>
        </is>
      </c>
      <c r="E1824" t="inlineStr">
        <is>
          <t>Home &amp; Garden</t>
        </is>
      </c>
      <c r="F1824" t="inlineStr">
        <is>
          <t>Thomas Brown</t>
        </is>
      </c>
      <c r="G1824" t="inlineStr">
        <is>
          <t>France</t>
        </is>
      </c>
      <c r="H1824" t="inlineStr">
        <is>
          <t>Mobile App</t>
        </is>
      </c>
      <c r="I1824" t="n">
        <v>5</v>
      </c>
      <c r="J1824" s="3" t="n">
        <v>459.85</v>
      </c>
      <c r="K1824" s="3" t="n">
        <v>0</v>
      </c>
      <c r="L1824" s="3" t="n">
        <v>459.85</v>
      </c>
      <c r="M1824" s="3" t="n">
        <v>252.7</v>
      </c>
      <c r="N1824" s="3" t="n">
        <v>207.15</v>
      </c>
      <c r="O1824">
        <f>TEXT(A1824,"yyyy-mm")</f>
        <v/>
      </c>
    </row>
    <row r="1825">
      <c r="A1825" s="2" t="n">
        <v>45821</v>
      </c>
      <c r="B1825" t="n">
        <v>2025</v>
      </c>
      <c r="C1825" t="inlineStr">
        <is>
          <t>June</t>
        </is>
      </c>
      <c r="D1825" t="inlineStr">
        <is>
          <t>Classic Sunscreen</t>
        </is>
      </c>
      <c r="E1825" t="inlineStr">
        <is>
          <t>Beauty &amp; Health</t>
        </is>
      </c>
      <c r="F1825" t="inlineStr">
        <is>
          <t>Clara Garcia</t>
        </is>
      </c>
      <c r="G1825" t="inlineStr">
        <is>
          <t>France</t>
        </is>
      </c>
      <c r="H1825" t="inlineStr">
        <is>
          <t>Marketplace</t>
        </is>
      </c>
      <c r="I1825" t="n">
        <v>5</v>
      </c>
      <c r="J1825" s="3" t="n">
        <v>685.75</v>
      </c>
      <c r="K1825" s="3" t="n">
        <v>0</v>
      </c>
      <c r="L1825" s="3" t="n">
        <v>685.75</v>
      </c>
      <c r="M1825" s="3" t="n">
        <v>468.45</v>
      </c>
      <c r="N1825" s="3" t="n">
        <v>217.3</v>
      </c>
      <c r="O1825">
        <f>TEXT(A1825,"yyyy-mm")</f>
        <v/>
      </c>
    </row>
    <row r="1826">
      <c r="A1826" s="2" t="n">
        <v>45821</v>
      </c>
      <c r="B1826" t="n">
        <v>2025</v>
      </c>
      <c r="C1826" t="inlineStr">
        <is>
          <t>June</t>
        </is>
      </c>
      <c r="D1826" t="inlineStr">
        <is>
          <t>Eco Sweater</t>
        </is>
      </c>
      <c r="E1826" t="inlineStr">
        <is>
          <t>Clothing</t>
        </is>
      </c>
      <c r="F1826" t="inlineStr">
        <is>
          <t>Thomas Brown</t>
        </is>
      </c>
      <c r="G1826" t="inlineStr">
        <is>
          <t>France</t>
        </is>
      </c>
      <c r="H1826" t="inlineStr">
        <is>
          <t>Mobile App</t>
        </is>
      </c>
      <c r="I1826" t="n">
        <v>1</v>
      </c>
      <c r="J1826" s="3" t="n">
        <v>153.93</v>
      </c>
      <c r="K1826" s="3" t="n">
        <v>0</v>
      </c>
      <c r="L1826" s="3" t="n">
        <v>153.93</v>
      </c>
      <c r="M1826" s="3" t="n">
        <v>104.23</v>
      </c>
      <c r="N1826" s="3" t="n">
        <v>49.7</v>
      </c>
      <c r="O1826">
        <f>TEXT(A1826,"yyyy-mm")</f>
        <v/>
      </c>
    </row>
    <row r="1827">
      <c r="A1827" s="2" t="n">
        <v>45821</v>
      </c>
      <c r="B1827" t="n">
        <v>2025</v>
      </c>
      <c r="C1827" t="inlineStr">
        <is>
          <t>June</t>
        </is>
      </c>
      <c r="D1827" t="inlineStr">
        <is>
          <t>Premium Rug</t>
        </is>
      </c>
      <c r="E1827" t="inlineStr">
        <is>
          <t>Home &amp; Garden</t>
        </is>
      </c>
      <c r="F1827" t="inlineStr">
        <is>
          <t>Peter Muller</t>
        </is>
      </c>
      <c r="G1827" t="inlineStr">
        <is>
          <t>Poland</t>
        </is>
      </c>
      <c r="H1827" t="inlineStr">
        <is>
          <t>Mobile App</t>
        </is>
      </c>
      <c r="I1827" t="n">
        <v>3</v>
      </c>
      <c r="J1827" s="3" t="n">
        <v>582.12</v>
      </c>
      <c r="K1827" s="3" t="n">
        <v>0</v>
      </c>
      <c r="L1827" s="3" t="n">
        <v>582.12</v>
      </c>
      <c r="M1827" s="3" t="n">
        <v>333.57</v>
      </c>
      <c r="N1827" s="3" t="n">
        <v>248.55</v>
      </c>
      <c r="O1827">
        <f>TEXT(A1827,"yyyy-mm")</f>
        <v/>
      </c>
    </row>
    <row r="1828">
      <c r="A1828" s="2" t="n">
        <v>45821</v>
      </c>
      <c r="B1828" t="n">
        <v>2025</v>
      </c>
      <c r="C1828" t="inlineStr">
        <is>
          <t>June</t>
        </is>
      </c>
      <c r="D1828" t="inlineStr">
        <is>
          <t>Smart Jeans</t>
        </is>
      </c>
      <c r="E1828" t="inlineStr">
        <is>
          <t>Clothing</t>
        </is>
      </c>
      <c r="F1828" t="inlineStr">
        <is>
          <t>Clara Nowak</t>
        </is>
      </c>
      <c r="G1828" t="inlineStr">
        <is>
          <t>United Kingdom</t>
        </is>
      </c>
      <c r="H1828" t="inlineStr">
        <is>
          <t>Marketplace</t>
        </is>
      </c>
      <c r="I1828" t="n">
        <v>2</v>
      </c>
      <c r="J1828" s="3" t="n">
        <v>596.3200000000001</v>
      </c>
      <c r="K1828" s="3" t="n">
        <v>119.26</v>
      </c>
      <c r="L1828" s="3" t="n">
        <v>477.06</v>
      </c>
      <c r="M1828" s="3" t="n">
        <v>387.28</v>
      </c>
      <c r="N1828" s="3" t="n">
        <v>89.78</v>
      </c>
      <c r="O1828">
        <f>TEXT(A1828,"yyyy-mm")</f>
        <v/>
      </c>
    </row>
    <row r="1829">
      <c r="A1829" s="2" t="n">
        <v>45821</v>
      </c>
      <c r="B1829" t="n">
        <v>2025</v>
      </c>
      <c r="C1829" t="inlineStr">
        <is>
          <t>June</t>
        </is>
      </c>
      <c r="D1829" t="inlineStr">
        <is>
          <t>Essential Jacket</t>
        </is>
      </c>
      <c r="E1829" t="inlineStr">
        <is>
          <t>Clothing</t>
        </is>
      </c>
      <c r="F1829" t="inlineStr">
        <is>
          <t>Thomas Brown</t>
        </is>
      </c>
      <c r="G1829" t="inlineStr">
        <is>
          <t>France</t>
        </is>
      </c>
      <c r="H1829" t="inlineStr">
        <is>
          <t>Mobile App</t>
        </is>
      </c>
      <c r="I1829" t="n">
        <v>4</v>
      </c>
      <c r="J1829" s="3" t="n">
        <v>602.64</v>
      </c>
      <c r="K1829" s="3" t="n">
        <v>0</v>
      </c>
      <c r="L1829" s="3" t="n">
        <v>602.64</v>
      </c>
      <c r="M1829" s="3" t="n">
        <v>341.4</v>
      </c>
      <c r="N1829" s="3" t="n">
        <v>261.24</v>
      </c>
      <c r="O1829">
        <f>TEXT(A1829,"yyyy-mm")</f>
        <v/>
      </c>
    </row>
    <row r="1830">
      <c r="A1830" s="2" t="n">
        <v>45822</v>
      </c>
      <c r="B1830" t="n">
        <v>2025</v>
      </c>
      <c r="C1830" t="inlineStr">
        <is>
          <t>June</t>
        </is>
      </c>
      <c r="D1830" t="inlineStr">
        <is>
          <t>Deluxe Cookbook</t>
        </is>
      </c>
      <c r="E1830" t="inlineStr">
        <is>
          <t>Books</t>
        </is>
      </c>
      <c r="F1830" t="inlineStr">
        <is>
          <t>Paul Muller</t>
        </is>
      </c>
      <c r="G1830" t="inlineStr">
        <is>
          <t>United States</t>
        </is>
      </c>
      <c r="H1830" t="inlineStr">
        <is>
          <t>Retail Store</t>
        </is>
      </c>
      <c r="I1830" t="n">
        <v>4</v>
      </c>
      <c r="J1830" s="3" t="n">
        <v>520.96</v>
      </c>
      <c r="K1830" s="3" t="n">
        <v>104.19</v>
      </c>
      <c r="L1830" s="3" t="n">
        <v>416.77</v>
      </c>
      <c r="M1830" s="3" t="n">
        <v>341.08</v>
      </c>
      <c r="N1830" s="3" t="n">
        <v>75.69</v>
      </c>
      <c r="O1830">
        <f>TEXT(A1830,"yyyy-mm")</f>
        <v/>
      </c>
    </row>
    <row r="1831">
      <c r="A1831" s="2" t="n">
        <v>45822</v>
      </c>
      <c r="B1831" t="n">
        <v>2025</v>
      </c>
      <c r="C1831" t="inlineStr">
        <is>
          <t>June</t>
        </is>
      </c>
      <c r="D1831" t="inlineStr">
        <is>
          <t>Deluxe Notebook</t>
        </is>
      </c>
      <c r="E1831" t="inlineStr">
        <is>
          <t>Books</t>
        </is>
      </c>
      <c r="F1831" t="inlineStr">
        <is>
          <t>Paul Muller</t>
        </is>
      </c>
      <c r="G1831" t="inlineStr">
        <is>
          <t>United States</t>
        </is>
      </c>
      <c r="H1831" t="inlineStr">
        <is>
          <t>Retail Store</t>
        </is>
      </c>
      <c r="I1831" t="n">
        <v>3</v>
      </c>
      <c r="J1831" s="3" t="n">
        <v>654.0599999999999</v>
      </c>
      <c r="K1831" s="3" t="n">
        <v>32.7</v>
      </c>
      <c r="L1831" s="3" t="n">
        <v>621.36</v>
      </c>
      <c r="M1831" s="3" t="n">
        <v>452.28</v>
      </c>
      <c r="N1831" s="3" t="n">
        <v>169.08</v>
      </c>
      <c r="O1831">
        <f>TEXT(A1831,"yyyy-mm")</f>
        <v/>
      </c>
    </row>
    <row r="1832">
      <c r="A1832" s="2" t="n">
        <v>45822</v>
      </c>
      <c r="B1832" t="n">
        <v>2025</v>
      </c>
      <c r="C1832" t="inlineStr">
        <is>
          <t>June</t>
        </is>
      </c>
      <c r="D1832" t="inlineStr">
        <is>
          <t>Deluxe Smartwatch</t>
        </is>
      </c>
      <c r="E1832" t="inlineStr">
        <is>
          <t>Electronics</t>
        </is>
      </c>
      <c r="F1832" t="inlineStr">
        <is>
          <t>Thomas Muller</t>
        </is>
      </c>
      <c r="G1832" t="inlineStr">
        <is>
          <t>Italy</t>
        </is>
      </c>
      <c r="H1832" t="inlineStr">
        <is>
          <t>Web Store</t>
        </is>
      </c>
      <c r="I1832" t="n">
        <v>3</v>
      </c>
      <c r="J1832" s="3" t="n">
        <v>477.36</v>
      </c>
      <c r="K1832" s="3" t="n">
        <v>71.59999999999999</v>
      </c>
      <c r="L1832" s="3" t="n">
        <v>405.76</v>
      </c>
      <c r="M1832" s="3" t="n">
        <v>368.16</v>
      </c>
      <c r="N1832" s="3" t="n">
        <v>37.6</v>
      </c>
      <c r="O1832">
        <f>TEXT(A1832,"yyyy-mm")</f>
        <v/>
      </c>
    </row>
    <row r="1833">
      <c r="A1833" s="2" t="n">
        <v>45822</v>
      </c>
      <c r="B1833" t="n">
        <v>2025</v>
      </c>
      <c r="C1833" t="inlineStr">
        <is>
          <t>June</t>
        </is>
      </c>
      <c r="D1833" t="inlineStr">
        <is>
          <t>Ultra Backpack</t>
        </is>
      </c>
      <c r="E1833" t="inlineStr">
        <is>
          <t>Sports &amp; Outdoors</t>
        </is>
      </c>
      <c r="F1833" t="inlineStr">
        <is>
          <t>Thomas Muller</t>
        </is>
      </c>
      <c r="G1833" t="inlineStr">
        <is>
          <t>Italy</t>
        </is>
      </c>
      <c r="H1833" t="inlineStr">
        <is>
          <t>Web Store</t>
        </is>
      </c>
      <c r="I1833" t="n">
        <v>5</v>
      </c>
      <c r="J1833" s="3" t="n">
        <v>1537.85</v>
      </c>
      <c r="K1833" s="3" t="n">
        <v>0</v>
      </c>
      <c r="L1833" s="3" t="n">
        <v>1537.85</v>
      </c>
      <c r="M1833" s="3" t="n">
        <v>868.45</v>
      </c>
      <c r="N1833" s="3" t="n">
        <v>669.4</v>
      </c>
      <c r="O1833">
        <f>TEXT(A1833,"yyyy-mm")</f>
        <v/>
      </c>
    </row>
    <row r="1834">
      <c r="A1834" s="2" t="n">
        <v>45822</v>
      </c>
      <c r="B1834" t="n">
        <v>2025</v>
      </c>
      <c r="C1834" t="inlineStr">
        <is>
          <t>June</t>
        </is>
      </c>
      <c r="D1834" t="inlineStr">
        <is>
          <t>Smart Puzzle</t>
        </is>
      </c>
      <c r="E1834" t="inlineStr">
        <is>
          <t>Toys &amp; Games</t>
        </is>
      </c>
      <c r="F1834" t="inlineStr">
        <is>
          <t>Olivia Fischer</t>
        </is>
      </c>
      <c r="G1834" t="inlineStr">
        <is>
          <t>France</t>
        </is>
      </c>
      <c r="H1834" t="inlineStr">
        <is>
          <t>Mobile App</t>
        </is>
      </c>
      <c r="I1834" t="n">
        <v>1</v>
      </c>
      <c r="J1834" s="3" t="n">
        <v>269.97</v>
      </c>
      <c r="K1834" s="3" t="n">
        <v>13.5</v>
      </c>
      <c r="L1834" s="3" t="n">
        <v>256.47</v>
      </c>
      <c r="M1834" s="3" t="n">
        <v>192.76</v>
      </c>
      <c r="N1834" s="3" t="n">
        <v>63.71</v>
      </c>
      <c r="O1834">
        <f>TEXT(A1834,"yyyy-mm")</f>
        <v/>
      </c>
    </row>
    <row r="1835">
      <c r="A1835" s="2" t="n">
        <v>45822</v>
      </c>
      <c r="B1835" t="n">
        <v>2025</v>
      </c>
      <c r="C1835" t="inlineStr">
        <is>
          <t>June</t>
        </is>
      </c>
      <c r="D1835" t="inlineStr">
        <is>
          <t>Eco Drone</t>
        </is>
      </c>
      <c r="E1835" t="inlineStr">
        <is>
          <t>Toys &amp; Games</t>
        </is>
      </c>
      <c r="F1835" t="inlineStr">
        <is>
          <t>Anna Nowak</t>
        </is>
      </c>
      <c r="G1835" t="inlineStr">
        <is>
          <t>Poland</t>
        </is>
      </c>
      <c r="H1835" t="inlineStr">
        <is>
          <t>Retail Store</t>
        </is>
      </c>
      <c r="I1835" t="n">
        <v>3</v>
      </c>
      <c r="J1835" s="3" t="n">
        <v>597.72</v>
      </c>
      <c r="K1835" s="3" t="n">
        <v>59.77</v>
      </c>
      <c r="L1835" s="3" t="n">
        <v>537.95</v>
      </c>
      <c r="M1835" s="3" t="n">
        <v>388.77</v>
      </c>
      <c r="N1835" s="3" t="n">
        <v>149.18</v>
      </c>
      <c r="O1835">
        <f>TEXT(A1835,"yyyy-mm")</f>
        <v/>
      </c>
    </row>
    <row r="1836">
      <c r="A1836" s="2" t="n">
        <v>45822</v>
      </c>
      <c r="B1836" t="n">
        <v>2025</v>
      </c>
      <c r="C1836" t="inlineStr">
        <is>
          <t>June</t>
        </is>
      </c>
      <c r="D1836" t="inlineStr">
        <is>
          <t>Portable Toolset</t>
        </is>
      </c>
      <c r="E1836" t="inlineStr">
        <is>
          <t>Home &amp; Garden</t>
        </is>
      </c>
      <c r="F1836" t="inlineStr">
        <is>
          <t>Paul Muller</t>
        </is>
      </c>
      <c r="G1836" t="inlineStr">
        <is>
          <t>United States</t>
        </is>
      </c>
      <c r="H1836" t="inlineStr">
        <is>
          <t>Retail Store</t>
        </is>
      </c>
      <c r="I1836" t="n">
        <v>2</v>
      </c>
      <c r="J1836" s="3" t="n">
        <v>294.82</v>
      </c>
      <c r="K1836" s="3" t="n">
        <v>0</v>
      </c>
      <c r="L1836" s="3" t="n">
        <v>294.82</v>
      </c>
      <c r="M1836" s="3" t="n">
        <v>185.7</v>
      </c>
      <c r="N1836" s="3" t="n">
        <v>109.12</v>
      </c>
      <c r="O1836">
        <f>TEXT(A1836,"yyyy-mm")</f>
        <v/>
      </c>
    </row>
    <row r="1837">
      <c r="A1837" s="2" t="n">
        <v>45822</v>
      </c>
      <c r="B1837" t="n">
        <v>2025</v>
      </c>
      <c r="C1837" t="inlineStr">
        <is>
          <t>June</t>
        </is>
      </c>
      <c r="D1837" t="inlineStr">
        <is>
          <t>Portable Pasta</t>
        </is>
      </c>
      <c r="E1837" t="inlineStr">
        <is>
          <t>Grocery</t>
        </is>
      </c>
      <c r="F1837" t="inlineStr">
        <is>
          <t>Paul Muller</t>
        </is>
      </c>
      <c r="G1837" t="inlineStr">
        <is>
          <t>United States</t>
        </is>
      </c>
      <c r="H1837" t="inlineStr">
        <is>
          <t>Retail Store</t>
        </is>
      </c>
      <c r="I1837" t="n">
        <v>5</v>
      </c>
      <c r="J1837" s="3" t="n">
        <v>175.5</v>
      </c>
      <c r="K1837" s="3" t="n">
        <v>17.55</v>
      </c>
      <c r="L1837" s="3" t="n">
        <v>157.95</v>
      </c>
      <c r="M1837" s="3" t="n">
        <v>138.75</v>
      </c>
      <c r="N1837" s="3" t="n">
        <v>19.2</v>
      </c>
      <c r="O1837">
        <f>TEXT(A1837,"yyyy-mm")</f>
        <v/>
      </c>
    </row>
    <row r="1838">
      <c r="A1838" s="2" t="n">
        <v>45822</v>
      </c>
      <c r="B1838" t="n">
        <v>2025</v>
      </c>
      <c r="C1838" t="inlineStr">
        <is>
          <t>June</t>
        </is>
      </c>
      <c r="D1838" t="inlineStr">
        <is>
          <t>Smart Olive Oil</t>
        </is>
      </c>
      <c r="E1838" t="inlineStr">
        <is>
          <t>Grocery</t>
        </is>
      </c>
      <c r="F1838" t="inlineStr">
        <is>
          <t>Olivia Fischer</t>
        </is>
      </c>
      <c r="G1838" t="inlineStr">
        <is>
          <t>France</t>
        </is>
      </c>
      <c r="H1838" t="inlineStr">
        <is>
          <t>Mobile App</t>
        </is>
      </c>
      <c r="I1838" t="n">
        <v>2</v>
      </c>
      <c r="J1838" s="3" t="n">
        <v>338.16</v>
      </c>
      <c r="K1838" s="3" t="n">
        <v>0</v>
      </c>
      <c r="L1838" s="3" t="n">
        <v>338.16</v>
      </c>
      <c r="M1838" s="3" t="n">
        <v>220.04</v>
      </c>
      <c r="N1838" s="3" t="n">
        <v>118.12</v>
      </c>
      <c r="O1838">
        <f>TEXT(A1838,"yyyy-mm")</f>
        <v/>
      </c>
    </row>
    <row r="1839">
      <c r="A1839" s="2" t="n">
        <v>45822</v>
      </c>
      <c r="B1839" t="n">
        <v>2025</v>
      </c>
      <c r="C1839" t="inlineStr">
        <is>
          <t>June</t>
        </is>
      </c>
      <c r="D1839" t="inlineStr">
        <is>
          <t>Smart Coffee Beans</t>
        </is>
      </c>
      <c r="E1839" t="inlineStr">
        <is>
          <t>Grocery</t>
        </is>
      </c>
      <c r="F1839" t="inlineStr">
        <is>
          <t>Olivia Fischer</t>
        </is>
      </c>
      <c r="G1839" t="inlineStr">
        <is>
          <t>France</t>
        </is>
      </c>
      <c r="H1839" t="inlineStr">
        <is>
          <t>Mobile App</t>
        </is>
      </c>
      <c r="I1839" t="n">
        <v>3</v>
      </c>
      <c r="J1839" s="3" t="n">
        <v>332.73</v>
      </c>
      <c r="K1839" s="3" t="n">
        <v>66.55</v>
      </c>
      <c r="L1839" s="3" t="n">
        <v>266.18</v>
      </c>
      <c r="M1839" s="3" t="n">
        <v>218.55</v>
      </c>
      <c r="N1839" s="3" t="n">
        <v>47.63</v>
      </c>
      <c r="O1839">
        <f>TEXT(A1839,"yyyy-mm")</f>
        <v/>
      </c>
    </row>
    <row r="1840">
      <c r="A1840" s="2" t="n">
        <v>45823</v>
      </c>
      <c r="B1840" t="n">
        <v>2025</v>
      </c>
      <c r="C1840" t="inlineStr">
        <is>
          <t>June</t>
        </is>
      </c>
      <c r="D1840" t="inlineStr">
        <is>
          <t>Essential Planter</t>
        </is>
      </c>
      <c r="E1840" t="inlineStr">
        <is>
          <t>Home &amp; Garden</t>
        </is>
      </c>
      <c r="F1840" t="inlineStr">
        <is>
          <t>Sophie Schmidt</t>
        </is>
      </c>
      <c r="G1840" t="inlineStr">
        <is>
          <t>Germany</t>
        </is>
      </c>
      <c r="H1840" t="inlineStr">
        <is>
          <t>Retail Store</t>
        </is>
      </c>
      <c r="I1840" t="n">
        <v>5</v>
      </c>
      <c r="J1840" s="3" t="n">
        <v>126.15</v>
      </c>
      <c r="K1840" s="3" t="n">
        <v>0</v>
      </c>
      <c r="L1840" s="3" t="n">
        <v>126.15</v>
      </c>
      <c r="M1840" s="3" t="n">
        <v>98.2</v>
      </c>
      <c r="N1840" s="3" t="n">
        <v>27.95</v>
      </c>
      <c r="O1840">
        <f>TEXT(A1840,"yyyy-mm")</f>
        <v/>
      </c>
    </row>
    <row r="1841">
      <c r="A1841" s="2" t="n">
        <v>45823</v>
      </c>
      <c r="B1841" t="n">
        <v>2025</v>
      </c>
      <c r="C1841" t="inlineStr">
        <is>
          <t>June</t>
        </is>
      </c>
      <c r="D1841" t="inlineStr">
        <is>
          <t>Premium Tent</t>
        </is>
      </c>
      <c r="E1841" t="inlineStr">
        <is>
          <t>Sports &amp; Outdoors</t>
        </is>
      </c>
      <c r="F1841" t="inlineStr">
        <is>
          <t>Sophie Schmidt</t>
        </is>
      </c>
      <c r="G1841" t="inlineStr">
        <is>
          <t>Germany</t>
        </is>
      </c>
      <c r="H1841" t="inlineStr">
        <is>
          <t>Retail Store</t>
        </is>
      </c>
      <c r="I1841" t="n">
        <v>1</v>
      </c>
      <c r="J1841" s="3" t="n">
        <v>142.51</v>
      </c>
      <c r="K1841" s="3" t="n">
        <v>21.38</v>
      </c>
      <c r="L1841" s="3" t="n">
        <v>121.13</v>
      </c>
      <c r="M1841" s="3" t="n">
        <v>96.40000000000001</v>
      </c>
      <c r="N1841" s="3" t="n">
        <v>24.73</v>
      </c>
      <c r="O1841">
        <f>TEXT(A1841,"yyyy-mm")</f>
        <v/>
      </c>
    </row>
    <row r="1842">
      <c r="A1842" s="2" t="n">
        <v>45823</v>
      </c>
      <c r="B1842" t="n">
        <v>2025</v>
      </c>
      <c r="C1842" t="inlineStr">
        <is>
          <t>June</t>
        </is>
      </c>
      <c r="D1842" t="inlineStr">
        <is>
          <t>Premium Water Bottle</t>
        </is>
      </c>
      <c r="E1842" t="inlineStr">
        <is>
          <t>Sports &amp; Outdoors</t>
        </is>
      </c>
      <c r="F1842" t="inlineStr">
        <is>
          <t>Sophie Schmidt</t>
        </is>
      </c>
      <c r="G1842" t="inlineStr">
        <is>
          <t>Germany</t>
        </is>
      </c>
      <c r="H1842" t="inlineStr">
        <is>
          <t>Retail Store</t>
        </is>
      </c>
      <c r="I1842" t="n">
        <v>1</v>
      </c>
      <c r="J1842" s="3" t="n">
        <v>119.66</v>
      </c>
      <c r="K1842" s="3" t="n">
        <v>23.93</v>
      </c>
      <c r="L1842" s="3" t="n">
        <v>95.73</v>
      </c>
      <c r="M1842" s="3" t="n">
        <v>89.62</v>
      </c>
      <c r="N1842" s="3" t="n">
        <v>6.11</v>
      </c>
      <c r="O1842">
        <f>TEXT(A1842,"yyyy-mm")</f>
        <v/>
      </c>
    </row>
    <row r="1843">
      <c r="A1843" s="2" t="n">
        <v>45823</v>
      </c>
      <c r="B1843" t="n">
        <v>2025</v>
      </c>
      <c r="C1843" t="inlineStr">
        <is>
          <t>June</t>
        </is>
      </c>
      <c r="D1843" t="inlineStr">
        <is>
          <t>Portable Toolset</t>
        </is>
      </c>
      <c r="E1843" t="inlineStr">
        <is>
          <t>Home &amp; Garden</t>
        </is>
      </c>
      <c r="F1843" t="inlineStr">
        <is>
          <t>Sophie Schmidt</t>
        </is>
      </c>
      <c r="G1843" t="inlineStr">
        <is>
          <t>Germany</t>
        </is>
      </c>
      <c r="H1843" t="inlineStr">
        <is>
          <t>Retail Store</t>
        </is>
      </c>
      <c r="I1843" t="n">
        <v>4</v>
      </c>
      <c r="J1843" s="3" t="n">
        <v>368.44</v>
      </c>
      <c r="K1843" s="3" t="n">
        <v>73.69</v>
      </c>
      <c r="L1843" s="3" t="n">
        <v>294.75</v>
      </c>
      <c r="M1843" s="3" t="n">
        <v>202.16</v>
      </c>
      <c r="N1843" s="3" t="n">
        <v>92.59</v>
      </c>
      <c r="O1843">
        <f>TEXT(A1843,"yyyy-mm")</f>
        <v/>
      </c>
    </row>
    <row r="1844">
      <c r="A1844" s="2" t="n">
        <v>45823</v>
      </c>
      <c r="B1844" t="n">
        <v>2025</v>
      </c>
      <c r="C1844" t="inlineStr">
        <is>
          <t>June</t>
        </is>
      </c>
      <c r="D1844" t="inlineStr">
        <is>
          <t>Deluxe Puzzle</t>
        </is>
      </c>
      <c r="E1844" t="inlineStr">
        <is>
          <t>Toys &amp; Games</t>
        </is>
      </c>
      <c r="F1844" t="inlineStr">
        <is>
          <t>Robert Smith</t>
        </is>
      </c>
      <c r="G1844" t="inlineStr">
        <is>
          <t>Spain</t>
        </is>
      </c>
      <c r="H1844" t="inlineStr">
        <is>
          <t>Retail Store</t>
        </is>
      </c>
      <c r="I1844" t="n">
        <v>5</v>
      </c>
      <c r="J1844" s="3" t="n">
        <v>1060.85</v>
      </c>
      <c r="K1844" s="3" t="n">
        <v>0</v>
      </c>
      <c r="L1844" s="3" t="n">
        <v>1060.85</v>
      </c>
      <c r="M1844" s="3" t="n">
        <v>555.85</v>
      </c>
      <c r="N1844" s="3" t="n">
        <v>505</v>
      </c>
      <c r="O1844">
        <f>TEXT(A1844,"yyyy-mm")</f>
        <v/>
      </c>
    </row>
    <row r="1845">
      <c r="A1845" s="2" t="n">
        <v>45823</v>
      </c>
      <c r="B1845" t="n">
        <v>2025</v>
      </c>
      <c r="C1845" t="inlineStr">
        <is>
          <t>June</t>
        </is>
      </c>
      <c r="D1845" t="inlineStr">
        <is>
          <t>Premium Rug</t>
        </is>
      </c>
      <c r="E1845" t="inlineStr">
        <is>
          <t>Home &amp; Garden</t>
        </is>
      </c>
      <c r="F1845" t="inlineStr">
        <is>
          <t>Robert Smith</t>
        </is>
      </c>
      <c r="G1845" t="inlineStr">
        <is>
          <t>Spain</t>
        </is>
      </c>
      <c r="H1845" t="inlineStr">
        <is>
          <t>Retail Store</t>
        </is>
      </c>
      <c r="I1845" t="n">
        <v>3</v>
      </c>
      <c r="J1845" s="3" t="n">
        <v>583.35</v>
      </c>
      <c r="K1845" s="3" t="n">
        <v>58.33</v>
      </c>
      <c r="L1845" s="3" t="n">
        <v>525.01</v>
      </c>
      <c r="M1845" s="3" t="n">
        <v>333.57</v>
      </c>
      <c r="N1845" s="3" t="n">
        <v>191.44</v>
      </c>
      <c r="O1845">
        <f>TEXT(A1845,"yyyy-mm")</f>
        <v/>
      </c>
    </row>
    <row r="1846">
      <c r="A1846" s="2" t="n">
        <v>45823</v>
      </c>
      <c r="B1846" t="n">
        <v>2025</v>
      </c>
      <c r="C1846" t="inlineStr">
        <is>
          <t>June</t>
        </is>
      </c>
      <c r="D1846" t="inlineStr">
        <is>
          <t>Deluxe Toolset</t>
        </is>
      </c>
      <c r="E1846" t="inlineStr">
        <is>
          <t>Home &amp; Garden</t>
        </is>
      </c>
      <c r="F1846" t="inlineStr">
        <is>
          <t>Robert Smith</t>
        </is>
      </c>
      <c r="G1846" t="inlineStr">
        <is>
          <t>Spain</t>
        </is>
      </c>
      <c r="H1846" t="inlineStr">
        <is>
          <t>Retail Store</t>
        </is>
      </c>
      <c r="I1846" t="n">
        <v>1</v>
      </c>
      <c r="J1846" s="3" t="n">
        <v>69.22</v>
      </c>
      <c r="K1846" s="3" t="n">
        <v>10.38</v>
      </c>
      <c r="L1846" s="3" t="n">
        <v>58.84</v>
      </c>
      <c r="M1846" s="3" t="n">
        <v>47.71</v>
      </c>
      <c r="N1846" s="3" t="n">
        <v>11.13</v>
      </c>
      <c r="O1846">
        <f>TEXT(A1846,"yyyy-mm")</f>
        <v/>
      </c>
    </row>
    <row r="1847">
      <c r="A1847" s="2" t="n">
        <v>45823</v>
      </c>
      <c r="B1847" t="n">
        <v>2025</v>
      </c>
      <c r="C1847" t="inlineStr">
        <is>
          <t>June</t>
        </is>
      </c>
      <c r="D1847" t="inlineStr">
        <is>
          <t>Portable Toolset</t>
        </is>
      </c>
      <c r="E1847" t="inlineStr">
        <is>
          <t>Home &amp; Garden</t>
        </is>
      </c>
      <c r="F1847" t="inlineStr">
        <is>
          <t>Robert Smith</t>
        </is>
      </c>
      <c r="G1847" t="inlineStr">
        <is>
          <t>Spain</t>
        </is>
      </c>
      <c r="H1847" t="inlineStr">
        <is>
          <t>Retail Store</t>
        </is>
      </c>
      <c r="I1847" t="n">
        <v>5</v>
      </c>
      <c r="J1847" s="3" t="n">
        <v>424.55</v>
      </c>
      <c r="K1847" s="3" t="n">
        <v>0</v>
      </c>
      <c r="L1847" s="3" t="n">
        <v>424.55</v>
      </c>
      <c r="M1847" s="3" t="n">
        <v>252.7</v>
      </c>
      <c r="N1847" s="3" t="n">
        <v>171.85</v>
      </c>
      <c r="O1847">
        <f>TEXT(A1847,"yyyy-mm")</f>
        <v/>
      </c>
    </row>
    <row r="1848">
      <c r="A1848" s="2" t="n">
        <v>45824</v>
      </c>
      <c r="B1848" t="n">
        <v>2025</v>
      </c>
      <c r="C1848" t="inlineStr">
        <is>
          <t>June</t>
        </is>
      </c>
      <c r="D1848" t="inlineStr">
        <is>
          <t>Premium Tent</t>
        </is>
      </c>
      <c r="E1848" t="inlineStr">
        <is>
          <t>Sports &amp; Outdoors</t>
        </is>
      </c>
      <c r="F1848" t="inlineStr">
        <is>
          <t>Olivia Muller</t>
        </is>
      </c>
      <c r="G1848" t="inlineStr">
        <is>
          <t>United Kingdom</t>
        </is>
      </c>
      <c r="H1848" t="inlineStr">
        <is>
          <t>Marketplace</t>
        </is>
      </c>
      <c r="I1848" t="n">
        <v>4</v>
      </c>
      <c r="J1848" s="3" t="n">
        <v>587.3200000000001</v>
      </c>
      <c r="K1848" s="3" t="n">
        <v>0</v>
      </c>
      <c r="L1848" s="3" t="n">
        <v>587.3200000000001</v>
      </c>
      <c r="M1848" s="3" t="n">
        <v>385.6</v>
      </c>
      <c r="N1848" s="3" t="n">
        <v>201.72</v>
      </c>
      <c r="O1848">
        <f>TEXT(A1848,"yyyy-mm")</f>
        <v/>
      </c>
    </row>
    <row r="1849">
      <c r="A1849" s="2" t="n">
        <v>45824</v>
      </c>
      <c r="B1849" t="n">
        <v>2025</v>
      </c>
      <c r="C1849" t="inlineStr">
        <is>
          <t>June</t>
        </is>
      </c>
      <c r="D1849" t="inlineStr">
        <is>
          <t>Wireless Honey</t>
        </is>
      </c>
      <c r="E1849" t="inlineStr">
        <is>
          <t>Grocery</t>
        </is>
      </c>
      <c r="F1849" t="inlineStr">
        <is>
          <t>Olivia Muller</t>
        </is>
      </c>
      <c r="G1849" t="inlineStr">
        <is>
          <t>United Kingdom</t>
        </is>
      </c>
      <c r="H1849" t="inlineStr">
        <is>
          <t>Marketplace</t>
        </is>
      </c>
      <c r="I1849" t="n">
        <v>3</v>
      </c>
      <c r="J1849" s="3" t="n">
        <v>400.29</v>
      </c>
      <c r="K1849" s="3" t="n">
        <v>40.03</v>
      </c>
      <c r="L1849" s="3" t="n">
        <v>360.26</v>
      </c>
      <c r="M1849" s="3" t="n">
        <v>282.21</v>
      </c>
      <c r="N1849" s="3" t="n">
        <v>78.05</v>
      </c>
      <c r="O1849">
        <f>TEXT(A1849,"yyyy-mm")</f>
        <v/>
      </c>
    </row>
    <row r="1850">
      <c r="A1850" s="2" t="n">
        <v>45824</v>
      </c>
      <c r="B1850" t="n">
        <v>2025</v>
      </c>
      <c r="C1850" t="inlineStr">
        <is>
          <t>June</t>
        </is>
      </c>
      <c r="D1850" t="inlineStr">
        <is>
          <t>Compact Pasta</t>
        </is>
      </c>
      <c r="E1850" t="inlineStr">
        <is>
          <t>Grocery</t>
        </is>
      </c>
      <c r="F1850" t="inlineStr">
        <is>
          <t>Olivia Muller</t>
        </is>
      </c>
      <c r="G1850" t="inlineStr">
        <is>
          <t>United Kingdom</t>
        </is>
      </c>
      <c r="H1850" t="inlineStr">
        <is>
          <t>Marketplace</t>
        </is>
      </c>
      <c r="I1850" t="n">
        <v>1</v>
      </c>
      <c r="J1850" s="3" t="n">
        <v>301.65</v>
      </c>
      <c r="K1850" s="3" t="n">
        <v>0</v>
      </c>
      <c r="L1850" s="3" t="n">
        <v>301.65</v>
      </c>
      <c r="M1850" s="3" t="n">
        <v>199.4</v>
      </c>
      <c r="N1850" s="3" t="n">
        <v>102.25</v>
      </c>
      <c r="O1850">
        <f>TEXT(A1850,"yyyy-mm")</f>
        <v/>
      </c>
    </row>
    <row r="1851">
      <c r="A1851" s="2" t="n">
        <v>45824</v>
      </c>
      <c r="B1851" t="n">
        <v>2025</v>
      </c>
      <c r="C1851" t="inlineStr">
        <is>
          <t>June</t>
        </is>
      </c>
      <c r="D1851" t="inlineStr">
        <is>
          <t>Smart Puzzle</t>
        </is>
      </c>
      <c r="E1851" t="inlineStr">
        <is>
          <t>Toys &amp; Games</t>
        </is>
      </c>
      <c r="F1851" t="inlineStr">
        <is>
          <t>Olivia Muller</t>
        </is>
      </c>
      <c r="G1851" t="inlineStr">
        <is>
          <t>United Kingdom</t>
        </is>
      </c>
      <c r="H1851" t="inlineStr">
        <is>
          <t>Marketplace</t>
        </is>
      </c>
      <c r="I1851" t="n">
        <v>4</v>
      </c>
      <c r="J1851" s="3" t="n">
        <v>184.84</v>
      </c>
      <c r="K1851" s="3" t="n">
        <v>36.97</v>
      </c>
      <c r="L1851" s="3" t="n">
        <v>147.87</v>
      </c>
      <c r="M1851" s="3" t="n">
        <v>97.76000000000001</v>
      </c>
      <c r="N1851" s="3" t="n">
        <v>50.11</v>
      </c>
      <c r="O1851">
        <f>TEXT(A1851,"yyyy-mm")</f>
        <v/>
      </c>
    </row>
    <row r="1852">
      <c r="A1852" s="2" t="n">
        <v>45824</v>
      </c>
      <c r="B1852" t="n">
        <v>2025</v>
      </c>
      <c r="C1852" t="inlineStr">
        <is>
          <t>June</t>
        </is>
      </c>
      <c r="D1852" t="inlineStr">
        <is>
          <t>Smart Honey</t>
        </is>
      </c>
      <c r="E1852" t="inlineStr">
        <is>
          <t>Grocery</t>
        </is>
      </c>
      <c r="F1852" t="inlineStr">
        <is>
          <t>Julia Schmidt</t>
        </is>
      </c>
      <c r="G1852" t="inlineStr">
        <is>
          <t>France</t>
        </is>
      </c>
      <c r="H1852" t="inlineStr">
        <is>
          <t>Marketplace</t>
        </is>
      </c>
      <c r="I1852" t="n">
        <v>5</v>
      </c>
      <c r="J1852" s="3" t="n">
        <v>687.75</v>
      </c>
      <c r="K1852" s="3" t="n">
        <v>0</v>
      </c>
      <c r="L1852" s="3" t="n">
        <v>687.75</v>
      </c>
      <c r="M1852" s="3" t="n">
        <v>357.2</v>
      </c>
      <c r="N1852" s="3" t="n">
        <v>330.55</v>
      </c>
      <c r="O1852">
        <f>TEXT(A1852,"yyyy-mm")</f>
        <v/>
      </c>
    </row>
    <row r="1853">
      <c r="A1853" s="2" t="n">
        <v>45824</v>
      </c>
      <c r="B1853" t="n">
        <v>2025</v>
      </c>
      <c r="C1853" t="inlineStr">
        <is>
          <t>June</t>
        </is>
      </c>
      <c r="D1853" t="inlineStr">
        <is>
          <t>Smart Face Cream</t>
        </is>
      </c>
      <c r="E1853" t="inlineStr">
        <is>
          <t>Beauty &amp; Health</t>
        </is>
      </c>
      <c r="F1853" t="inlineStr">
        <is>
          <t>Julia Schmidt</t>
        </is>
      </c>
      <c r="G1853" t="inlineStr">
        <is>
          <t>France</t>
        </is>
      </c>
      <c r="H1853" t="inlineStr">
        <is>
          <t>Marketplace</t>
        </is>
      </c>
      <c r="I1853" t="n">
        <v>4</v>
      </c>
      <c r="J1853" s="3" t="n">
        <v>1054.84</v>
      </c>
      <c r="K1853" s="3" t="n">
        <v>0</v>
      </c>
      <c r="L1853" s="3" t="n">
        <v>1054.84</v>
      </c>
      <c r="M1853" s="3" t="n">
        <v>772.5599999999999</v>
      </c>
      <c r="N1853" s="3" t="n">
        <v>282.28</v>
      </c>
      <c r="O1853">
        <f>TEXT(A1853,"yyyy-mm")</f>
        <v/>
      </c>
    </row>
    <row r="1854">
      <c r="A1854" s="2" t="n">
        <v>45825</v>
      </c>
      <c r="B1854" t="n">
        <v>2025</v>
      </c>
      <c r="C1854" t="inlineStr">
        <is>
          <t>June</t>
        </is>
      </c>
      <c r="D1854" t="inlineStr">
        <is>
          <t>Classic Bike Helmet</t>
        </is>
      </c>
      <c r="E1854" t="inlineStr">
        <is>
          <t>Sports &amp; Outdoors</t>
        </is>
      </c>
      <c r="F1854" t="inlineStr">
        <is>
          <t>Olivia Fischer</t>
        </is>
      </c>
      <c r="G1854" t="inlineStr">
        <is>
          <t>France</t>
        </is>
      </c>
      <c r="H1854" t="inlineStr">
        <is>
          <t>Mobile App</t>
        </is>
      </c>
      <c r="I1854" t="n">
        <v>2</v>
      </c>
      <c r="J1854" s="3" t="n">
        <v>414.52</v>
      </c>
      <c r="K1854" s="3" t="n">
        <v>0</v>
      </c>
      <c r="L1854" s="3" t="n">
        <v>414.52</v>
      </c>
      <c r="M1854" s="3" t="n">
        <v>307.62</v>
      </c>
      <c r="N1854" s="3" t="n">
        <v>106.9</v>
      </c>
      <c r="O1854">
        <f>TEXT(A1854,"yyyy-mm")</f>
        <v/>
      </c>
    </row>
    <row r="1855">
      <c r="A1855" s="2" t="n">
        <v>45825</v>
      </c>
      <c r="B1855" t="n">
        <v>2025</v>
      </c>
      <c r="C1855" t="inlineStr">
        <is>
          <t>June</t>
        </is>
      </c>
      <c r="D1855" t="inlineStr">
        <is>
          <t>Smart Camera</t>
        </is>
      </c>
      <c r="E1855" t="inlineStr">
        <is>
          <t>Electronics</t>
        </is>
      </c>
      <c r="F1855" t="inlineStr">
        <is>
          <t>Olivia Fischer</t>
        </is>
      </c>
      <c r="G1855" t="inlineStr">
        <is>
          <t>France</t>
        </is>
      </c>
      <c r="H1855" t="inlineStr">
        <is>
          <t>Mobile App</t>
        </is>
      </c>
      <c r="I1855" t="n">
        <v>4</v>
      </c>
      <c r="J1855" s="3" t="n">
        <v>1198.36</v>
      </c>
      <c r="K1855" s="3" t="n">
        <v>59.92</v>
      </c>
      <c r="L1855" s="3" t="n">
        <v>1138.44</v>
      </c>
      <c r="M1855" s="3" t="n">
        <v>669.6</v>
      </c>
      <c r="N1855" s="3" t="n">
        <v>468.84</v>
      </c>
      <c r="O1855">
        <f>TEXT(A1855,"yyyy-mm")</f>
        <v/>
      </c>
    </row>
    <row r="1856">
      <c r="A1856" s="2" t="n">
        <v>45825</v>
      </c>
      <c r="B1856" t="n">
        <v>2025</v>
      </c>
      <c r="C1856" t="inlineStr">
        <is>
          <t>June</t>
        </is>
      </c>
      <c r="D1856" t="inlineStr">
        <is>
          <t>Premium Tent</t>
        </is>
      </c>
      <c r="E1856" t="inlineStr">
        <is>
          <t>Sports &amp; Outdoors</t>
        </is>
      </c>
      <c r="F1856" t="inlineStr">
        <is>
          <t>Olivia Fischer</t>
        </is>
      </c>
      <c r="G1856" t="inlineStr">
        <is>
          <t>France</t>
        </is>
      </c>
      <c r="H1856" t="inlineStr">
        <is>
          <t>Mobile App</t>
        </is>
      </c>
      <c r="I1856" t="n">
        <v>3</v>
      </c>
      <c r="J1856" s="3" t="n">
        <v>785.79</v>
      </c>
      <c r="K1856" s="3" t="n">
        <v>39.29</v>
      </c>
      <c r="L1856" s="3" t="n">
        <v>746.5</v>
      </c>
      <c r="M1856" s="3" t="n">
        <v>495.93</v>
      </c>
      <c r="N1856" s="3" t="n">
        <v>250.57</v>
      </c>
      <c r="O1856">
        <f>TEXT(A1856,"yyyy-mm")</f>
        <v/>
      </c>
    </row>
    <row r="1857">
      <c r="A1857" s="2" t="n">
        <v>45825</v>
      </c>
      <c r="B1857" t="n">
        <v>2025</v>
      </c>
      <c r="C1857" t="inlineStr">
        <is>
          <t>June</t>
        </is>
      </c>
      <c r="D1857" t="inlineStr">
        <is>
          <t>Smart Drone</t>
        </is>
      </c>
      <c r="E1857" t="inlineStr">
        <is>
          <t>Toys &amp; Games</t>
        </is>
      </c>
      <c r="F1857" t="inlineStr">
        <is>
          <t>James Zielinski</t>
        </is>
      </c>
      <c r="G1857" t="inlineStr">
        <is>
          <t>France</t>
        </is>
      </c>
      <c r="H1857" t="inlineStr">
        <is>
          <t>Mobile App</t>
        </is>
      </c>
      <c r="I1857" t="n">
        <v>2</v>
      </c>
      <c r="J1857" s="3" t="n">
        <v>433.58</v>
      </c>
      <c r="K1857" s="3" t="n">
        <v>0</v>
      </c>
      <c r="L1857" s="3" t="n">
        <v>433.58</v>
      </c>
      <c r="M1857" s="3" t="n">
        <v>253.9</v>
      </c>
      <c r="N1857" s="3" t="n">
        <v>179.68</v>
      </c>
      <c r="O1857">
        <f>TEXT(A1857,"yyyy-mm")</f>
        <v/>
      </c>
    </row>
    <row r="1858">
      <c r="A1858" s="2" t="n">
        <v>45825</v>
      </c>
      <c r="B1858" t="n">
        <v>2025</v>
      </c>
      <c r="C1858" t="inlineStr">
        <is>
          <t>June</t>
        </is>
      </c>
      <c r="D1858" t="inlineStr">
        <is>
          <t>Essential Jacket</t>
        </is>
      </c>
      <c r="E1858" t="inlineStr">
        <is>
          <t>Clothing</t>
        </is>
      </c>
      <c r="F1858" t="inlineStr">
        <is>
          <t>James Zielinski</t>
        </is>
      </c>
      <c r="G1858" t="inlineStr">
        <is>
          <t>France</t>
        </is>
      </c>
      <c r="H1858" t="inlineStr">
        <is>
          <t>Mobile App</t>
        </is>
      </c>
      <c r="I1858" t="n">
        <v>2</v>
      </c>
      <c r="J1858" s="3" t="n">
        <v>304.84</v>
      </c>
      <c r="K1858" s="3" t="n">
        <v>0</v>
      </c>
      <c r="L1858" s="3" t="n">
        <v>304.84</v>
      </c>
      <c r="M1858" s="3" t="n">
        <v>170.7</v>
      </c>
      <c r="N1858" s="3" t="n">
        <v>134.14</v>
      </c>
      <c r="O1858">
        <f>TEXT(A1858,"yyyy-mm")</f>
        <v/>
      </c>
    </row>
    <row r="1859">
      <c r="A1859" s="2" t="n">
        <v>45825</v>
      </c>
      <c r="B1859" t="n">
        <v>2025</v>
      </c>
      <c r="C1859" t="inlineStr">
        <is>
          <t>June</t>
        </is>
      </c>
      <c r="D1859" t="inlineStr">
        <is>
          <t>Essential Planter</t>
        </is>
      </c>
      <c r="E1859" t="inlineStr">
        <is>
          <t>Home &amp; Garden</t>
        </is>
      </c>
      <c r="F1859" t="inlineStr">
        <is>
          <t>James Zielinski</t>
        </is>
      </c>
      <c r="G1859" t="inlineStr">
        <is>
          <t>France</t>
        </is>
      </c>
      <c r="H1859" t="inlineStr">
        <is>
          <t>Mobile App</t>
        </is>
      </c>
      <c r="I1859" t="n">
        <v>2</v>
      </c>
      <c r="J1859" s="3" t="n">
        <v>48.96</v>
      </c>
      <c r="K1859" s="3" t="n">
        <v>7.34</v>
      </c>
      <c r="L1859" s="3" t="n">
        <v>41.62</v>
      </c>
      <c r="M1859" s="3" t="n">
        <v>39.28</v>
      </c>
      <c r="N1859" s="3" t="n">
        <v>2.34</v>
      </c>
      <c r="O1859">
        <f>TEXT(A1859,"yyyy-mm")</f>
        <v/>
      </c>
    </row>
    <row r="1860">
      <c r="A1860" s="2" t="n">
        <v>45825</v>
      </c>
      <c r="B1860" t="n">
        <v>2025</v>
      </c>
      <c r="C1860" t="inlineStr">
        <is>
          <t>June</t>
        </is>
      </c>
      <c r="D1860" t="inlineStr">
        <is>
          <t>Wireless Drone</t>
        </is>
      </c>
      <c r="E1860" t="inlineStr">
        <is>
          <t>Toys &amp; Games</t>
        </is>
      </c>
      <c r="F1860" t="inlineStr">
        <is>
          <t>James Zielinski</t>
        </is>
      </c>
      <c r="G1860" t="inlineStr">
        <is>
          <t>France</t>
        </is>
      </c>
      <c r="H1860" t="inlineStr">
        <is>
          <t>Mobile App</t>
        </is>
      </c>
      <c r="I1860" t="n">
        <v>3</v>
      </c>
      <c r="J1860" s="3" t="n">
        <v>685.26</v>
      </c>
      <c r="K1860" s="3" t="n">
        <v>68.53</v>
      </c>
      <c r="L1860" s="3" t="n">
        <v>616.73</v>
      </c>
      <c r="M1860" s="3" t="n">
        <v>393.87</v>
      </c>
      <c r="N1860" s="3" t="n">
        <v>222.86</v>
      </c>
      <c r="O1860">
        <f>TEXT(A1860,"yyyy-mm")</f>
        <v/>
      </c>
    </row>
    <row r="1861">
      <c r="A1861" s="2" t="n">
        <v>45825</v>
      </c>
      <c r="B1861" t="n">
        <v>2025</v>
      </c>
      <c r="C1861" t="inlineStr">
        <is>
          <t>June</t>
        </is>
      </c>
      <c r="D1861" t="inlineStr">
        <is>
          <t>Essential Charger</t>
        </is>
      </c>
      <c r="E1861" t="inlineStr">
        <is>
          <t>Electronics</t>
        </is>
      </c>
      <c r="F1861" t="inlineStr">
        <is>
          <t>Thomas Fischer</t>
        </is>
      </c>
      <c r="G1861" t="inlineStr">
        <is>
          <t>France</t>
        </is>
      </c>
      <c r="H1861" t="inlineStr">
        <is>
          <t>Mobile App</t>
        </is>
      </c>
      <c r="I1861" t="n">
        <v>4</v>
      </c>
      <c r="J1861" s="3" t="n">
        <v>183.52</v>
      </c>
      <c r="K1861" s="3" t="n">
        <v>9.18</v>
      </c>
      <c r="L1861" s="3" t="n">
        <v>174.34</v>
      </c>
      <c r="M1861" s="3" t="n">
        <v>116.4</v>
      </c>
      <c r="N1861" s="3" t="n">
        <v>57.94</v>
      </c>
      <c r="O1861">
        <f>TEXT(A1861,"yyyy-mm")</f>
        <v/>
      </c>
    </row>
    <row r="1862">
      <c r="A1862" s="2" t="n">
        <v>45825</v>
      </c>
      <c r="B1862" t="n">
        <v>2025</v>
      </c>
      <c r="C1862" t="inlineStr">
        <is>
          <t>June</t>
        </is>
      </c>
      <c r="D1862" t="inlineStr">
        <is>
          <t>Compact Sunscreen</t>
        </is>
      </c>
      <c r="E1862" t="inlineStr">
        <is>
          <t>Beauty &amp; Health</t>
        </is>
      </c>
      <c r="F1862" t="inlineStr">
        <is>
          <t>Thomas Fischer</t>
        </is>
      </c>
      <c r="G1862" t="inlineStr">
        <is>
          <t>France</t>
        </is>
      </c>
      <c r="H1862" t="inlineStr">
        <is>
          <t>Mobile App</t>
        </is>
      </c>
      <c r="I1862" t="n">
        <v>2</v>
      </c>
      <c r="J1862" s="3" t="n">
        <v>621.12</v>
      </c>
      <c r="K1862" s="3" t="n">
        <v>31.06</v>
      </c>
      <c r="L1862" s="3" t="n">
        <v>590.0599999999999</v>
      </c>
      <c r="M1862" s="3" t="n">
        <v>355.32</v>
      </c>
      <c r="N1862" s="3" t="n">
        <v>234.74</v>
      </c>
      <c r="O1862">
        <f>TEXT(A1862,"yyyy-mm")</f>
        <v/>
      </c>
    </row>
    <row r="1863">
      <c r="A1863" s="2" t="n">
        <v>45825</v>
      </c>
      <c r="B1863" t="n">
        <v>2025</v>
      </c>
      <c r="C1863" t="inlineStr">
        <is>
          <t>June</t>
        </is>
      </c>
      <c r="D1863" t="inlineStr">
        <is>
          <t>Deluxe Smartwatch</t>
        </is>
      </c>
      <c r="E1863" t="inlineStr">
        <is>
          <t>Electronics</t>
        </is>
      </c>
      <c r="F1863" t="inlineStr">
        <is>
          <t>Thomas Fischer</t>
        </is>
      </c>
      <c r="G1863" t="inlineStr">
        <is>
          <t>France</t>
        </is>
      </c>
      <c r="H1863" t="inlineStr">
        <is>
          <t>Mobile App</t>
        </is>
      </c>
      <c r="I1863" t="n">
        <v>5</v>
      </c>
      <c r="J1863" s="3" t="n">
        <v>816.05</v>
      </c>
      <c r="K1863" s="3" t="n">
        <v>81.61</v>
      </c>
      <c r="L1863" s="3" t="n">
        <v>734.4400000000001</v>
      </c>
      <c r="M1863" s="3" t="n">
        <v>613.6</v>
      </c>
      <c r="N1863" s="3" t="n">
        <v>120.85</v>
      </c>
      <c r="O1863">
        <f>TEXT(A1863,"yyyy-mm")</f>
        <v/>
      </c>
    </row>
    <row r="1864">
      <c r="A1864" s="2" t="n">
        <v>45825</v>
      </c>
      <c r="B1864" t="n">
        <v>2025</v>
      </c>
      <c r="C1864" t="inlineStr">
        <is>
          <t>June</t>
        </is>
      </c>
      <c r="D1864" t="inlineStr">
        <is>
          <t>Premium Water Bottle</t>
        </is>
      </c>
      <c r="E1864" t="inlineStr">
        <is>
          <t>Sports &amp; Outdoors</t>
        </is>
      </c>
      <c r="F1864" t="inlineStr">
        <is>
          <t>Thomas Fischer</t>
        </is>
      </c>
      <c r="G1864" t="inlineStr">
        <is>
          <t>France</t>
        </is>
      </c>
      <c r="H1864" t="inlineStr">
        <is>
          <t>Mobile App</t>
        </is>
      </c>
      <c r="I1864" t="n">
        <v>3</v>
      </c>
      <c r="J1864" s="3" t="n">
        <v>89.25</v>
      </c>
      <c r="K1864" s="3" t="n">
        <v>8.93</v>
      </c>
      <c r="L1864" s="3" t="n">
        <v>80.31999999999999</v>
      </c>
      <c r="M1864" s="3" t="n">
        <v>49.89</v>
      </c>
      <c r="N1864" s="3" t="n">
        <v>30.44</v>
      </c>
      <c r="O1864">
        <f>TEXT(A1864,"yyyy-mm")</f>
        <v/>
      </c>
    </row>
    <row r="1865">
      <c r="A1865" s="2" t="n">
        <v>45825</v>
      </c>
      <c r="B1865" t="n">
        <v>2025</v>
      </c>
      <c r="C1865" t="inlineStr">
        <is>
          <t>June</t>
        </is>
      </c>
      <c r="D1865" t="inlineStr">
        <is>
          <t>Deluxe Toolset</t>
        </is>
      </c>
      <c r="E1865" t="inlineStr">
        <is>
          <t>Home &amp; Garden</t>
        </is>
      </c>
      <c r="F1865" t="inlineStr">
        <is>
          <t>Laura Wojcik</t>
        </is>
      </c>
      <c r="G1865" t="inlineStr">
        <is>
          <t>Italy</t>
        </is>
      </c>
      <c r="H1865" t="inlineStr">
        <is>
          <t>Web Store</t>
        </is>
      </c>
      <c r="I1865" t="n">
        <v>5</v>
      </c>
      <c r="J1865" s="3" t="n">
        <v>331.4</v>
      </c>
      <c r="K1865" s="3" t="n">
        <v>16.57</v>
      </c>
      <c r="L1865" s="3" t="n">
        <v>314.83</v>
      </c>
      <c r="M1865" s="3" t="n">
        <v>238.55</v>
      </c>
      <c r="N1865" s="3" t="n">
        <v>76.28</v>
      </c>
      <c r="O1865">
        <f>TEXT(A1865,"yyyy-mm")</f>
        <v/>
      </c>
    </row>
    <row r="1866">
      <c r="A1866" s="2" t="n">
        <v>45826</v>
      </c>
      <c r="B1866" t="n">
        <v>2025</v>
      </c>
      <c r="C1866" t="inlineStr">
        <is>
          <t>June</t>
        </is>
      </c>
      <c r="D1866" t="inlineStr">
        <is>
          <t>Smart Drone</t>
        </is>
      </c>
      <c r="E1866" t="inlineStr">
        <is>
          <t>Toys &amp; Games</t>
        </is>
      </c>
      <c r="F1866" t="inlineStr">
        <is>
          <t>Maria Wilson</t>
        </is>
      </c>
      <c r="G1866" t="inlineStr">
        <is>
          <t>Poland</t>
        </is>
      </c>
      <c r="H1866" t="inlineStr">
        <is>
          <t>Web Store</t>
        </is>
      </c>
      <c r="I1866" t="n">
        <v>4</v>
      </c>
      <c r="J1866" s="3" t="n">
        <v>922.4</v>
      </c>
      <c r="K1866" s="3" t="n">
        <v>184.48</v>
      </c>
      <c r="L1866" s="3" t="n">
        <v>737.92</v>
      </c>
      <c r="M1866" s="3" t="n">
        <v>507.8</v>
      </c>
      <c r="N1866" s="3" t="n">
        <v>230.12</v>
      </c>
      <c r="O1866">
        <f>TEXT(A1866,"yyyy-mm")</f>
        <v/>
      </c>
    </row>
    <row r="1867">
      <c r="A1867" s="2" t="n">
        <v>45826</v>
      </c>
      <c r="B1867" t="n">
        <v>2025</v>
      </c>
      <c r="C1867" t="inlineStr">
        <is>
          <t>June</t>
        </is>
      </c>
      <c r="D1867" t="inlineStr">
        <is>
          <t>Premium Water Bottle</t>
        </is>
      </c>
      <c r="E1867" t="inlineStr">
        <is>
          <t>Sports &amp; Outdoors</t>
        </is>
      </c>
      <c r="F1867" t="inlineStr">
        <is>
          <t>Maria Wilson</t>
        </is>
      </c>
      <c r="G1867" t="inlineStr">
        <is>
          <t>Poland</t>
        </is>
      </c>
      <c r="H1867" t="inlineStr">
        <is>
          <t>Web Store</t>
        </is>
      </c>
      <c r="I1867" t="n">
        <v>2</v>
      </c>
      <c r="J1867" s="3" t="n">
        <v>58.42</v>
      </c>
      <c r="K1867" s="3" t="n">
        <v>2.92</v>
      </c>
      <c r="L1867" s="3" t="n">
        <v>55.5</v>
      </c>
      <c r="M1867" s="3" t="n">
        <v>33.26</v>
      </c>
      <c r="N1867" s="3" t="n">
        <v>22.24</v>
      </c>
      <c r="O1867">
        <f>TEXT(A1867,"yyyy-mm")</f>
        <v/>
      </c>
    </row>
    <row r="1868">
      <c r="A1868" s="2" t="n">
        <v>45826</v>
      </c>
      <c r="B1868" t="n">
        <v>2025</v>
      </c>
      <c r="C1868" t="inlineStr">
        <is>
          <t>June</t>
        </is>
      </c>
      <c r="D1868" t="inlineStr">
        <is>
          <t>Premium Tent</t>
        </is>
      </c>
      <c r="E1868" t="inlineStr">
        <is>
          <t>Sports &amp; Outdoors</t>
        </is>
      </c>
      <c r="F1868" t="inlineStr">
        <is>
          <t>Maria Wilson</t>
        </is>
      </c>
      <c r="G1868" t="inlineStr">
        <is>
          <t>Poland</t>
        </is>
      </c>
      <c r="H1868" t="inlineStr">
        <is>
          <t>Web Store</t>
        </is>
      </c>
      <c r="I1868" t="n">
        <v>1</v>
      </c>
      <c r="J1868" s="3" t="n">
        <v>255.61</v>
      </c>
      <c r="K1868" s="3" t="n">
        <v>12.78</v>
      </c>
      <c r="L1868" s="3" t="n">
        <v>242.83</v>
      </c>
      <c r="M1868" s="3" t="n">
        <v>139.04</v>
      </c>
      <c r="N1868" s="3" t="n">
        <v>103.79</v>
      </c>
      <c r="O1868">
        <f>TEXT(A1868,"yyyy-mm")</f>
        <v/>
      </c>
    </row>
    <row r="1869">
      <c r="A1869" s="2" t="n">
        <v>45826</v>
      </c>
      <c r="B1869" t="n">
        <v>2025</v>
      </c>
      <c r="C1869" t="inlineStr">
        <is>
          <t>June</t>
        </is>
      </c>
      <c r="D1869" t="inlineStr">
        <is>
          <t>Wireless Backpack</t>
        </is>
      </c>
      <c r="E1869" t="inlineStr">
        <is>
          <t>Sports &amp; Outdoors</t>
        </is>
      </c>
      <c r="F1869" t="inlineStr">
        <is>
          <t>Sophie Wilson</t>
        </is>
      </c>
      <c r="G1869" t="inlineStr">
        <is>
          <t>Poland</t>
        </is>
      </c>
      <c r="H1869" t="inlineStr">
        <is>
          <t>Web Store</t>
        </is>
      </c>
      <c r="I1869" t="n">
        <v>1</v>
      </c>
      <c r="J1869" s="3" t="n">
        <v>48.3</v>
      </c>
      <c r="K1869" s="3" t="n">
        <v>0</v>
      </c>
      <c r="L1869" s="3" t="n">
        <v>48.3</v>
      </c>
      <c r="M1869" s="3" t="n">
        <v>28.1</v>
      </c>
      <c r="N1869" s="3" t="n">
        <v>20.2</v>
      </c>
      <c r="O1869">
        <f>TEXT(A1869,"yyyy-mm")</f>
        <v/>
      </c>
    </row>
    <row r="1870">
      <c r="A1870" s="2" t="n">
        <v>45826</v>
      </c>
      <c r="B1870" t="n">
        <v>2025</v>
      </c>
      <c r="C1870" t="inlineStr">
        <is>
          <t>June</t>
        </is>
      </c>
      <c r="D1870" t="inlineStr">
        <is>
          <t>Wireless Honey</t>
        </is>
      </c>
      <c r="E1870" t="inlineStr">
        <is>
          <t>Grocery</t>
        </is>
      </c>
      <c r="F1870" t="inlineStr">
        <is>
          <t>Sophie Wilson</t>
        </is>
      </c>
      <c r="G1870" t="inlineStr">
        <is>
          <t>Poland</t>
        </is>
      </c>
      <c r="H1870" t="inlineStr">
        <is>
          <t>Web Store</t>
        </is>
      </c>
      <c r="I1870" t="n">
        <v>4</v>
      </c>
      <c r="J1870" s="3" t="n">
        <v>529.92</v>
      </c>
      <c r="K1870" s="3" t="n">
        <v>0</v>
      </c>
      <c r="L1870" s="3" t="n">
        <v>529.92</v>
      </c>
      <c r="M1870" s="3" t="n">
        <v>376.28</v>
      </c>
      <c r="N1870" s="3" t="n">
        <v>153.64</v>
      </c>
      <c r="O1870">
        <f>TEXT(A1870,"yyyy-mm")</f>
        <v/>
      </c>
    </row>
    <row r="1871">
      <c r="A1871" s="2" t="n">
        <v>45826</v>
      </c>
      <c r="B1871" t="n">
        <v>2025</v>
      </c>
      <c r="C1871" t="inlineStr">
        <is>
          <t>June</t>
        </is>
      </c>
      <c r="D1871" t="inlineStr">
        <is>
          <t>Portable Notebook</t>
        </is>
      </c>
      <c r="E1871" t="inlineStr">
        <is>
          <t>Books</t>
        </is>
      </c>
      <c r="F1871" t="inlineStr">
        <is>
          <t>Sophie Wilson</t>
        </is>
      </c>
      <c r="G1871" t="inlineStr">
        <is>
          <t>Poland</t>
        </is>
      </c>
      <c r="H1871" t="inlineStr">
        <is>
          <t>Web Store</t>
        </is>
      </c>
      <c r="I1871" t="n">
        <v>3</v>
      </c>
      <c r="J1871" s="3" t="n">
        <v>392.76</v>
      </c>
      <c r="K1871" s="3" t="n">
        <v>0</v>
      </c>
      <c r="L1871" s="3" t="n">
        <v>392.76</v>
      </c>
      <c r="M1871" s="3" t="n">
        <v>213.84</v>
      </c>
      <c r="N1871" s="3" t="n">
        <v>178.92</v>
      </c>
      <c r="O1871">
        <f>TEXT(A1871,"yyyy-mm")</f>
        <v/>
      </c>
    </row>
    <row r="1872">
      <c r="A1872" s="2" t="n">
        <v>45826</v>
      </c>
      <c r="B1872" t="n">
        <v>2025</v>
      </c>
      <c r="C1872" t="inlineStr">
        <is>
          <t>June</t>
        </is>
      </c>
      <c r="D1872" t="inlineStr">
        <is>
          <t>Eco Tent</t>
        </is>
      </c>
      <c r="E1872" t="inlineStr">
        <is>
          <t>Sports &amp; Outdoors</t>
        </is>
      </c>
      <c r="F1872" t="inlineStr">
        <is>
          <t>Julia Nowak</t>
        </is>
      </c>
      <c r="G1872" t="inlineStr">
        <is>
          <t>Germany</t>
        </is>
      </c>
      <c r="H1872" t="inlineStr">
        <is>
          <t>Web Store</t>
        </is>
      </c>
      <c r="I1872" t="n">
        <v>1</v>
      </c>
      <c r="J1872" s="3" t="n">
        <v>65.53</v>
      </c>
      <c r="K1872" s="3" t="n">
        <v>6.55</v>
      </c>
      <c r="L1872" s="3" t="n">
        <v>58.98</v>
      </c>
      <c r="M1872" s="3" t="n">
        <v>43.85</v>
      </c>
      <c r="N1872" s="3" t="n">
        <v>15.13</v>
      </c>
      <c r="O1872">
        <f>TEXT(A1872,"yyyy-mm")</f>
        <v/>
      </c>
    </row>
    <row r="1873">
      <c r="A1873" s="2" t="n">
        <v>45826</v>
      </c>
      <c r="B1873" t="n">
        <v>2025</v>
      </c>
      <c r="C1873" t="inlineStr">
        <is>
          <t>June</t>
        </is>
      </c>
      <c r="D1873" t="inlineStr">
        <is>
          <t>Essential Notebook</t>
        </is>
      </c>
      <c r="E1873" t="inlineStr">
        <is>
          <t>Books</t>
        </is>
      </c>
      <c r="F1873" t="inlineStr">
        <is>
          <t>David Johnson</t>
        </is>
      </c>
      <c r="G1873" t="inlineStr">
        <is>
          <t>Spain</t>
        </is>
      </c>
      <c r="H1873" t="inlineStr">
        <is>
          <t>Mobile App</t>
        </is>
      </c>
      <c r="I1873" t="n">
        <v>2</v>
      </c>
      <c r="J1873" s="3" t="n">
        <v>227.1</v>
      </c>
      <c r="K1873" s="3" t="n">
        <v>0</v>
      </c>
      <c r="L1873" s="3" t="n">
        <v>227.1</v>
      </c>
      <c r="M1873" s="3" t="n">
        <v>158.2</v>
      </c>
      <c r="N1873" s="3" t="n">
        <v>68.90000000000001</v>
      </c>
      <c r="O1873">
        <f>TEXT(A1873,"yyyy-mm")</f>
        <v/>
      </c>
    </row>
    <row r="1874">
      <c r="A1874" s="2" t="n">
        <v>45826</v>
      </c>
      <c r="B1874" t="n">
        <v>2025</v>
      </c>
      <c r="C1874" t="inlineStr">
        <is>
          <t>June</t>
        </is>
      </c>
      <c r="D1874" t="inlineStr">
        <is>
          <t>Classic Coffee Beans</t>
        </is>
      </c>
      <c r="E1874" t="inlineStr">
        <is>
          <t>Grocery</t>
        </is>
      </c>
      <c r="F1874" t="inlineStr">
        <is>
          <t>Julia Nowak</t>
        </is>
      </c>
      <c r="G1874" t="inlineStr">
        <is>
          <t>Germany</t>
        </is>
      </c>
      <c r="H1874" t="inlineStr">
        <is>
          <t>Web Store</t>
        </is>
      </c>
      <c r="I1874" t="n">
        <v>3</v>
      </c>
      <c r="J1874" s="3" t="n">
        <v>972.96</v>
      </c>
      <c r="K1874" s="3" t="n">
        <v>0</v>
      </c>
      <c r="L1874" s="3" t="n">
        <v>972.96</v>
      </c>
      <c r="M1874" s="3" t="n">
        <v>584.28</v>
      </c>
      <c r="N1874" s="3" t="n">
        <v>388.68</v>
      </c>
      <c r="O1874">
        <f>TEXT(A1874,"yyyy-mm")</f>
        <v/>
      </c>
    </row>
    <row r="1875">
      <c r="A1875" s="2" t="n">
        <v>45826</v>
      </c>
      <c r="B1875" t="n">
        <v>2025</v>
      </c>
      <c r="C1875" t="inlineStr">
        <is>
          <t>June</t>
        </is>
      </c>
      <c r="D1875" t="inlineStr">
        <is>
          <t>Compact Pasta</t>
        </is>
      </c>
      <c r="E1875" t="inlineStr">
        <is>
          <t>Grocery</t>
        </is>
      </c>
      <c r="F1875" t="inlineStr">
        <is>
          <t>David Johnson</t>
        </is>
      </c>
      <c r="G1875" t="inlineStr">
        <is>
          <t>Spain</t>
        </is>
      </c>
      <c r="H1875" t="inlineStr">
        <is>
          <t>Mobile App</t>
        </is>
      </c>
      <c r="I1875" t="n">
        <v>2</v>
      </c>
      <c r="J1875" s="3" t="n">
        <v>628.4400000000001</v>
      </c>
      <c r="K1875" s="3" t="n">
        <v>62.84</v>
      </c>
      <c r="L1875" s="3" t="n">
        <v>565.6</v>
      </c>
      <c r="M1875" s="3" t="n">
        <v>398.8</v>
      </c>
      <c r="N1875" s="3" t="n">
        <v>166.8</v>
      </c>
      <c r="O1875">
        <f>TEXT(A1875,"yyyy-mm")</f>
        <v/>
      </c>
    </row>
    <row r="1876">
      <c r="A1876" s="2" t="n">
        <v>45827</v>
      </c>
      <c r="B1876" t="n">
        <v>2025</v>
      </c>
      <c r="C1876" t="inlineStr">
        <is>
          <t>June</t>
        </is>
      </c>
      <c r="D1876" t="inlineStr">
        <is>
          <t>Classic Charger</t>
        </is>
      </c>
      <c r="E1876" t="inlineStr">
        <is>
          <t>Electronics</t>
        </is>
      </c>
      <c r="F1876" t="inlineStr">
        <is>
          <t>Olivia Muller</t>
        </is>
      </c>
      <c r="G1876" t="inlineStr">
        <is>
          <t>United Kingdom</t>
        </is>
      </c>
      <c r="H1876" t="inlineStr">
        <is>
          <t>Retail Store</t>
        </is>
      </c>
      <c r="I1876" t="n">
        <v>4</v>
      </c>
      <c r="J1876" s="3" t="n">
        <v>370.16</v>
      </c>
      <c r="K1876" s="3" t="n">
        <v>0</v>
      </c>
      <c r="L1876" s="3" t="n">
        <v>370.16</v>
      </c>
      <c r="M1876" s="3" t="n">
        <v>248.84</v>
      </c>
      <c r="N1876" s="3" t="n">
        <v>121.32</v>
      </c>
      <c r="O1876">
        <f>TEXT(A1876,"yyyy-mm")</f>
        <v/>
      </c>
    </row>
    <row r="1877">
      <c r="A1877" s="2" t="n">
        <v>45827</v>
      </c>
      <c r="B1877" t="n">
        <v>2025</v>
      </c>
      <c r="C1877" t="inlineStr">
        <is>
          <t>June</t>
        </is>
      </c>
      <c r="D1877" t="inlineStr">
        <is>
          <t>Essential Planter</t>
        </is>
      </c>
      <c r="E1877" t="inlineStr">
        <is>
          <t>Home &amp; Garden</t>
        </is>
      </c>
      <c r="F1877" t="inlineStr">
        <is>
          <t>Olivia Rossi</t>
        </is>
      </c>
      <c r="G1877" t="inlineStr">
        <is>
          <t>Spain</t>
        </is>
      </c>
      <c r="H1877" t="inlineStr">
        <is>
          <t>Web Store</t>
        </is>
      </c>
      <c r="I1877" t="n">
        <v>2</v>
      </c>
      <c r="J1877" s="3" t="n">
        <v>52.22</v>
      </c>
      <c r="K1877" s="3" t="n">
        <v>0</v>
      </c>
      <c r="L1877" s="3" t="n">
        <v>52.22</v>
      </c>
      <c r="M1877" s="3" t="n">
        <v>39.28</v>
      </c>
      <c r="N1877" s="3" t="n">
        <v>12.94</v>
      </c>
      <c r="O1877">
        <f>TEXT(A1877,"yyyy-mm")</f>
        <v/>
      </c>
    </row>
    <row r="1878">
      <c r="A1878" s="2" t="n">
        <v>45827</v>
      </c>
      <c r="B1878" t="n">
        <v>2025</v>
      </c>
      <c r="C1878" t="inlineStr">
        <is>
          <t>June</t>
        </is>
      </c>
      <c r="D1878" t="inlineStr">
        <is>
          <t>Compact Pasta</t>
        </is>
      </c>
      <c r="E1878" t="inlineStr">
        <is>
          <t>Grocery</t>
        </is>
      </c>
      <c r="F1878" t="inlineStr">
        <is>
          <t>Olivia Rossi</t>
        </is>
      </c>
      <c r="G1878" t="inlineStr">
        <is>
          <t>Spain</t>
        </is>
      </c>
      <c r="H1878" t="inlineStr">
        <is>
          <t>Web Store</t>
        </is>
      </c>
      <c r="I1878" t="n">
        <v>4</v>
      </c>
      <c r="J1878" s="3" t="n">
        <v>1191.88</v>
      </c>
      <c r="K1878" s="3" t="n">
        <v>0</v>
      </c>
      <c r="L1878" s="3" t="n">
        <v>1191.88</v>
      </c>
      <c r="M1878" s="3" t="n">
        <v>797.6</v>
      </c>
      <c r="N1878" s="3" t="n">
        <v>394.28</v>
      </c>
      <c r="O1878">
        <f>TEXT(A1878,"yyyy-mm")</f>
        <v/>
      </c>
    </row>
    <row r="1879">
      <c r="A1879" s="2" t="n">
        <v>45827</v>
      </c>
      <c r="B1879" t="n">
        <v>2025</v>
      </c>
      <c r="C1879" t="inlineStr">
        <is>
          <t>June</t>
        </is>
      </c>
      <c r="D1879" t="inlineStr">
        <is>
          <t>Compact Jacket</t>
        </is>
      </c>
      <c r="E1879" t="inlineStr">
        <is>
          <t>Clothing</t>
        </is>
      </c>
      <c r="F1879" t="inlineStr">
        <is>
          <t>Sophie Conti</t>
        </is>
      </c>
      <c r="G1879" t="inlineStr">
        <is>
          <t>Netherlands</t>
        </is>
      </c>
      <c r="H1879" t="inlineStr">
        <is>
          <t>Mobile App</t>
        </is>
      </c>
      <c r="I1879" t="n">
        <v>4</v>
      </c>
      <c r="J1879" s="3" t="n">
        <v>149.84</v>
      </c>
      <c r="K1879" s="3" t="n">
        <v>0</v>
      </c>
      <c r="L1879" s="3" t="n">
        <v>149.84</v>
      </c>
      <c r="M1879" s="3" t="n">
        <v>81.59999999999999</v>
      </c>
      <c r="N1879" s="3" t="n">
        <v>68.23999999999999</v>
      </c>
      <c r="O1879">
        <f>TEXT(A1879,"yyyy-mm")</f>
        <v/>
      </c>
    </row>
    <row r="1880">
      <c r="A1880" s="2" t="n">
        <v>45827</v>
      </c>
      <c r="B1880" t="n">
        <v>2025</v>
      </c>
      <c r="C1880" t="inlineStr">
        <is>
          <t>June</t>
        </is>
      </c>
      <c r="D1880" t="inlineStr">
        <is>
          <t>Smart Puzzle</t>
        </is>
      </c>
      <c r="E1880" t="inlineStr">
        <is>
          <t>Toys &amp; Games</t>
        </is>
      </c>
      <c r="F1880" t="inlineStr">
        <is>
          <t>Olivia Rossi</t>
        </is>
      </c>
      <c r="G1880" t="inlineStr">
        <is>
          <t>Spain</t>
        </is>
      </c>
      <c r="H1880" t="inlineStr">
        <is>
          <t>Web Store</t>
        </is>
      </c>
      <c r="I1880" t="n">
        <v>5</v>
      </c>
      <c r="J1880" s="3" t="n">
        <v>225.5</v>
      </c>
      <c r="K1880" s="3" t="n">
        <v>11.28</v>
      </c>
      <c r="L1880" s="3" t="n">
        <v>214.22</v>
      </c>
      <c r="M1880" s="3" t="n">
        <v>122.2</v>
      </c>
      <c r="N1880" s="3" t="n">
        <v>92.02</v>
      </c>
      <c r="O1880">
        <f>TEXT(A1880,"yyyy-mm")</f>
        <v/>
      </c>
    </row>
    <row r="1881">
      <c r="A1881" s="2" t="n">
        <v>45827</v>
      </c>
      <c r="B1881" t="n">
        <v>2025</v>
      </c>
      <c r="C1881" t="inlineStr">
        <is>
          <t>June</t>
        </is>
      </c>
      <c r="D1881" t="inlineStr">
        <is>
          <t>Deluxe Headphones</t>
        </is>
      </c>
      <c r="E1881" t="inlineStr">
        <is>
          <t>Electronics</t>
        </is>
      </c>
      <c r="F1881" t="inlineStr">
        <is>
          <t>Sophie Conti</t>
        </is>
      </c>
      <c r="G1881" t="inlineStr">
        <is>
          <t>Netherlands</t>
        </is>
      </c>
      <c r="H1881" t="inlineStr">
        <is>
          <t>Mobile App</t>
        </is>
      </c>
      <c r="I1881" t="n">
        <v>1</v>
      </c>
      <c r="J1881" s="3" t="n">
        <v>74.98999999999999</v>
      </c>
      <c r="K1881" s="3" t="n">
        <v>0</v>
      </c>
      <c r="L1881" s="3" t="n">
        <v>74.98999999999999</v>
      </c>
      <c r="M1881" s="3" t="n">
        <v>52.5</v>
      </c>
      <c r="N1881" s="3" t="n">
        <v>22.49</v>
      </c>
      <c r="O1881">
        <f>TEXT(A1881,"yyyy-mm")</f>
        <v/>
      </c>
    </row>
    <row r="1882">
      <c r="A1882" s="2" t="n">
        <v>45828</v>
      </c>
      <c r="B1882" t="n">
        <v>2025</v>
      </c>
      <c r="C1882" t="inlineStr">
        <is>
          <t>June</t>
        </is>
      </c>
      <c r="D1882" t="inlineStr">
        <is>
          <t>Ultra Backpack</t>
        </is>
      </c>
      <c r="E1882" t="inlineStr">
        <is>
          <t>Sports &amp; Outdoors</t>
        </is>
      </c>
      <c r="F1882" t="inlineStr">
        <is>
          <t>Maria Dubois</t>
        </is>
      </c>
      <c r="G1882" t="inlineStr">
        <is>
          <t>Spain</t>
        </is>
      </c>
      <c r="H1882" t="inlineStr">
        <is>
          <t>Web Store</t>
        </is>
      </c>
      <c r="I1882" t="n">
        <v>3</v>
      </c>
      <c r="J1882" s="3" t="n">
        <v>931.5</v>
      </c>
      <c r="K1882" s="3" t="n">
        <v>186.3</v>
      </c>
      <c r="L1882" s="3" t="n">
        <v>745.2</v>
      </c>
      <c r="M1882" s="3" t="n">
        <v>521.0700000000001</v>
      </c>
      <c r="N1882" s="3" t="n">
        <v>224.13</v>
      </c>
      <c r="O1882">
        <f>TEXT(A1882,"yyyy-mm")</f>
        <v/>
      </c>
    </row>
    <row r="1883">
      <c r="A1883" s="2" t="n">
        <v>45828</v>
      </c>
      <c r="B1883" t="n">
        <v>2025</v>
      </c>
      <c r="C1883" t="inlineStr">
        <is>
          <t>June</t>
        </is>
      </c>
      <c r="D1883" t="inlineStr">
        <is>
          <t>Eco Backpack</t>
        </is>
      </c>
      <c r="E1883" t="inlineStr">
        <is>
          <t>Sports &amp; Outdoors</t>
        </is>
      </c>
      <c r="F1883" t="inlineStr">
        <is>
          <t>Maria Dubois</t>
        </is>
      </c>
      <c r="G1883" t="inlineStr">
        <is>
          <t>Spain</t>
        </is>
      </c>
      <c r="H1883" t="inlineStr">
        <is>
          <t>Web Store</t>
        </is>
      </c>
      <c r="I1883" t="n">
        <v>4</v>
      </c>
      <c r="J1883" s="3" t="n">
        <v>1008.56</v>
      </c>
      <c r="K1883" s="3" t="n">
        <v>151.28</v>
      </c>
      <c r="L1883" s="3" t="n">
        <v>857.28</v>
      </c>
      <c r="M1883" s="3" t="n">
        <v>586.3200000000001</v>
      </c>
      <c r="N1883" s="3" t="n">
        <v>270.96</v>
      </c>
      <c r="O1883">
        <f>TEXT(A1883,"yyyy-mm")</f>
        <v/>
      </c>
    </row>
    <row r="1884">
      <c r="A1884" s="2" t="n">
        <v>45829</v>
      </c>
      <c r="B1884" t="n">
        <v>2025</v>
      </c>
      <c r="C1884" t="inlineStr">
        <is>
          <t>June</t>
        </is>
      </c>
      <c r="D1884" t="inlineStr">
        <is>
          <t>Smart Olive Oil</t>
        </is>
      </c>
      <c r="E1884" t="inlineStr">
        <is>
          <t>Grocery</t>
        </is>
      </c>
      <c r="F1884" t="inlineStr">
        <is>
          <t>Thomas Schmidt</t>
        </is>
      </c>
      <c r="G1884" t="inlineStr">
        <is>
          <t>Germany</t>
        </is>
      </c>
      <c r="H1884" t="inlineStr">
        <is>
          <t>Retail Store</t>
        </is>
      </c>
      <c r="I1884" t="n">
        <v>5</v>
      </c>
      <c r="J1884" s="3" t="n">
        <v>835.95</v>
      </c>
      <c r="K1884" s="3" t="n">
        <v>0</v>
      </c>
      <c r="L1884" s="3" t="n">
        <v>835.95</v>
      </c>
      <c r="M1884" s="3" t="n">
        <v>550.1</v>
      </c>
      <c r="N1884" s="3" t="n">
        <v>285.85</v>
      </c>
      <c r="O1884">
        <f>TEXT(A1884,"yyyy-mm")</f>
        <v/>
      </c>
    </row>
    <row r="1885">
      <c r="A1885" s="2" t="n">
        <v>45830</v>
      </c>
      <c r="B1885" t="n">
        <v>2025</v>
      </c>
      <c r="C1885" t="inlineStr">
        <is>
          <t>June</t>
        </is>
      </c>
      <c r="D1885" t="inlineStr">
        <is>
          <t>Wireless Drone</t>
        </is>
      </c>
      <c r="E1885" t="inlineStr">
        <is>
          <t>Toys &amp; Games</t>
        </is>
      </c>
      <c r="F1885" t="inlineStr">
        <is>
          <t>Daniel Nowak</t>
        </is>
      </c>
      <c r="G1885" t="inlineStr">
        <is>
          <t>Netherlands</t>
        </is>
      </c>
      <c r="H1885" t="inlineStr">
        <is>
          <t>Mobile App</t>
        </is>
      </c>
      <c r="I1885" t="n">
        <v>3</v>
      </c>
      <c r="J1885" s="3" t="n">
        <v>629.7</v>
      </c>
      <c r="K1885" s="3" t="n">
        <v>31.49</v>
      </c>
      <c r="L1885" s="3" t="n">
        <v>598.22</v>
      </c>
      <c r="M1885" s="3" t="n">
        <v>393.87</v>
      </c>
      <c r="N1885" s="3" t="n">
        <v>204.35</v>
      </c>
      <c r="O1885">
        <f>TEXT(A1885,"yyyy-mm")</f>
        <v/>
      </c>
    </row>
    <row r="1886">
      <c r="A1886" s="2" t="n">
        <v>45830</v>
      </c>
      <c r="B1886" t="n">
        <v>2025</v>
      </c>
      <c r="C1886" t="inlineStr">
        <is>
          <t>June</t>
        </is>
      </c>
      <c r="D1886" t="inlineStr">
        <is>
          <t>Premium Tent</t>
        </is>
      </c>
      <c r="E1886" t="inlineStr">
        <is>
          <t>Sports &amp; Outdoors</t>
        </is>
      </c>
      <c r="F1886" t="inlineStr">
        <is>
          <t>Daniel Nowak</t>
        </is>
      </c>
      <c r="G1886" t="inlineStr">
        <is>
          <t>Netherlands</t>
        </is>
      </c>
      <c r="H1886" t="inlineStr">
        <is>
          <t>Mobile App</t>
        </is>
      </c>
      <c r="I1886" t="n">
        <v>3</v>
      </c>
      <c r="J1886" s="3" t="n">
        <v>771.36</v>
      </c>
      <c r="K1886" s="3" t="n">
        <v>154.27</v>
      </c>
      <c r="L1886" s="3" t="n">
        <v>617.09</v>
      </c>
      <c r="M1886" s="3" t="n">
        <v>495.93</v>
      </c>
      <c r="N1886" s="3" t="n">
        <v>121.16</v>
      </c>
      <c r="O1886">
        <f>TEXT(A1886,"yyyy-mm")</f>
        <v/>
      </c>
    </row>
    <row r="1887">
      <c r="A1887" s="2" t="n">
        <v>45830</v>
      </c>
      <c r="B1887" t="n">
        <v>2025</v>
      </c>
      <c r="C1887" t="inlineStr">
        <is>
          <t>June</t>
        </is>
      </c>
      <c r="D1887" t="inlineStr">
        <is>
          <t>Smart Jeans</t>
        </is>
      </c>
      <c r="E1887" t="inlineStr">
        <is>
          <t>Clothing</t>
        </is>
      </c>
      <c r="F1887" t="inlineStr">
        <is>
          <t>Daniel Nowak</t>
        </is>
      </c>
      <c r="G1887" t="inlineStr">
        <is>
          <t>Netherlands</t>
        </is>
      </c>
      <c r="H1887" t="inlineStr">
        <is>
          <t>Mobile App</t>
        </is>
      </c>
      <c r="I1887" t="n">
        <v>1</v>
      </c>
      <c r="J1887" s="3" t="n">
        <v>287.4</v>
      </c>
      <c r="K1887" s="3" t="n">
        <v>0</v>
      </c>
      <c r="L1887" s="3" t="n">
        <v>287.4</v>
      </c>
      <c r="M1887" s="3" t="n">
        <v>193.64</v>
      </c>
      <c r="N1887" s="3" t="n">
        <v>93.76000000000001</v>
      </c>
      <c r="O1887">
        <f>TEXT(A1887,"yyyy-mm")</f>
        <v/>
      </c>
    </row>
    <row r="1888">
      <c r="A1888" s="2" t="n">
        <v>45830</v>
      </c>
      <c r="B1888" t="n">
        <v>2025</v>
      </c>
      <c r="C1888" t="inlineStr">
        <is>
          <t>June</t>
        </is>
      </c>
      <c r="D1888" t="inlineStr">
        <is>
          <t>Deluxe Scarf</t>
        </is>
      </c>
      <c r="E1888" t="inlineStr">
        <is>
          <t>Clothing</t>
        </is>
      </c>
      <c r="F1888" t="inlineStr">
        <is>
          <t>Daniel Nowak</t>
        </is>
      </c>
      <c r="G1888" t="inlineStr">
        <is>
          <t>Netherlands</t>
        </is>
      </c>
      <c r="H1888" t="inlineStr">
        <is>
          <t>Mobile App</t>
        </is>
      </c>
      <c r="I1888" t="n">
        <v>4</v>
      </c>
      <c r="J1888" s="3" t="n">
        <v>832.84</v>
      </c>
      <c r="K1888" s="3" t="n">
        <v>41.64</v>
      </c>
      <c r="L1888" s="3" t="n">
        <v>791.2</v>
      </c>
      <c r="M1888" s="3" t="n">
        <v>434.08</v>
      </c>
      <c r="N1888" s="3" t="n">
        <v>357.12</v>
      </c>
      <c r="O1888">
        <f>TEXT(A1888,"yyyy-mm")</f>
        <v/>
      </c>
    </row>
    <row r="1889">
      <c r="A1889" s="2" t="n">
        <v>45831</v>
      </c>
      <c r="B1889" t="n">
        <v>2025</v>
      </c>
      <c r="C1889" t="inlineStr">
        <is>
          <t>June</t>
        </is>
      </c>
      <c r="D1889" t="inlineStr">
        <is>
          <t>Smart Charger</t>
        </is>
      </c>
      <c r="E1889" t="inlineStr">
        <is>
          <t>Electronics</t>
        </is>
      </c>
      <c r="F1889" t="inlineStr">
        <is>
          <t>Robert Moreau</t>
        </is>
      </c>
      <c r="G1889" t="inlineStr">
        <is>
          <t>Spain</t>
        </is>
      </c>
      <c r="H1889" t="inlineStr">
        <is>
          <t>Mobile App</t>
        </is>
      </c>
      <c r="I1889" t="n">
        <v>4</v>
      </c>
      <c r="J1889" s="3" t="n">
        <v>163.32</v>
      </c>
      <c r="K1889" s="3" t="n">
        <v>16.33</v>
      </c>
      <c r="L1889" s="3" t="n">
        <v>146.99</v>
      </c>
      <c r="M1889" s="3" t="n">
        <v>110.56</v>
      </c>
      <c r="N1889" s="3" t="n">
        <v>36.43</v>
      </c>
      <c r="O1889">
        <f>TEXT(A1889,"yyyy-mm")</f>
        <v/>
      </c>
    </row>
    <row r="1890">
      <c r="A1890" s="2" t="n">
        <v>45831</v>
      </c>
      <c r="B1890" t="n">
        <v>2025</v>
      </c>
      <c r="C1890" t="inlineStr">
        <is>
          <t>June</t>
        </is>
      </c>
      <c r="D1890" t="inlineStr">
        <is>
          <t>Essential Pasta</t>
        </is>
      </c>
      <c r="E1890" t="inlineStr">
        <is>
          <t>Grocery</t>
        </is>
      </c>
      <c r="F1890" t="inlineStr">
        <is>
          <t>Robert Moreau</t>
        </is>
      </c>
      <c r="G1890" t="inlineStr">
        <is>
          <t>Spain</t>
        </is>
      </c>
      <c r="H1890" t="inlineStr">
        <is>
          <t>Mobile App</t>
        </is>
      </c>
      <c r="I1890" t="n">
        <v>3</v>
      </c>
      <c r="J1890" s="3" t="n">
        <v>172.92</v>
      </c>
      <c r="K1890" s="3" t="n">
        <v>17.29</v>
      </c>
      <c r="L1890" s="3" t="n">
        <v>155.63</v>
      </c>
      <c r="M1890" s="3" t="n">
        <v>107.43</v>
      </c>
      <c r="N1890" s="3" t="n">
        <v>48.2</v>
      </c>
      <c r="O1890">
        <f>TEXT(A1890,"yyyy-mm")</f>
        <v/>
      </c>
    </row>
    <row r="1891">
      <c r="A1891" s="2" t="n">
        <v>45831</v>
      </c>
      <c r="B1891" t="n">
        <v>2025</v>
      </c>
      <c r="C1891" t="inlineStr">
        <is>
          <t>June</t>
        </is>
      </c>
      <c r="D1891" t="inlineStr">
        <is>
          <t>Smart Jeans</t>
        </is>
      </c>
      <c r="E1891" t="inlineStr">
        <is>
          <t>Clothing</t>
        </is>
      </c>
      <c r="F1891" t="inlineStr">
        <is>
          <t>Robert Moreau</t>
        </is>
      </c>
      <c r="G1891" t="inlineStr">
        <is>
          <t>Spain</t>
        </is>
      </c>
      <c r="H1891" t="inlineStr">
        <is>
          <t>Mobile App</t>
        </is>
      </c>
      <c r="I1891" t="n">
        <v>4</v>
      </c>
      <c r="J1891" s="3" t="n">
        <v>1196.96</v>
      </c>
      <c r="K1891" s="3" t="n">
        <v>119.7</v>
      </c>
      <c r="L1891" s="3" t="n">
        <v>1077.26</v>
      </c>
      <c r="M1891" s="3" t="n">
        <v>774.5599999999999</v>
      </c>
      <c r="N1891" s="3" t="n">
        <v>302.7</v>
      </c>
      <c r="O1891">
        <f>TEXT(A1891,"yyyy-mm")</f>
        <v/>
      </c>
    </row>
    <row r="1892">
      <c r="A1892" s="2" t="n">
        <v>45831</v>
      </c>
      <c r="B1892" t="n">
        <v>2025</v>
      </c>
      <c r="C1892" t="inlineStr">
        <is>
          <t>June</t>
        </is>
      </c>
      <c r="D1892" t="inlineStr">
        <is>
          <t>Smart Cookbook</t>
        </is>
      </c>
      <c r="E1892" t="inlineStr">
        <is>
          <t>Books</t>
        </is>
      </c>
      <c r="F1892" t="inlineStr">
        <is>
          <t>Robert Moreau</t>
        </is>
      </c>
      <c r="G1892" t="inlineStr">
        <is>
          <t>Spain</t>
        </is>
      </c>
      <c r="H1892" t="inlineStr">
        <is>
          <t>Mobile App</t>
        </is>
      </c>
      <c r="I1892" t="n">
        <v>5</v>
      </c>
      <c r="J1892" s="3" t="n">
        <v>92.5</v>
      </c>
      <c r="K1892" s="3" t="n">
        <v>9.25</v>
      </c>
      <c r="L1892" s="3" t="n">
        <v>83.25</v>
      </c>
      <c r="M1892" s="3" t="n">
        <v>49.4</v>
      </c>
      <c r="N1892" s="3" t="n">
        <v>33.85</v>
      </c>
      <c r="O1892">
        <f>TEXT(A1892,"yyyy-mm")</f>
        <v/>
      </c>
    </row>
    <row r="1893">
      <c r="A1893" s="2" t="n">
        <v>45832</v>
      </c>
      <c r="B1893" t="n">
        <v>2025</v>
      </c>
      <c r="C1893" t="inlineStr">
        <is>
          <t>June</t>
        </is>
      </c>
      <c r="D1893" t="inlineStr">
        <is>
          <t>Smart Puzzle</t>
        </is>
      </c>
      <c r="E1893" t="inlineStr">
        <is>
          <t>Toys &amp; Games</t>
        </is>
      </c>
      <c r="F1893" t="inlineStr">
        <is>
          <t>Maria Smith</t>
        </is>
      </c>
      <c r="G1893" t="inlineStr">
        <is>
          <t>Poland</t>
        </is>
      </c>
      <c r="H1893" t="inlineStr">
        <is>
          <t>Retail Store</t>
        </is>
      </c>
      <c r="I1893" t="n">
        <v>1</v>
      </c>
      <c r="J1893" s="3" t="n">
        <v>43.94</v>
      </c>
      <c r="K1893" s="3" t="n">
        <v>6.59</v>
      </c>
      <c r="L1893" s="3" t="n">
        <v>37.35</v>
      </c>
      <c r="M1893" s="3" t="n">
        <v>24.44</v>
      </c>
      <c r="N1893" s="3" t="n">
        <v>12.91</v>
      </c>
      <c r="O1893">
        <f>TEXT(A1893,"yyyy-mm")</f>
        <v/>
      </c>
    </row>
    <row r="1894">
      <c r="A1894" s="2" t="n">
        <v>45832</v>
      </c>
      <c r="B1894" t="n">
        <v>2025</v>
      </c>
      <c r="C1894" t="inlineStr">
        <is>
          <t>June</t>
        </is>
      </c>
      <c r="D1894" t="inlineStr">
        <is>
          <t>Ultra Toolset</t>
        </is>
      </c>
      <c r="E1894" t="inlineStr">
        <is>
          <t>Home &amp; Garden</t>
        </is>
      </c>
      <c r="F1894" t="inlineStr">
        <is>
          <t>Maria Smith</t>
        </is>
      </c>
      <c r="G1894" t="inlineStr">
        <is>
          <t>Poland</t>
        </is>
      </c>
      <c r="H1894" t="inlineStr">
        <is>
          <t>Retail Store</t>
        </is>
      </c>
      <c r="I1894" t="n">
        <v>5</v>
      </c>
      <c r="J1894" s="3" t="n">
        <v>1800.8</v>
      </c>
      <c r="K1894" s="3" t="n">
        <v>0</v>
      </c>
      <c r="L1894" s="3" t="n">
        <v>1800.8</v>
      </c>
      <c r="M1894" s="3" t="n">
        <v>952</v>
      </c>
      <c r="N1894" s="3" t="n">
        <v>848.8</v>
      </c>
      <c r="O1894">
        <f>TEXT(A1894,"yyyy-mm")</f>
        <v/>
      </c>
    </row>
    <row r="1895">
      <c r="A1895" s="2" t="n">
        <v>45832</v>
      </c>
      <c r="B1895" t="n">
        <v>2025</v>
      </c>
      <c r="C1895" t="inlineStr">
        <is>
          <t>June</t>
        </is>
      </c>
      <c r="D1895" t="inlineStr">
        <is>
          <t>Wireless Coffee Beans</t>
        </is>
      </c>
      <c r="E1895" t="inlineStr">
        <is>
          <t>Grocery</t>
        </is>
      </c>
      <c r="F1895" t="inlineStr">
        <is>
          <t>Thomas Wojcik</t>
        </is>
      </c>
      <c r="G1895" t="inlineStr">
        <is>
          <t>Spain</t>
        </is>
      </c>
      <c r="H1895" t="inlineStr">
        <is>
          <t>Mobile App</t>
        </is>
      </c>
      <c r="I1895" t="n">
        <v>3</v>
      </c>
      <c r="J1895" s="3" t="n">
        <v>624.12</v>
      </c>
      <c r="K1895" s="3" t="n">
        <v>0</v>
      </c>
      <c r="L1895" s="3" t="n">
        <v>624.12</v>
      </c>
      <c r="M1895" s="3" t="n">
        <v>390.39</v>
      </c>
      <c r="N1895" s="3" t="n">
        <v>233.73</v>
      </c>
      <c r="O1895">
        <f>TEXT(A1895,"yyyy-mm")</f>
        <v/>
      </c>
    </row>
    <row r="1896">
      <c r="A1896" s="2" t="n">
        <v>45832</v>
      </c>
      <c r="B1896" t="n">
        <v>2025</v>
      </c>
      <c r="C1896" t="inlineStr">
        <is>
          <t>June</t>
        </is>
      </c>
      <c r="D1896" t="inlineStr">
        <is>
          <t>Essential Vitamins</t>
        </is>
      </c>
      <c r="E1896" t="inlineStr">
        <is>
          <t>Beauty &amp; Health</t>
        </is>
      </c>
      <c r="F1896" t="inlineStr">
        <is>
          <t>Thomas Wojcik</t>
        </is>
      </c>
      <c r="G1896" t="inlineStr">
        <is>
          <t>Spain</t>
        </is>
      </c>
      <c r="H1896" t="inlineStr">
        <is>
          <t>Mobile App</t>
        </is>
      </c>
      <c r="I1896" t="n">
        <v>5</v>
      </c>
      <c r="J1896" s="3" t="n">
        <v>891</v>
      </c>
      <c r="K1896" s="3" t="n">
        <v>178.2</v>
      </c>
      <c r="L1896" s="3" t="n">
        <v>712.8</v>
      </c>
      <c r="M1896" s="3" t="n">
        <v>551.5</v>
      </c>
      <c r="N1896" s="3" t="n">
        <v>161.3</v>
      </c>
      <c r="O1896">
        <f>TEXT(A1896,"yyyy-mm")</f>
        <v/>
      </c>
    </row>
    <row r="1897">
      <c r="A1897" s="2" t="n">
        <v>45832</v>
      </c>
      <c r="B1897" t="n">
        <v>2025</v>
      </c>
      <c r="C1897" t="inlineStr">
        <is>
          <t>June</t>
        </is>
      </c>
      <c r="D1897" t="inlineStr">
        <is>
          <t>Wireless Honey</t>
        </is>
      </c>
      <c r="E1897" t="inlineStr">
        <is>
          <t>Grocery</t>
        </is>
      </c>
      <c r="F1897" t="inlineStr">
        <is>
          <t>Thomas Wojcik</t>
        </is>
      </c>
      <c r="G1897" t="inlineStr">
        <is>
          <t>Spain</t>
        </is>
      </c>
      <c r="H1897" t="inlineStr">
        <is>
          <t>Mobile App</t>
        </is>
      </c>
      <c r="I1897" t="n">
        <v>2</v>
      </c>
      <c r="J1897" s="3" t="n">
        <v>248.56</v>
      </c>
      <c r="K1897" s="3" t="n">
        <v>0</v>
      </c>
      <c r="L1897" s="3" t="n">
        <v>248.56</v>
      </c>
      <c r="M1897" s="3" t="n">
        <v>188.14</v>
      </c>
      <c r="N1897" s="3" t="n">
        <v>60.42</v>
      </c>
      <c r="O1897">
        <f>TEXT(A1897,"yyyy-mm")</f>
        <v/>
      </c>
    </row>
    <row r="1898">
      <c r="A1898" s="2" t="n">
        <v>45832</v>
      </c>
      <c r="B1898" t="n">
        <v>2025</v>
      </c>
      <c r="C1898" t="inlineStr">
        <is>
          <t>June</t>
        </is>
      </c>
      <c r="D1898" t="inlineStr">
        <is>
          <t>Classic Atlas</t>
        </is>
      </c>
      <c r="E1898" t="inlineStr">
        <is>
          <t>Books</t>
        </is>
      </c>
      <c r="F1898" t="inlineStr">
        <is>
          <t>Robert Fischer</t>
        </is>
      </c>
      <c r="G1898" t="inlineStr">
        <is>
          <t>Poland</t>
        </is>
      </c>
      <c r="H1898" t="inlineStr">
        <is>
          <t>Web Store</t>
        </is>
      </c>
      <c r="I1898" t="n">
        <v>3</v>
      </c>
      <c r="J1898" s="3" t="n">
        <v>177.72</v>
      </c>
      <c r="K1898" s="3" t="n">
        <v>0</v>
      </c>
      <c r="L1898" s="3" t="n">
        <v>177.72</v>
      </c>
      <c r="M1898" s="3" t="n">
        <v>103.77</v>
      </c>
      <c r="N1898" s="3" t="n">
        <v>73.95</v>
      </c>
      <c r="O1898">
        <f>TEXT(A1898,"yyyy-mm")</f>
        <v/>
      </c>
    </row>
    <row r="1899">
      <c r="A1899" s="2" t="n">
        <v>45833</v>
      </c>
      <c r="B1899" t="n">
        <v>2025</v>
      </c>
      <c r="C1899" t="inlineStr">
        <is>
          <t>June</t>
        </is>
      </c>
      <c r="D1899" t="inlineStr">
        <is>
          <t>Essential Lamp</t>
        </is>
      </c>
      <c r="E1899" t="inlineStr">
        <is>
          <t>Home &amp; Garden</t>
        </is>
      </c>
      <c r="F1899" t="inlineStr">
        <is>
          <t>Mark Brown</t>
        </is>
      </c>
      <c r="G1899" t="inlineStr">
        <is>
          <t>France</t>
        </is>
      </c>
      <c r="H1899" t="inlineStr">
        <is>
          <t>Retail Store</t>
        </is>
      </c>
      <c r="I1899" t="n">
        <v>4</v>
      </c>
      <c r="J1899" s="3" t="n">
        <v>267.48</v>
      </c>
      <c r="K1899" s="3" t="n">
        <v>13.37</v>
      </c>
      <c r="L1899" s="3" t="n">
        <v>254.11</v>
      </c>
      <c r="M1899" s="3" t="n">
        <v>181.6</v>
      </c>
      <c r="N1899" s="3" t="n">
        <v>72.51000000000001</v>
      </c>
      <c r="O1899">
        <f>TEXT(A1899,"yyyy-mm")</f>
        <v/>
      </c>
    </row>
    <row r="1900">
      <c r="A1900" s="2" t="n">
        <v>45833</v>
      </c>
      <c r="B1900" t="n">
        <v>2025</v>
      </c>
      <c r="C1900" t="inlineStr">
        <is>
          <t>June</t>
        </is>
      </c>
      <c r="D1900" t="inlineStr">
        <is>
          <t>Portable Tea Set</t>
        </is>
      </c>
      <c r="E1900" t="inlineStr">
        <is>
          <t>Grocery</t>
        </is>
      </c>
      <c r="F1900" t="inlineStr">
        <is>
          <t>Mark Brown</t>
        </is>
      </c>
      <c r="G1900" t="inlineStr">
        <is>
          <t>France</t>
        </is>
      </c>
      <c r="H1900" t="inlineStr">
        <is>
          <t>Retail Store</t>
        </is>
      </c>
      <c r="I1900" t="n">
        <v>2</v>
      </c>
      <c r="J1900" s="3" t="n">
        <v>572.84</v>
      </c>
      <c r="K1900" s="3" t="n">
        <v>0</v>
      </c>
      <c r="L1900" s="3" t="n">
        <v>572.84</v>
      </c>
      <c r="M1900" s="3" t="n">
        <v>376.24</v>
      </c>
      <c r="N1900" s="3" t="n">
        <v>196.6</v>
      </c>
      <c r="O1900">
        <f>TEXT(A1900,"yyyy-mm")</f>
        <v/>
      </c>
    </row>
    <row r="1901">
      <c r="A1901" s="2" t="n">
        <v>45833</v>
      </c>
      <c r="B1901" t="n">
        <v>2025</v>
      </c>
      <c r="C1901" t="inlineStr">
        <is>
          <t>June</t>
        </is>
      </c>
      <c r="D1901" t="inlineStr">
        <is>
          <t>Premium Water Bottle</t>
        </is>
      </c>
      <c r="E1901" t="inlineStr">
        <is>
          <t>Sports &amp; Outdoors</t>
        </is>
      </c>
      <c r="F1901" t="inlineStr">
        <is>
          <t>Mark Brown</t>
        </is>
      </c>
      <c r="G1901" t="inlineStr">
        <is>
          <t>France</t>
        </is>
      </c>
      <c r="H1901" t="inlineStr">
        <is>
          <t>Retail Store</t>
        </is>
      </c>
      <c r="I1901" t="n">
        <v>2</v>
      </c>
      <c r="J1901" s="3" t="n">
        <v>239.38</v>
      </c>
      <c r="K1901" s="3" t="n">
        <v>47.88</v>
      </c>
      <c r="L1901" s="3" t="n">
        <v>191.5</v>
      </c>
      <c r="M1901" s="3" t="n">
        <v>179.24</v>
      </c>
      <c r="N1901" s="3" t="n">
        <v>12.26</v>
      </c>
      <c r="O1901">
        <f>TEXT(A1901,"yyyy-mm")</f>
        <v/>
      </c>
    </row>
    <row r="1902">
      <c r="A1902" s="2" t="n">
        <v>45833</v>
      </c>
      <c r="B1902" t="n">
        <v>2025</v>
      </c>
      <c r="C1902" t="inlineStr">
        <is>
          <t>June</t>
        </is>
      </c>
      <c r="D1902" t="inlineStr">
        <is>
          <t>Portable Toolset</t>
        </is>
      </c>
      <c r="E1902" t="inlineStr">
        <is>
          <t>Home &amp; Garden</t>
        </is>
      </c>
      <c r="F1902" t="inlineStr">
        <is>
          <t>Maria Garcia</t>
        </is>
      </c>
      <c r="G1902" t="inlineStr">
        <is>
          <t>United Kingdom</t>
        </is>
      </c>
      <c r="H1902" t="inlineStr">
        <is>
          <t>Marketplace</t>
        </is>
      </c>
      <c r="I1902" t="n">
        <v>2</v>
      </c>
      <c r="J1902" s="3" t="n">
        <v>285.24</v>
      </c>
      <c r="K1902" s="3" t="n">
        <v>14.26</v>
      </c>
      <c r="L1902" s="3" t="n">
        <v>270.98</v>
      </c>
      <c r="M1902" s="3" t="n">
        <v>185.7</v>
      </c>
      <c r="N1902" s="3" t="n">
        <v>85.28</v>
      </c>
      <c r="O1902">
        <f>TEXT(A1902,"yyyy-mm")</f>
        <v/>
      </c>
    </row>
    <row r="1903">
      <c r="A1903" s="2" t="n">
        <v>45833</v>
      </c>
      <c r="B1903" t="n">
        <v>2025</v>
      </c>
      <c r="C1903" t="inlineStr">
        <is>
          <t>June</t>
        </is>
      </c>
      <c r="D1903" t="inlineStr">
        <is>
          <t>Smart Coffee Beans</t>
        </is>
      </c>
      <c r="E1903" t="inlineStr">
        <is>
          <t>Grocery</t>
        </is>
      </c>
      <c r="F1903" t="inlineStr">
        <is>
          <t>Maria Garcia</t>
        </is>
      </c>
      <c r="G1903" t="inlineStr">
        <is>
          <t>United Kingdom</t>
        </is>
      </c>
      <c r="H1903" t="inlineStr">
        <is>
          <t>Marketplace</t>
        </is>
      </c>
      <c r="I1903" t="n">
        <v>5</v>
      </c>
      <c r="J1903" s="3" t="n">
        <v>553.95</v>
      </c>
      <c r="K1903" s="3" t="n">
        <v>0</v>
      </c>
      <c r="L1903" s="3" t="n">
        <v>553.95</v>
      </c>
      <c r="M1903" s="3" t="n">
        <v>364.25</v>
      </c>
      <c r="N1903" s="3" t="n">
        <v>189.7</v>
      </c>
      <c r="O1903">
        <f>TEXT(A1903,"yyyy-mm")</f>
        <v/>
      </c>
    </row>
    <row r="1904">
      <c r="A1904" s="2" t="n">
        <v>45833</v>
      </c>
      <c r="B1904" t="n">
        <v>2025</v>
      </c>
      <c r="C1904" t="inlineStr">
        <is>
          <t>June</t>
        </is>
      </c>
      <c r="D1904" t="inlineStr">
        <is>
          <t>Eco Tent</t>
        </is>
      </c>
      <c r="E1904" t="inlineStr">
        <is>
          <t>Sports &amp; Outdoors</t>
        </is>
      </c>
      <c r="F1904" t="inlineStr">
        <is>
          <t>Maria Garcia</t>
        </is>
      </c>
      <c r="G1904" t="inlineStr">
        <is>
          <t>United Kingdom</t>
        </is>
      </c>
      <c r="H1904" t="inlineStr">
        <is>
          <t>Marketplace</t>
        </is>
      </c>
      <c r="I1904" t="n">
        <v>2</v>
      </c>
      <c r="J1904" s="3" t="n">
        <v>140.08</v>
      </c>
      <c r="K1904" s="3" t="n">
        <v>0</v>
      </c>
      <c r="L1904" s="3" t="n">
        <v>140.08</v>
      </c>
      <c r="M1904" s="3" t="n">
        <v>87.7</v>
      </c>
      <c r="N1904" s="3" t="n">
        <v>52.38</v>
      </c>
      <c r="O1904">
        <f>TEXT(A1904,"yyyy-mm")</f>
        <v/>
      </c>
    </row>
    <row r="1905">
      <c r="A1905" s="2" t="n">
        <v>45833</v>
      </c>
      <c r="B1905" t="n">
        <v>2025</v>
      </c>
      <c r="C1905" t="inlineStr">
        <is>
          <t>June</t>
        </is>
      </c>
      <c r="D1905" t="inlineStr">
        <is>
          <t>Smart Camera</t>
        </is>
      </c>
      <c r="E1905" t="inlineStr">
        <is>
          <t>Electronics</t>
        </is>
      </c>
      <c r="F1905" t="inlineStr">
        <is>
          <t>Maria Garcia</t>
        </is>
      </c>
      <c r="G1905" t="inlineStr">
        <is>
          <t>United Kingdom</t>
        </is>
      </c>
      <c r="H1905" t="inlineStr">
        <is>
          <t>Marketplace</t>
        </is>
      </c>
      <c r="I1905" t="n">
        <v>1</v>
      </c>
      <c r="J1905" s="3" t="n">
        <v>122.56</v>
      </c>
      <c r="K1905" s="3" t="n">
        <v>12.26</v>
      </c>
      <c r="L1905" s="3" t="n">
        <v>110.3</v>
      </c>
      <c r="M1905" s="3" t="n">
        <v>85.58</v>
      </c>
      <c r="N1905" s="3" t="n">
        <v>24.72</v>
      </c>
      <c r="O1905">
        <f>TEXT(A1905,"yyyy-mm")</f>
        <v/>
      </c>
    </row>
    <row r="1906">
      <c r="A1906" s="2" t="n">
        <v>45833</v>
      </c>
      <c r="B1906" t="n">
        <v>2025</v>
      </c>
      <c r="C1906" t="inlineStr">
        <is>
          <t>June</t>
        </is>
      </c>
      <c r="D1906" t="inlineStr">
        <is>
          <t>Compact Biography</t>
        </is>
      </c>
      <c r="E1906" t="inlineStr">
        <is>
          <t>Books</t>
        </is>
      </c>
      <c r="F1906" t="inlineStr">
        <is>
          <t>Paul Muller</t>
        </is>
      </c>
      <c r="G1906" t="inlineStr">
        <is>
          <t>United States</t>
        </is>
      </c>
      <c r="H1906" t="inlineStr">
        <is>
          <t>Mobile App</t>
        </is>
      </c>
      <c r="I1906" t="n">
        <v>3</v>
      </c>
      <c r="J1906" s="3" t="n">
        <v>745.29</v>
      </c>
      <c r="K1906" s="3" t="n">
        <v>37.26</v>
      </c>
      <c r="L1906" s="3" t="n">
        <v>708.03</v>
      </c>
      <c r="M1906" s="3" t="n">
        <v>420.99</v>
      </c>
      <c r="N1906" s="3" t="n">
        <v>287.04</v>
      </c>
      <c r="O1906">
        <f>TEXT(A1906,"yyyy-mm")</f>
        <v/>
      </c>
    </row>
    <row r="1907">
      <c r="A1907" s="2" t="n">
        <v>45833</v>
      </c>
      <c r="B1907" t="n">
        <v>2025</v>
      </c>
      <c r="C1907" t="inlineStr">
        <is>
          <t>June</t>
        </is>
      </c>
      <c r="D1907" t="inlineStr">
        <is>
          <t>Essential Charger</t>
        </is>
      </c>
      <c r="E1907" t="inlineStr">
        <is>
          <t>Electronics</t>
        </is>
      </c>
      <c r="F1907" t="inlineStr">
        <is>
          <t>Paul Muller</t>
        </is>
      </c>
      <c r="G1907" t="inlineStr">
        <is>
          <t>United States</t>
        </is>
      </c>
      <c r="H1907" t="inlineStr">
        <is>
          <t>Mobile App</t>
        </is>
      </c>
      <c r="I1907" t="n">
        <v>4</v>
      </c>
      <c r="J1907" s="3" t="n">
        <v>176.24</v>
      </c>
      <c r="K1907" s="3" t="n">
        <v>35.25</v>
      </c>
      <c r="L1907" s="3" t="n">
        <v>140.99</v>
      </c>
      <c r="M1907" s="3" t="n">
        <v>116.4</v>
      </c>
      <c r="N1907" s="3" t="n">
        <v>24.59</v>
      </c>
      <c r="O1907">
        <f>TEXT(A1907,"yyyy-mm")</f>
        <v/>
      </c>
    </row>
    <row r="1908">
      <c r="A1908" s="2" t="n">
        <v>45833</v>
      </c>
      <c r="B1908" t="n">
        <v>2025</v>
      </c>
      <c r="C1908" t="inlineStr">
        <is>
          <t>June</t>
        </is>
      </c>
      <c r="D1908" t="inlineStr">
        <is>
          <t>Premium Tent</t>
        </is>
      </c>
      <c r="E1908" t="inlineStr">
        <is>
          <t>Sports &amp; Outdoors</t>
        </is>
      </c>
      <c r="F1908" t="inlineStr">
        <is>
          <t>Mark Brown</t>
        </is>
      </c>
      <c r="G1908" t="inlineStr">
        <is>
          <t>France</t>
        </is>
      </c>
      <c r="H1908" t="inlineStr">
        <is>
          <t>Retail Store</t>
        </is>
      </c>
      <c r="I1908" t="n">
        <v>2</v>
      </c>
      <c r="J1908" s="3" t="n">
        <v>519.6</v>
      </c>
      <c r="K1908" s="3" t="n">
        <v>25.98</v>
      </c>
      <c r="L1908" s="3" t="n">
        <v>493.62</v>
      </c>
      <c r="M1908" s="3" t="n">
        <v>278.08</v>
      </c>
      <c r="N1908" s="3" t="n">
        <v>215.54</v>
      </c>
      <c r="O1908">
        <f>TEXT(A1908,"yyyy-mm")</f>
        <v/>
      </c>
    </row>
    <row r="1909">
      <c r="A1909" s="2" t="n">
        <v>45833</v>
      </c>
      <c r="B1909" t="n">
        <v>2025</v>
      </c>
      <c r="C1909" t="inlineStr">
        <is>
          <t>June</t>
        </is>
      </c>
      <c r="D1909" t="inlineStr">
        <is>
          <t>Smart Olive Oil</t>
        </is>
      </c>
      <c r="E1909" t="inlineStr">
        <is>
          <t>Grocery</t>
        </is>
      </c>
      <c r="F1909" t="inlineStr">
        <is>
          <t>Paul Muller</t>
        </is>
      </c>
      <c r="G1909" t="inlineStr">
        <is>
          <t>United States</t>
        </is>
      </c>
      <c r="H1909" t="inlineStr">
        <is>
          <t>Mobile App</t>
        </is>
      </c>
      <c r="I1909" t="n">
        <v>4</v>
      </c>
      <c r="J1909" s="3" t="n">
        <v>634.8</v>
      </c>
      <c r="K1909" s="3" t="n">
        <v>126.96</v>
      </c>
      <c r="L1909" s="3" t="n">
        <v>507.84</v>
      </c>
      <c r="M1909" s="3" t="n">
        <v>440.08</v>
      </c>
      <c r="N1909" s="3" t="n">
        <v>67.76000000000001</v>
      </c>
      <c r="O1909">
        <f>TEXT(A1909,"yyyy-mm")</f>
        <v/>
      </c>
    </row>
    <row r="1910">
      <c r="A1910" s="2" t="n">
        <v>45834</v>
      </c>
      <c r="B1910" t="n">
        <v>2025</v>
      </c>
      <c r="C1910" t="inlineStr">
        <is>
          <t>June</t>
        </is>
      </c>
      <c r="D1910" t="inlineStr">
        <is>
          <t>Portable Bike Helmet</t>
        </is>
      </c>
      <c r="E1910" t="inlineStr">
        <is>
          <t>Sports &amp; Outdoors</t>
        </is>
      </c>
      <c r="F1910" t="inlineStr">
        <is>
          <t>Thomas Muller</t>
        </is>
      </c>
      <c r="G1910" t="inlineStr">
        <is>
          <t>Germany</t>
        </is>
      </c>
      <c r="H1910" t="inlineStr">
        <is>
          <t>Web Store</t>
        </is>
      </c>
      <c r="I1910" t="n">
        <v>4</v>
      </c>
      <c r="J1910" s="3" t="n">
        <v>1280.96</v>
      </c>
      <c r="K1910" s="3" t="n">
        <v>0</v>
      </c>
      <c r="L1910" s="3" t="n">
        <v>1280.96</v>
      </c>
      <c r="M1910" s="3" t="n">
        <v>661.48</v>
      </c>
      <c r="N1910" s="3" t="n">
        <v>619.48</v>
      </c>
      <c r="O1910">
        <f>TEXT(A1910,"yyyy-mm")</f>
        <v/>
      </c>
    </row>
    <row r="1911">
      <c r="A1911" s="2" t="n">
        <v>45834</v>
      </c>
      <c r="B1911" t="n">
        <v>2025</v>
      </c>
      <c r="C1911" t="inlineStr">
        <is>
          <t>June</t>
        </is>
      </c>
      <c r="D1911" t="inlineStr">
        <is>
          <t>Portable Puzzle</t>
        </is>
      </c>
      <c r="E1911" t="inlineStr">
        <is>
          <t>Toys &amp; Games</t>
        </is>
      </c>
      <c r="F1911" t="inlineStr">
        <is>
          <t>Thomas Muller</t>
        </is>
      </c>
      <c r="G1911" t="inlineStr">
        <is>
          <t>Germany</t>
        </is>
      </c>
      <c r="H1911" t="inlineStr">
        <is>
          <t>Web Store</t>
        </is>
      </c>
      <c r="I1911" t="n">
        <v>3</v>
      </c>
      <c r="J1911" s="3" t="n">
        <v>348.27</v>
      </c>
      <c r="K1911" s="3" t="n">
        <v>17.41</v>
      </c>
      <c r="L1911" s="3" t="n">
        <v>330.86</v>
      </c>
      <c r="M1911" s="3" t="n">
        <v>176.4</v>
      </c>
      <c r="N1911" s="3" t="n">
        <v>154.46</v>
      </c>
      <c r="O1911">
        <f>TEXT(A1911,"yyyy-mm")</f>
        <v/>
      </c>
    </row>
    <row r="1912">
      <c r="A1912" s="2" t="n">
        <v>45834</v>
      </c>
      <c r="B1912" t="n">
        <v>2025</v>
      </c>
      <c r="C1912" t="inlineStr">
        <is>
          <t>June</t>
        </is>
      </c>
      <c r="D1912" t="inlineStr">
        <is>
          <t>Smart Cookbook</t>
        </is>
      </c>
      <c r="E1912" t="inlineStr">
        <is>
          <t>Books</t>
        </is>
      </c>
      <c r="F1912" t="inlineStr">
        <is>
          <t>Thomas Muller</t>
        </is>
      </c>
      <c r="G1912" t="inlineStr">
        <is>
          <t>Germany</t>
        </is>
      </c>
      <c r="H1912" t="inlineStr">
        <is>
          <t>Web Store</t>
        </is>
      </c>
      <c r="I1912" t="n">
        <v>3</v>
      </c>
      <c r="J1912" s="3" t="n">
        <v>55.62</v>
      </c>
      <c r="K1912" s="3" t="n">
        <v>0</v>
      </c>
      <c r="L1912" s="3" t="n">
        <v>55.62</v>
      </c>
      <c r="M1912" s="3" t="n">
        <v>29.64</v>
      </c>
      <c r="N1912" s="3" t="n">
        <v>25.98</v>
      </c>
      <c r="O1912">
        <f>TEXT(A1912,"yyyy-mm")</f>
        <v/>
      </c>
    </row>
    <row r="1913">
      <c r="A1913" s="2" t="n">
        <v>45834</v>
      </c>
      <c r="B1913" t="n">
        <v>2025</v>
      </c>
      <c r="C1913" t="inlineStr">
        <is>
          <t>June</t>
        </is>
      </c>
      <c r="D1913" t="inlineStr">
        <is>
          <t>Premium Water Bottle</t>
        </is>
      </c>
      <c r="E1913" t="inlineStr">
        <is>
          <t>Sports &amp; Outdoors</t>
        </is>
      </c>
      <c r="F1913" t="inlineStr">
        <is>
          <t>Thomas Muller</t>
        </is>
      </c>
      <c r="G1913" t="inlineStr">
        <is>
          <t>Germany</t>
        </is>
      </c>
      <c r="H1913" t="inlineStr">
        <is>
          <t>Web Store</t>
        </is>
      </c>
      <c r="I1913" t="n">
        <v>4</v>
      </c>
      <c r="J1913" s="3" t="n">
        <v>463.76</v>
      </c>
      <c r="K1913" s="3" t="n">
        <v>0</v>
      </c>
      <c r="L1913" s="3" t="n">
        <v>463.76</v>
      </c>
      <c r="M1913" s="3" t="n">
        <v>358.48</v>
      </c>
      <c r="N1913" s="3" t="n">
        <v>105.28</v>
      </c>
      <c r="O1913">
        <f>TEXT(A1913,"yyyy-mm")</f>
        <v/>
      </c>
    </row>
    <row r="1914">
      <c r="A1914" s="2" t="n">
        <v>45834</v>
      </c>
      <c r="B1914" t="n">
        <v>2025</v>
      </c>
      <c r="C1914" t="inlineStr">
        <is>
          <t>June</t>
        </is>
      </c>
      <c r="D1914" t="inlineStr">
        <is>
          <t>Classic Yoga Mat</t>
        </is>
      </c>
      <c r="E1914" t="inlineStr">
        <is>
          <t>Sports &amp; Outdoors</t>
        </is>
      </c>
      <c r="F1914" t="inlineStr">
        <is>
          <t>Laura Rossi</t>
        </is>
      </c>
      <c r="G1914" t="inlineStr">
        <is>
          <t>United States</t>
        </is>
      </c>
      <c r="H1914" t="inlineStr">
        <is>
          <t>Mobile App</t>
        </is>
      </c>
      <c r="I1914" t="n">
        <v>1</v>
      </c>
      <c r="J1914" s="3" t="n">
        <v>321.72</v>
      </c>
      <c r="K1914" s="3" t="n">
        <v>16.09</v>
      </c>
      <c r="L1914" s="3" t="n">
        <v>305.63</v>
      </c>
      <c r="M1914" s="3" t="n">
        <v>195.7</v>
      </c>
      <c r="N1914" s="3" t="n">
        <v>109.93</v>
      </c>
      <c r="O1914">
        <f>TEXT(A1914,"yyyy-mm")</f>
        <v/>
      </c>
    </row>
    <row r="1915">
      <c r="A1915" s="2" t="n">
        <v>45834</v>
      </c>
      <c r="B1915" t="n">
        <v>2025</v>
      </c>
      <c r="C1915" t="inlineStr">
        <is>
          <t>June</t>
        </is>
      </c>
      <c r="D1915" t="inlineStr">
        <is>
          <t>Deluxe Smartwatch</t>
        </is>
      </c>
      <c r="E1915" t="inlineStr">
        <is>
          <t>Electronics</t>
        </is>
      </c>
      <c r="F1915" t="inlineStr">
        <is>
          <t>Laura Rossi</t>
        </is>
      </c>
      <c r="G1915" t="inlineStr">
        <is>
          <t>United States</t>
        </is>
      </c>
      <c r="H1915" t="inlineStr">
        <is>
          <t>Mobile App</t>
        </is>
      </c>
      <c r="I1915" t="n">
        <v>2</v>
      </c>
      <c r="J1915" s="3" t="n">
        <v>306.92</v>
      </c>
      <c r="K1915" s="3" t="n">
        <v>61.38</v>
      </c>
      <c r="L1915" s="3" t="n">
        <v>245.54</v>
      </c>
      <c r="M1915" s="3" t="n">
        <v>245.44</v>
      </c>
      <c r="N1915" s="3" t="n">
        <v>0.1</v>
      </c>
      <c r="O1915">
        <f>TEXT(A1915,"yyyy-mm")</f>
        <v/>
      </c>
    </row>
    <row r="1916">
      <c r="A1916" s="2" t="n">
        <v>45834</v>
      </c>
      <c r="B1916" t="n">
        <v>2025</v>
      </c>
      <c r="C1916" t="inlineStr">
        <is>
          <t>June</t>
        </is>
      </c>
      <c r="D1916" t="inlineStr">
        <is>
          <t>Deluxe Cookbook</t>
        </is>
      </c>
      <c r="E1916" t="inlineStr">
        <is>
          <t>Books</t>
        </is>
      </c>
      <c r="F1916" t="inlineStr">
        <is>
          <t>Laura Rossi</t>
        </is>
      </c>
      <c r="G1916" t="inlineStr">
        <is>
          <t>United States</t>
        </is>
      </c>
      <c r="H1916" t="inlineStr">
        <is>
          <t>Mobile App</t>
        </is>
      </c>
      <c r="I1916" t="n">
        <v>2</v>
      </c>
      <c r="J1916" s="3" t="n">
        <v>279.82</v>
      </c>
      <c r="K1916" s="3" t="n">
        <v>0</v>
      </c>
      <c r="L1916" s="3" t="n">
        <v>279.82</v>
      </c>
      <c r="M1916" s="3" t="n">
        <v>170.54</v>
      </c>
      <c r="N1916" s="3" t="n">
        <v>109.28</v>
      </c>
      <c r="O1916">
        <f>TEXT(A1916,"yyyy-mm")</f>
        <v/>
      </c>
    </row>
    <row r="1917">
      <c r="A1917" s="2" t="n">
        <v>45834</v>
      </c>
      <c r="B1917" t="n">
        <v>2025</v>
      </c>
      <c r="C1917" t="inlineStr">
        <is>
          <t>June</t>
        </is>
      </c>
      <c r="D1917" t="inlineStr">
        <is>
          <t>Essential Jacket</t>
        </is>
      </c>
      <c r="E1917" t="inlineStr">
        <is>
          <t>Clothing</t>
        </is>
      </c>
      <c r="F1917" t="inlineStr">
        <is>
          <t>Daniel Rossi</t>
        </is>
      </c>
      <c r="G1917" t="inlineStr">
        <is>
          <t>Poland</t>
        </is>
      </c>
      <c r="H1917" t="inlineStr">
        <is>
          <t>Retail Store</t>
        </is>
      </c>
      <c r="I1917" t="n">
        <v>4</v>
      </c>
      <c r="J1917" s="3" t="n">
        <v>556.24</v>
      </c>
      <c r="K1917" s="3" t="n">
        <v>0</v>
      </c>
      <c r="L1917" s="3" t="n">
        <v>556.24</v>
      </c>
      <c r="M1917" s="3" t="n">
        <v>341.4</v>
      </c>
      <c r="N1917" s="3" t="n">
        <v>214.84</v>
      </c>
      <c r="O1917">
        <f>TEXT(A1917,"yyyy-mm")</f>
        <v/>
      </c>
    </row>
    <row r="1918">
      <c r="A1918" s="2" t="n">
        <v>45834</v>
      </c>
      <c r="B1918" t="n">
        <v>2025</v>
      </c>
      <c r="C1918" t="inlineStr">
        <is>
          <t>June</t>
        </is>
      </c>
      <c r="D1918" t="inlineStr">
        <is>
          <t>Smart Charger</t>
        </is>
      </c>
      <c r="E1918" t="inlineStr">
        <is>
          <t>Electronics</t>
        </is>
      </c>
      <c r="F1918" t="inlineStr">
        <is>
          <t>John Dubois</t>
        </is>
      </c>
      <c r="G1918" t="inlineStr">
        <is>
          <t>United Kingdom</t>
        </is>
      </c>
      <c r="H1918" t="inlineStr">
        <is>
          <t>Web Store</t>
        </is>
      </c>
      <c r="I1918" t="n">
        <v>2</v>
      </c>
      <c r="J1918" s="3" t="n">
        <v>82.12</v>
      </c>
      <c r="K1918" s="3" t="n">
        <v>16.42</v>
      </c>
      <c r="L1918" s="3" t="n">
        <v>65.7</v>
      </c>
      <c r="M1918" s="3" t="n">
        <v>55.28</v>
      </c>
      <c r="N1918" s="3" t="n">
        <v>10.42</v>
      </c>
      <c r="O1918">
        <f>TEXT(A1918,"yyyy-mm")</f>
        <v/>
      </c>
    </row>
    <row r="1919">
      <c r="A1919" s="2" t="n">
        <v>45834</v>
      </c>
      <c r="B1919" t="n">
        <v>2025</v>
      </c>
      <c r="C1919" t="inlineStr">
        <is>
          <t>June</t>
        </is>
      </c>
      <c r="D1919" t="inlineStr">
        <is>
          <t>Premium Water Bottle</t>
        </is>
      </c>
      <c r="E1919" t="inlineStr">
        <is>
          <t>Sports &amp; Outdoors</t>
        </is>
      </c>
      <c r="F1919" t="inlineStr">
        <is>
          <t>Thomas Schmidt</t>
        </is>
      </c>
      <c r="G1919" t="inlineStr">
        <is>
          <t>Germany</t>
        </is>
      </c>
      <c r="H1919" t="inlineStr">
        <is>
          <t>Retail Store</t>
        </is>
      </c>
      <c r="I1919" t="n">
        <v>1</v>
      </c>
      <c r="J1919" s="3" t="n">
        <v>28.8</v>
      </c>
      <c r="K1919" s="3" t="n">
        <v>5.76</v>
      </c>
      <c r="L1919" s="3" t="n">
        <v>23.04</v>
      </c>
      <c r="M1919" s="3" t="n">
        <v>16.63</v>
      </c>
      <c r="N1919" s="3" t="n">
        <v>6.41</v>
      </c>
      <c r="O1919">
        <f>TEXT(A1919,"yyyy-mm")</f>
        <v/>
      </c>
    </row>
    <row r="1920">
      <c r="A1920" s="2" t="n">
        <v>45834</v>
      </c>
      <c r="B1920" t="n">
        <v>2025</v>
      </c>
      <c r="C1920" t="inlineStr">
        <is>
          <t>June</t>
        </is>
      </c>
      <c r="D1920" t="inlineStr">
        <is>
          <t>Eco Tent</t>
        </is>
      </c>
      <c r="E1920" t="inlineStr">
        <is>
          <t>Sports &amp; Outdoors</t>
        </is>
      </c>
      <c r="F1920" t="inlineStr">
        <is>
          <t>Daniel Rossi</t>
        </is>
      </c>
      <c r="G1920" t="inlineStr">
        <is>
          <t>Poland</t>
        </is>
      </c>
      <c r="H1920" t="inlineStr">
        <is>
          <t>Retail Store</t>
        </is>
      </c>
      <c r="I1920" t="n">
        <v>2</v>
      </c>
      <c r="J1920" s="3" t="n">
        <v>137.02</v>
      </c>
      <c r="K1920" s="3" t="n">
        <v>6.85</v>
      </c>
      <c r="L1920" s="3" t="n">
        <v>130.17</v>
      </c>
      <c r="M1920" s="3" t="n">
        <v>87.7</v>
      </c>
      <c r="N1920" s="3" t="n">
        <v>42.47</v>
      </c>
      <c r="O1920">
        <f>TEXT(A1920,"yyyy-mm")</f>
        <v/>
      </c>
    </row>
    <row r="1921">
      <c r="A1921" s="2" t="n">
        <v>45834</v>
      </c>
      <c r="B1921" t="n">
        <v>2025</v>
      </c>
      <c r="C1921" t="inlineStr">
        <is>
          <t>June</t>
        </is>
      </c>
      <c r="D1921" t="inlineStr">
        <is>
          <t>Smart Face Cream</t>
        </is>
      </c>
      <c r="E1921" t="inlineStr">
        <is>
          <t>Beauty &amp; Health</t>
        </is>
      </c>
      <c r="F1921" t="inlineStr">
        <is>
          <t>John Dubois</t>
        </is>
      </c>
      <c r="G1921" t="inlineStr">
        <is>
          <t>United Kingdom</t>
        </is>
      </c>
      <c r="H1921" t="inlineStr">
        <is>
          <t>Web Store</t>
        </is>
      </c>
      <c r="I1921" t="n">
        <v>1</v>
      </c>
      <c r="J1921" s="3" t="n">
        <v>256.61</v>
      </c>
      <c r="K1921" s="3" t="n">
        <v>0</v>
      </c>
      <c r="L1921" s="3" t="n">
        <v>256.61</v>
      </c>
      <c r="M1921" s="3" t="n">
        <v>193.14</v>
      </c>
      <c r="N1921" s="3" t="n">
        <v>63.47</v>
      </c>
      <c r="O1921">
        <f>TEXT(A1921,"yyyy-mm")</f>
        <v/>
      </c>
    </row>
    <row r="1922">
      <c r="A1922" s="2" t="n">
        <v>45834</v>
      </c>
      <c r="B1922" t="n">
        <v>2025</v>
      </c>
      <c r="C1922" t="inlineStr">
        <is>
          <t>June</t>
        </is>
      </c>
      <c r="D1922" t="inlineStr">
        <is>
          <t>Premium Water Bottle</t>
        </is>
      </c>
      <c r="E1922" t="inlineStr">
        <is>
          <t>Sports &amp; Outdoors</t>
        </is>
      </c>
      <c r="F1922" t="inlineStr">
        <is>
          <t>Olivia Weber</t>
        </is>
      </c>
      <c r="G1922" t="inlineStr">
        <is>
          <t>Poland</t>
        </is>
      </c>
      <c r="H1922" t="inlineStr">
        <is>
          <t>Web Store</t>
        </is>
      </c>
      <c r="I1922" t="n">
        <v>1</v>
      </c>
      <c r="J1922" s="3" t="n">
        <v>126.08</v>
      </c>
      <c r="K1922" s="3" t="n">
        <v>0</v>
      </c>
      <c r="L1922" s="3" t="n">
        <v>126.08</v>
      </c>
      <c r="M1922" s="3" t="n">
        <v>89.62</v>
      </c>
      <c r="N1922" s="3" t="n">
        <v>36.46</v>
      </c>
      <c r="O1922">
        <f>TEXT(A1922,"yyyy-mm")</f>
        <v/>
      </c>
    </row>
    <row r="1923">
      <c r="A1923" s="2" t="n">
        <v>45834</v>
      </c>
      <c r="B1923" t="n">
        <v>2025</v>
      </c>
      <c r="C1923" t="inlineStr">
        <is>
          <t>June</t>
        </is>
      </c>
      <c r="D1923" t="inlineStr">
        <is>
          <t>Eco Biography</t>
        </is>
      </c>
      <c r="E1923" t="inlineStr">
        <is>
          <t>Books</t>
        </is>
      </c>
      <c r="F1923" t="inlineStr">
        <is>
          <t>Olivia Weber</t>
        </is>
      </c>
      <c r="G1923" t="inlineStr">
        <is>
          <t>Poland</t>
        </is>
      </c>
      <c r="H1923" t="inlineStr">
        <is>
          <t>Web Store</t>
        </is>
      </c>
      <c r="I1923" t="n">
        <v>5</v>
      </c>
      <c r="J1923" s="3" t="n">
        <v>600.3</v>
      </c>
      <c r="K1923" s="3" t="n">
        <v>30.02</v>
      </c>
      <c r="L1923" s="3" t="n">
        <v>570.28</v>
      </c>
      <c r="M1923" s="3" t="n">
        <v>355.1</v>
      </c>
      <c r="N1923" s="3" t="n">
        <v>215.18</v>
      </c>
      <c r="O1923">
        <f>TEXT(A1923,"yyyy-mm")</f>
        <v/>
      </c>
    </row>
    <row r="1924">
      <c r="A1924" s="2" t="n">
        <v>45834</v>
      </c>
      <c r="B1924" t="n">
        <v>2025</v>
      </c>
      <c r="C1924" t="inlineStr">
        <is>
          <t>June</t>
        </is>
      </c>
      <c r="D1924" t="inlineStr">
        <is>
          <t>Portable Puzzle</t>
        </is>
      </c>
      <c r="E1924" t="inlineStr">
        <is>
          <t>Toys &amp; Games</t>
        </is>
      </c>
      <c r="F1924" t="inlineStr">
        <is>
          <t>John Dubois</t>
        </is>
      </c>
      <c r="G1924" t="inlineStr">
        <is>
          <t>United Kingdom</t>
        </is>
      </c>
      <c r="H1924" t="inlineStr">
        <is>
          <t>Web Store</t>
        </is>
      </c>
      <c r="I1924" t="n">
        <v>3</v>
      </c>
      <c r="J1924" s="3" t="n">
        <v>902.91</v>
      </c>
      <c r="K1924" s="3" t="n">
        <v>135.44</v>
      </c>
      <c r="L1924" s="3" t="n">
        <v>767.47</v>
      </c>
      <c r="M1924" s="3" t="n">
        <v>520.98</v>
      </c>
      <c r="N1924" s="3" t="n">
        <v>246.49</v>
      </c>
      <c r="O1924">
        <f>TEXT(A1924,"yyyy-mm")</f>
        <v/>
      </c>
    </row>
    <row r="1925">
      <c r="A1925" s="2" t="n">
        <v>45834</v>
      </c>
      <c r="B1925" t="n">
        <v>2025</v>
      </c>
      <c r="C1925" t="inlineStr">
        <is>
          <t>June</t>
        </is>
      </c>
      <c r="D1925" t="inlineStr">
        <is>
          <t>Portable Toolset</t>
        </is>
      </c>
      <c r="E1925" t="inlineStr">
        <is>
          <t>Home &amp; Garden</t>
        </is>
      </c>
      <c r="F1925" t="inlineStr">
        <is>
          <t>Olivia Weber</t>
        </is>
      </c>
      <c r="G1925" t="inlineStr">
        <is>
          <t>Poland</t>
        </is>
      </c>
      <c r="H1925" t="inlineStr">
        <is>
          <t>Web Store</t>
        </is>
      </c>
      <c r="I1925" t="n">
        <v>4</v>
      </c>
      <c r="J1925" s="3" t="n">
        <v>340.04</v>
      </c>
      <c r="K1925" s="3" t="n">
        <v>0</v>
      </c>
      <c r="L1925" s="3" t="n">
        <v>340.04</v>
      </c>
      <c r="M1925" s="3" t="n">
        <v>202.16</v>
      </c>
      <c r="N1925" s="3" t="n">
        <v>137.88</v>
      </c>
      <c r="O1925">
        <f>TEXT(A1925,"yyyy-mm")</f>
        <v/>
      </c>
    </row>
    <row r="1926">
      <c r="A1926" s="2" t="n">
        <v>45835</v>
      </c>
      <c r="B1926" t="n">
        <v>2025</v>
      </c>
      <c r="C1926" t="inlineStr">
        <is>
          <t>June</t>
        </is>
      </c>
      <c r="D1926" t="inlineStr">
        <is>
          <t>Premium Water Bottle</t>
        </is>
      </c>
      <c r="E1926" t="inlineStr">
        <is>
          <t>Sports &amp; Outdoors</t>
        </is>
      </c>
      <c r="F1926" t="inlineStr">
        <is>
          <t>Daniel Wilson</t>
        </is>
      </c>
      <c r="G1926" t="inlineStr">
        <is>
          <t>France</t>
        </is>
      </c>
      <c r="H1926" t="inlineStr">
        <is>
          <t>Retail Store</t>
        </is>
      </c>
      <c r="I1926" t="n">
        <v>5</v>
      </c>
      <c r="J1926" s="3" t="n">
        <v>1453.1</v>
      </c>
      <c r="K1926" s="3" t="n">
        <v>145.31</v>
      </c>
      <c r="L1926" s="3" t="n">
        <v>1307.79</v>
      </c>
      <c r="M1926" s="3" t="n">
        <v>905.8</v>
      </c>
      <c r="N1926" s="3" t="n">
        <v>401.99</v>
      </c>
      <c r="O1926">
        <f>TEXT(A1926,"yyyy-mm")</f>
        <v/>
      </c>
    </row>
    <row r="1927">
      <c r="A1927" s="2" t="n">
        <v>45835</v>
      </c>
      <c r="B1927" t="n">
        <v>2025</v>
      </c>
      <c r="C1927" t="inlineStr">
        <is>
          <t>June</t>
        </is>
      </c>
      <c r="D1927" t="inlineStr">
        <is>
          <t>Ultra Toolset</t>
        </is>
      </c>
      <c r="E1927" t="inlineStr">
        <is>
          <t>Home &amp; Garden</t>
        </is>
      </c>
      <c r="F1927" t="inlineStr">
        <is>
          <t>David Nowak</t>
        </is>
      </c>
      <c r="G1927" t="inlineStr">
        <is>
          <t>United Kingdom</t>
        </is>
      </c>
      <c r="H1927" t="inlineStr">
        <is>
          <t>Web Store</t>
        </is>
      </c>
      <c r="I1927" t="n">
        <v>3</v>
      </c>
      <c r="J1927" s="3" t="n">
        <v>1085.34</v>
      </c>
      <c r="K1927" s="3" t="n">
        <v>162.8</v>
      </c>
      <c r="L1927" s="3" t="n">
        <v>922.54</v>
      </c>
      <c r="M1927" s="3" t="n">
        <v>571.2</v>
      </c>
      <c r="N1927" s="3" t="n">
        <v>351.34</v>
      </c>
      <c r="O1927">
        <f>TEXT(A1927,"yyyy-mm")</f>
        <v/>
      </c>
    </row>
    <row r="1928">
      <c r="A1928" s="2" t="n">
        <v>45835</v>
      </c>
      <c r="B1928" t="n">
        <v>2025</v>
      </c>
      <c r="C1928" t="inlineStr">
        <is>
          <t>June</t>
        </is>
      </c>
      <c r="D1928" t="inlineStr">
        <is>
          <t>Classic Coffee Beans</t>
        </is>
      </c>
      <c r="E1928" t="inlineStr">
        <is>
          <t>Grocery</t>
        </is>
      </c>
      <c r="F1928" t="inlineStr">
        <is>
          <t>David Nowak</t>
        </is>
      </c>
      <c r="G1928" t="inlineStr">
        <is>
          <t>United Kingdom</t>
        </is>
      </c>
      <c r="H1928" t="inlineStr">
        <is>
          <t>Web Store</t>
        </is>
      </c>
      <c r="I1928" t="n">
        <v>3</v>
      </c>
      <c r="J1928" s="3" t="n">
        <v>953.79</v>
      </c>
      <c r="K1928" s="3" t="n">
        <v>0</v>
      </c>
      <c r="L1928" s="3" t="n">
        <v>953.79</v>
      </c>
      <c r="M1928" s="3" t="n">
        <v>584.28</v>
      </c>
      <c r="N1928" s="3" t="n">
        <v>369.51</v>
      </c>
      <c r="O1928">
        <f>TEXT(A1928,"yyyy-mm")</f>
        <v/>
      </c>
    </row>
    <row r="1929">
      <c r="A1929" s="2" t="n">
        <v>45835</v>
      </c>
      <c r="B1929" t="n">
        <v>2025</v>
      </c>
      <c r="C1929" t="inlineStr">
        <is>
          <t>June</t>
        </is>
      </c>
      <c r="D1929" t="inlineStr">
        <is>
          <t>Classic Yoga Mat</t>
        </is>
      </c>
      <c r="E1929" t="inlineStr">
        <is>
          <t>Sports &amp; Outdoors</t>
        </is>
      </c>
      <c r="F1929" t="inlineStr">
        <is>
          <t>Robert Wojcik</t>
        </is>
      </c>
      <c r="G1929" t="inlineStr">
        <is>
          <t>Italy</t>
        </is>
      </c>
      <c r="H1929" t="inlineStr">
        <is>
          <t>Mobile App</t>
        </is>
      </c>
      <c r="I1929" t="n">
        <v>2</v>
      </c>
      <c r="J1929" s="3" t="n">
        <v>690.16</v>
      </c>
      <c r="K1929" s="3" t="n">
        <v>0</v>
      </c>
      <c r="L1929" s="3" t="n">
        <v>690.16</v>
      </c>
      <c r="M1929" s="3" t="n">
        <v>391.4</v>
      </c>
      <c r="N1929" s="3" t="n">
        <v>298.76</v>
      </c>
      <c r="O1929">
        <f>TEXT(A1929,"yyyy-mm")</f>
        <v/>
      </c>
    </row>
    <row r="1930">
      <c r="A1930" s="2" t="n">
        <v>45835</v>
      </c>
      <c r="B1930" t="n">
        <v>2025</v>
      </c>
      <c r="C1930" t="inlineStr">
        <is>
          <t>June</t>
        </is>
      </c>
      <c r="D1930" t="inlineStr">
        <is>
          <t>Classic Tent</t>
        </is>
      </c>
      <c r="E1930" t="inlineStr">
        <is>
          <t>Sports &amp; Outdoors</t>
        </is>
      </c>
      <c r="F1930" t="inlineStr">
        <is>
          <t>Robert Wojcik</t>
        </is>
      </c>
      <c r="G1930" t="inlineStr">
        <is>
          <t>Italy</t>
        </is>
      </c>
      <c r="H1930" t="inlineStr">
        <is>
          <t>Mobile App</t>
        </is>
      </c>
      <c r="I1930" t="n">
        <v>4</v>
      </c>
      <c r="J1930" s="3" t="n">
        <v>851.04</v>
      </c>
      <c r="K1930" s="3" t="n">
        <v>127.66</v>
      </c>
      <c r="L1930" s="3" t="n">
        <v>723.38</v>
      </c>
      <c r="M1930" s="3" t="n">
        <v>472.08</v>
      </c>
      <c r="N1930" s="3" t="n">
        <v>251.3</v>
      </c>
      <c r="O1930">
        <f>TEXT(A1930,"yyyy-mm")</f>
        <v/>
      </c>
    </row>
    <row r="1931">
      <c r="A1931" s="2" t="n">
        <v>45835</v>
      </c>
      <c r="B1931" t="n">
        <v>2025</v>
      </c>
      <c r="C1931" t="inlineStr">
        <is>
          <t>June</t>
        </is>
      </c>
      <c r="D1931" t="inlineStr">
        <is>
          <t>Deluxe Toothbrush</t>
        </is>
      </c>
      <c r="E1931" t="inlineStr">
        <is>
          <t>Beauty &amp; Health</t>
        </is>
      </c>
      <c r="F1931" t="inlineStr">
        <is>
          <t>Robert Wojcik</t>
        </is>
      </c>
      <c r="G1931" t="inlineStr">
        <is>
          <t>Italy</t>
        </is>
      </c>
      <c r="H1931" t="inlineStr">
        <is>
          <t>Mobile App</t>
        </is>
      </c>
      <c r="I1931" t="n">
        <v>5</v>
      </c>
      <c r="J1931" s="3" t="n">
        <v>1668</v>
      </c>
      <c r="K1931" s="3" t="n">
        <v>0</v>
      </c>
      <c r="L1931" s="3" t="n">
        <v>1668</v>
      </c>
      <c r="M1931" s="3" t="n">
        <v>872.85</v>
      </c>
      <c r="N1931" s="3" t="n">
        <v>795.15</v>
      </c>
      <c r="O1931">
        <f>TEXT(A1931,"yyyy-mm")</f>
        <v/>
      </c>
    </row>
    <row r="1932">
      <c r="A1932" s="2" t="n">
        <v>45835</v>
      </c>
      <c r="B1932" t="n">
        <v>2025</v>
      </c>
      <c r="C1932" t="inlineStr">
        <is>
          <t>June</t>
        </is>
      </c>
      <c r="D1932" t="inlineStr">
        <is>
          <t>Deluxe Smartwatch</t>
        </is>
      </c>
      <c r="E1932" t="inlineStr">
        <is>
          <t>Electronics</t>
        </is>
      </c>
      <c r="F1932" t="inlineStr">
        <is>
          <t>Daniel Wilson</t>
        </is>
      </c>
      <c r="G1932" t="inlineStr">
        <is>
          <t>France</t>
        </is>
      </c>
      <c r="H1932" t="inlineStr">
        <is>
          <t>Retail Store</t>
        </is>
      </c>
      <c r="I1932" t="n">
        <v>3</v>
      </c>
      <c r="J1932" s="3" t="n">
        <v>465.87</v>
      </c>
      <c r="K1932" s="3" t="n">
        <v>93.17</v>
      </c>
      <c r="L1932" s="3" t="n">
        <v>372.7</v>
      </c>
      <c r="M1932" s="3" t="n">
        <v>368.16</v>
      </c>
      <c r="N1932" s="3" t="n">
        <v>4.54</v>
      </c>
      <c r="O1932">
        <f>TEXT(A1932,"yyyy-mm")</f>
        <v/>
      </c>
    </row>
    <row r="1933">
      <c r="A1933" s="2" t="n">
        <v>45835</v>
      </c>
      <c r="B1933" t="n">
        <v>2025</v>
      </c>
      <c r="C1933" t="inlineStr">
        <is>
          <t>June</t>
        </is>
      </c>
      <c r="D1933" t="inlineStr">
        <is>
          <t>Portable Toolset</t>
        </is>
      </c>
      <c r="E1933" t="inlineStr">
        <is>
          <t>Home &amp; Garden</t>
        </is>
      </c>
      <c r="F1933" t="inlineStr">
        <is>
          <t>Robert Wojcik</t>
        </is>
      </c>
      <c r="G1933" t="inlineStr">
        <is>
          <t>Italy</t>
        </is>
      </c>
      <c r="H1933" t="inlineStr">
        <is>
          <t>Mobile App</t>
        </is>
      </c>
      <c r="I1933" t="n">
        <v>1</v>
      </c>
      <c r="J1933" s="3" t="n">
        <v>86.97</v>
      </c>
      <c r="K1933" s="3" t="n">
        <v>17.39</v>
      </c>
      <c r="L1933" s="3" t="n">
        <v>69.58</v>
      </c>
      <c r="M1933" s="3" t="n">
        <v>50.54</v>
      </c>
      <c r="N1933" s="3" t="n">
        <v>19.04</v>
      </c>
      <c r="O1933">
        <f>TEXT(A1933,"yyyy-mm")</f>
        <v/>
      </c>
    </row>
    <row r="1934">
      <c r="A1934" s="2" t="n">
        <v>45835</v>
      </c>
      <c r="B1934" t="n">
        <v>2025</v>
      </c>
      <c r="C1934" t="inlineStr">
        <is>
          <t>June</t>
        </is>
      </c>
      <c r="D1934" t="inlineStr">
        <is>
          <t>Deluxe Puzzle</t>
        </is>
      </c>
      <c r="E1934" t="inlineStr">
        <is>
          <t>Toys &amp; Games</t>
        </is>
      </c>
      <c r="F1934" t="inlineStr">
        <is>
          <t>Daniel Wilson</t>
        </is>
      </c>
      <c r="G1934" t="inlineStr">
        <is>
          <t>France</t>
        </is>
      </c>
      <c r="H1934" t="inlineStr">
        <is>
          <t>Retail Store</t>
        </is>
      </c>
      <c r="I1934" t="n">
        <v>5</v>
      </c>
      <c r="J1934" s="3" t="n">
        <v>1101.1</v>
      </c>
      <c r="K1934" s="3" t="n">
        <v>0</v>
      </c>
      <c r="L1934" s="3" t="n">
        <v>1101.1</v>
      </c>
      <c r="M1934" s="3" t="n">
        <v>555.85</v>
      </c>
      <c r="N1934" s="3" t="n">
        <v>545.25</v>
      </c>
      <c r="O1934">
        <f>TEXT(A1934,"yyyy-mm")</f>
        <v/>
      </c>
    </row>
    <row r="1935">
      <c r="A1935" s="2" t="n">
        <v>45835</v>
      </c>
      <c r="B1935" t="n">
        <v>2025</v>
      </c>
      <c r="C1935" t="inlineStr">
        <is>
          <t>June</t>
        </is>
      </c>
      <c r="D1935" t="inlineStr">
        <is>
          <t>Essential Toolset</t>
        </is>
      </c>
      <c r="E1935" t="inlineStr">
        <is>
          <t>Home &amp; Garden</t>
        </is>
      </c>
      <c r="F1935" t="inlineStr">
        <is>
          <t>Daniel Wilson</t>
        </is>
      </c>
      <c r="G1935" t="inlineStr">
        <is>
          <t>France</t>
        </is>
      </c>
      <c r="H1935" t="inlineStr">
        <is>
          <t>Retail Store</t>
        </is>
      </c>
      <c r="I1935" t="n">
        <v>5</v>
      </c>
      <c r="J1935" s="3" t="n">
        <v>1047.55</v>
      </c>
      <c r="K1935" s="3" t="n">
        <v>209.51</v>
      </c>
      <c r="L1935" s="3" t="n">
        <v>838.04</v>
      </c>
      <c r="M1935" s="3" t="n">
        <v>752.65</v>
      </c>
      <c r="N1935" s="3" t="n">
        <v>85.39</v>
      </c>
      <c r="O1935">
        <f>TEXT(A1935,"yyyy-mm")</f>
        <v/>
      </c>
    </row>
    <row r="1936">
      <c r="A1936" s="2" t="n">
        <v>45836</v>
      </c>
      <c r="B1936" t="n">
        <v>2025</v>
      </c>
      <c r="C1936" t="inlineStr">
        <is>
          <t>June</t>
        </is>
      </c>
      <c r="D1936" t="inlineStr">
        <is>
          <t>Wireless Honey</t>
        </is>
      </c>
      <c r="E1936" t="inlineStr">
        <is>
          <t>Grocery</t>
        </is>
      </c>
      <c r="F1936" t="inlineStr">
        <is>
          <t>Daniel Johnson</t>
        </is>
      </c>
      <c r="G1936" t="inlineStr">
        <is>
          <t>Italy</t>
        </is>
      </c>
      <c r="H1936" t="inlineStr">
        <is>
          <t>Web Store</t>
        </is>
      </c>
      <c r="I1936" t="n">
        <v>3</v>
      </c>
      <c r="J1936" s="3" t="n">
        <v>390.75</v>
      </c>
      <c r="K1936" s="3" t="n">
        <v>39.08</v>
      </c>
      <c r="L1936" s="3" t="n">
        <v>351.68</v>
      </c>
      <c r="M1936" s="3" t="n">
        <v>282.21</v>
      </c>
      <c r="N1936" s="3" t="n">
        <v>69.47</v>
      </c>
      <c r="O1936">
        <f>TEXT(A1936,"yyyy-mm")</f>
        <v/>
      </c>
    </row>
    <row r="1937">
      <c r="A1937" s="2" t="n">
        <v>45836</v>
      </c>
      <c r="B1937" t="n">
        <v>2025</v>
      </c>
      <c r="C1937" t="inlineStr">
        <is>
          <t>June</t>
        </is>
      </c>
      <c r="D1937" t="inlineStr">
        <is>
          <t>Ultra Rug</t>
        </is>
      </c>
      <c r="E1937" t="inlineStr">
        <is>
          <t>Home &amp; Garden</t>
        </is>
      </c>
      <c r="F1937" t="inlineStr">
        <is>
          <t>Daniel Johnson</t>
        </is>
      </c>
      <c r="G1937" t="inlineStr">
        <is>
          <t>Italy</t>
        </is>
      </c>
      <c r="H1937" t="inlineStr">
        <is>
          <t>Web Store</t>
        </is>
      </c>
      <c r="I1937" t="n">
        <v>5</v>
      </c>
      <c r="J1937" s="3" t="n">
        <v>248.75</v>
      </c>
      <c r="K1937" s="3" t="n">
        <v>0</v>
      </c>
      <c r="L1937" s="3" t="n">
        <v>248.75</v>
      </c>
      <c r="M1937" s="3" t="n">
        <v>164.55</v>
      </c>
      <c r="N1937" s="3" t="n">
        <v>84.2</v>
      </c>
      <c r="O1937">
        <f>TEXT(A1937,"yyyy-mm")</f>
        <v/>
      </c>
    </row>
    <row r="1938">
      <c r="A1938" s="2" t="n">
        <v>45836</v>
      </c>
      <c r="B1938" t="n">
        <v>2025</v>
      </c>
      <c r="C1938" t="inlineStr">
        <is>
          <t>June</t>
        </is>
      </c>
      <c r="D1938" t="inlineStr">
        <is>
          <t>Essential Charger</t>
        </is>
      </c>
      <c r="E1938" t="inlineStr">
        <is>
          <t>Electronics</t>
        </is>
      </c>
      <c r="F1938" t="inlineStr">
        <is>
          <t>Daniel Johnson</t>
        </is>
      </c>
      <c r="G1938" t="inlineStr">
        <is>
          <t>Italy</t>
        </is>
      </c>
      <c r="H1938" t="inlineStr">
        <is>
          <t>Web Store</t>
        </is>
      </c>
      <c r="I1938" t="n">
        <v>5</v>
      </c>
      <c r="J1938" s="3" t="n">
        <v>231.7</v>
      </c>
      <c r="K1938" s="3" t="n">
        <v>23.17</v>
      </c>
      <c r="L1938" s="3" t="n">
        <v>208.53</v>
      </c>
      <c r="M1938" s="3" t="n">
        <v>145.5</v>
      </c>
      <c r="N1938" s="3" t="n">
        <v>63.03</v>
      </c>
      <c r="O1938">
        <f>TEXT(A1938,"yyyy-mm")</f>
        <v/>
      </c>
    </row>
    <row r="1939">
      <c r="A1939" s="2" t="n">
        <v>45836</v>
      </c>
      <c r="B1939" t="n">
        <v>2025</v>
      </c>
      <c r="C1939" t="inlineStr">
        <is>
          <t>June</t>
        </is>
      </c>
      <c r="D1939" t="inlineStr">
        <is>
          <t>Premium Tent</t>
        </is>
      </c>
      <c r="E1939" t="inlineStr">
        <is>
          <t>Sports &amp; Outdoors</t>
        </is>
      </c>
      <c r="F1939" t="inlineStr">
        <is>
          <t>Daniel Johnson</t>
        </is>
      </c>
      <c r="G1939" t="inlineStr">
        <is>
          <t>Italy</t>
        </is>
      </c>
      <c r="H1939" t="inlineStr">
        <is>
          <t>Web Store</t>
        </is>
      </c>
      <c r="I1939" t="n">
        <v>1</v>
      </c>
      <c r="J1939" s="3" t="n">
        <v>136.33</v>
      </c>
      <c r="K1939" s="3" t="n">
        <v>13.63</v>
      </c>
      <c r="L1939" s="3" t="n">
        <v>122.7</v>
      </c>
      <c r="M1939" s="3" t="n">
        <v>96.40000000000001</v>
      </c>
      <c r="N1939" s="3" t="n">
        <v>26.3</v>
      </c>
      <c r="O1939">
        <f>TEXT(A1939,"yyyy-mm")</f>
        <v/>
      </c>
    </row>
    <row r="1940">
      <c r="A1940" s="2" t="n">
        <v>45836</v>
      </c>
      <c r="B1940" t="n">
        <v>2025</v>
      </c>
      <c r="C1940" t="inlineStr">
        <is>
          <t>June</t>
        </is>
      </c>
      <c r="D1940" t="inlineStr">
        <is>
          <t>Essential Planter</t>
        </is>
      </c>
      <c r="E1940" t="inlineStr">
        <is>
          <t>Home &amp; Garden</t>
        </is>
      </c>
      <c r="F1940" t="inlineStr">
        <is>
          <t>Maria Smith</t>
        </is>
      </c>
      <c r="G1940" t="inlineStr">
        <is>
          <t>Poland</t>
        </is>
      </c>
      <c r="H1940" t="inlineStr">
        <is>
          <t>Retail Store</t>
        </is>
      </c>
      <c r="I1940" t="n">
        <v>1</v>
      </c>
      <c r="J1940" s="3" t="n">
        <v>24.58</v>
      </c>
      <c r="K1940" s="3" t="n">
        <v>0</v>
      </c>
      <c r="L1940" s="3" t="n">
        <v>24.58</v>
      </c>
      <c r="M1940" s="3" t="n">
        <v>19.64</v>
      </c>
      <c r="N1940" s="3" t="n">
        <v>4.94</v>
      </c>
      <c r="O1940">
        <f>TEXT(A1940,"yyyy-mm")</f>
        <v/>
      </c>
    </row>
    <row r="1941">
      <c r="A1941" s="2" t="n">
        <v>45836</v>
      </c>
      <c r="B1941" t="n">
        <v>2025</v>
      </c>
      <c r="C1941" t="inlineStr">
        <is>
          <t>June</t>
        </is>
      </c>
      <c r="D1941" t="inlineStr">
        <is>
          <t>Smart Olive Oil</t>
        </is>
      </c>
      <c r="E1941" t="inlineStr">
        <is>
          <t>Grocery</t>
        </is>
      </c>
      <c r="F1941" t="inlineStr">
        <is>
          <t>Maria Smith</t>
        </is>
      </c>
      <c r="G1941" t="inlineStr">
        <is>
          <t>Poland</t>
        </is>
      </c>
      <c r="H1941" t="inlineStr">
        <is>
          <t>Retail Store</t>
        </is>
      </c>
      <c r="I1941" t="n">
        <v>1</v>
      </c>
      <c r="J1941" s="3" t="n">
        <v>165.84</v>
      </c>
      <c r="K1941" s="3" t="n">
        <v>8.289999999999999</v>
      </c>
      <c r="L1941" s="3" t="n">
        <v>157.55</v>
      </c>
      <c r="M1941" s="3" t="n">
        <v>110.02</v>
      </c>
      <c r="N1941" s="3" t="n">
        <v>47.53</v>
      </c>
      <c r="O1941">
        <f>TEXT(A1941,"yyyy-mm")</f>
        <v/>
      </c>
    </row>
    <row r="1942">
      <c r="A1942" s="2" t="n">
        <v>45836</v>
      </c>
      <c r="B1942" t="n">
        <v>2025</v>
      </c>
      <c r="C1942" t="inlineStr">
        <is>
          <t>June</t>
        </is>
      </c>
      <c r="D1942" t="inlineStr">
        <is>
          <t>Smart Puzzle</t>
        </is>
      </c>
      <c r="E1942" t="inlineStr">
        <is>
          <t>Toys &amp; Games</t>
        </is>
      </c>
      <c r="F1942" t="inlineStr">
        <is>
          <t>Maria Smith</t>
        </is>
      </c>
      <c r="G1942" t="inlineStr">
        <is>
          <t>Poland</t>
        </is>
      </c>
      <c r="H1942" t="inlineStr">
        <is>
          <t>Retail Store</t>
        </is>
      </c>
      <c r="I1942" t="n">
        <v>5</v>
      </c>
      <c r="J1942" s="3" t="n">
        <v>1340.85</v>
      </c>
      <c r="K1942" s="3" t="n">
        <v>67.04000000000001</v>
      </c>
      <c r="L1942" s="3" t="n">
        <v>1273.81</v>
      </c>
      <c r="M1942" s="3" t="n">
        <v>963.8</v>
      </c>
      <c r="N1942" s="3" t="n">
        <v>310.01</v>
      </c>
      <c r="O1942">
        <f>TEXT(A1942,"yyyy-mm")</f>
        <v/>
      </c>
    </row>
    <row r="1943">
      <c r="A1943" s="2" t="n">
        <v>45837</v>
      </c>
      <c r="B1943" t="n">
        <v>2025</v>
      </c>
      <c r="C1943" t="inlineStr">
        <is>
          <t>June</t>
        </is>
      </c>
      <c r="D1943" t="inlineStr">
        <is>
          <t>Wireless Backpack</t>
        </is>
      </c>
      <c r="E1943" t="inlineStr">
        <is>
          <t>Sports &amp; Outdoors</t>
        </is>
      </c>
      <c r="F1943" t="inlineStr">
        <is>
          <t>Emily Garcia</t>
        </is>
      </c>
      <c r="G1943" t="inlineStr">
        <is>
          <t>Germany</t>
        </is>
      </c>
      <c r="H1943" t="inlineStr">
        <is>
          <t>Marketplace</t>
        </is>
      </c>
      <c r="I1943" t="n">
        <v>2</v>
      </c>
      <c r="J1943" s="3" t="n">
        <v>99.59999999999999</v>
      </c>
      <c r="K1943" s="3" t="n">
        <v>4.98</v>
      </c>
      <c r="L1943" s="3" t="n">
        <v>94.62</v>
      </c>
      <c r="M1943" s="3" t="n">
        <v>56.2</v>
      </c>
      <c r="N1943" s="3" t="n">
        <v>38.42</v>
      </c>
      <c r="O1943">
        <f>TEXT(A1943,"yyyy-mm")</f>
        <v/>
      </c>
    </row>
    <row r="1944">
      <c r="A1944" s="2" t="n">
        <v>45838</v>
      </c>
      <c r="B1944" t="n">
        <v>2025</v>
      </c>
      <c r="C1944" t="inlineStr">
        <is>
          <t>June</t>
        </is>
      </c>
      <c r="D1944" t="inlineStr">
        <is>
          <t>Eco Drone</t>
        </is>
      </c>
      <c r="E1944" t="inlineStr">
        <is>
          <t>Toys &amp; Games</t>
        </is>
      </c>
      <c r="F1944" t="inlineStr">
        <is>
          <t>John Dubois</t>
        </is>
      </c>
      <c r="G1944" t="inlineStr">
        <is>
          <t>Netherlands</t>
        </is>
      </c>
      <c r="H1944" t="inlineStr">
        <is>
          <t>Retail Store</t>
        </is>
      </c>
      <c r="I1944" t="n">
        <v>5</v>
      </c>
      <c r="J1944" s="3" t="n">
        <v>984.75</v>
      </c>
      <c r="K1944" s="3" t="n">
        <v>98.48</v>
      </c>
      <c r="L1944" s="3" t="n">
        <v>886.28</v>
      </c>
      <c r="M1944" s="3" t="n">
        <v>647.95</v>
      </c>
      <c r="N1944" s="3" t="n">
        <v>238.32</v>
      </c>
      <c r="O1944">
        <f>TEXT(A1944,"yyyy-mm")</f>
        <v/>
      </c>
    </row>
    <row r="1945">
      <c r="A1945" s="2" t="n">
        <v>45838</v>
      </c>
      <c r="B1945" t="n">
        <v>2025</v>
      </c>
      <c r="C1945" t="inlineStr">
        <is>
          <t>June</t>
        </is>
      </c>
      <c r="D1945" t="inlineStr">
        <is>
          <t>Smart Camera</t>
        </is>
      </c>
      <c r="E1945" t="inlineStr">
        <is>
          <t>Electronics</t>
        </is>
      </c>
      <c r="F1945" t="inlineStr">
        <is>
          <t>John Dubois</t>
        </is>
      </c>
      <c r="G1945" t="inlineStr">
        <is>
          <t>Netherlands</t>
        </is>
      </c>
      <c r="H1945" t="inlineStr">
        <is>
          <t>Retail Store</t>
        </is>
      </c>
      <c r="I1945" t="n">
        <v>4</v>
      </c>
      <c r="J1945" s="3" t="n">
        <v>484.48</v>
      </c>
      <c r="K1945" s="3" t="n">
        <v>0</v>
      </c>
      <c r="L1945" s="3" t="n">
        <v>484.48</v>
      </c>
      <c r="M1945" s="3" t="n">
        <v>342.32</v>
      </c>
      <c r="N1945" s="3" t="n">
        <v>142.16</v>
      </c>
      <c r="O1945">
        <f>TEXT(A1945,"yyyy-mm")</f>
        <v/>
      </c>
    </row>
    <row r="1946">
      <c r="A1946" s="2" t="n">
        <v>45838</v>
      </c>
      <c r="B1946" t="n">
        <v>2025</v>
      </c>
      <c r="C1946" t="inlineStr">
        <is>
          <t>June</t>
        </is>
      </c>
      <c r="D1946" t="inlineStr">
        <is>
          <t>Smart Cookbook</t>
        </is>
      </c>
      <c r="E1946" t="inlineStr">
        <is>
          <t>Books</t>
        </is>
      </c>
      <c r="F1946" t="inlineStr">
        <is>
          <t>Julia Wojcik</t>
        </is>
      </c>
      <c r="G1946" t="inlineStr">
        <is>
          <t>France</t>
        </is>
      </c>
      <c r="H1946" t="inlineStr">
        <is>
          <t>Mobile App</t>
        </is>
      </c>
      <c r="I1946" t="n">
        <v>2</v>
      </c>
      <c r="J1946" s="3" t="n">
        <v>37.2</v>
      </c>
      <c r="K1946" s="3" t="n">
        <v>3.72</v>
      </c>
      <c r="L1946" s="3" t="n">
        <v>33.48</v>
      </c>
      <c r="M1946" s="3" t="n">
        <v>19.76</v>
      </c>
      <c r="N1946" s="3" t="n">
        <v>13.72</v>
      </c>
      <c r="O1946">
        <f>TEXT(A1946,"yyyy-mm")</f>
        <v/>
      </c>
    </row>
    <row r="1947">
      <c r="A1947" s="2" t="n">
        <v>45838</v>
      </c>
      <c r="B1947" t="n">
        <v>2025</v>
      </c>
      <c r="C1947" t="inlineStr">
        <is>
          <t>June</t>
        </is>
      </c>
      <c r="D1947" t="inlineStr">
        <is>
          <t>Essential Toolset</t>
        </is>
      </c>
      <c r="E1947" t="inlineStr">
        <is>
          <t>Home &amp; Garden</t>
        </is>
      </c>
      <c r="F1947" t="inlineStr">
        <is>
          <t>Julia Wojcik</t>
        </is>
      </c>
      <c r="G1947" t="inlineStr">
        <is>
          <t>France</t>
        </is>
      </c>
      <c r="H1947" t="inlineStr">
        <is>
          <t>Mobile App</t>
        </is>
      </c>
      <c r="I1947" t="n">
        <v>4</v>
      </c>
      <c r="J1947" s="3" t="n">
        <v>799.92</v>
      </c>
      <c r="K1947" s="3" t="n">
        <v>0</v>
      </c>
      <c r="L1947" s="3" t="n">
        <v>799.92</v>
      </c>
      <c r="M1947" s="3" t="n">
        <v>602.12</v>
      </c>
      <c r="N1947" s="3" t="n">
        <v>197.8</v>
      </c>
      <c r="O1947">
        <f>TEXT(A1947,"yyyy-mm")</f>
        <v/>
      </c>
    </row>
    <row r="1948">
      <c r="A1948" s="2" t="n">
        <v>45838</v>
      </c>
      <c r="B1948" t="n">
        <v>2025</v>
      </c>
      <c r="C1948" t="inlineStr">
        <is>
          <t>June</t>
        </is>
      </c>
      <c r="D1948" t="inlineStr">
        <is>
          <t>Eco Backpack</t>
        </is>
      </c>
      <c r="E1948" t="inlineStr">
        <is>
          <t>Sports &amp; Outdoors</t>
        </is>
      </c>
      <c r="F1948" t="inlineStr">
        <is>
          <t>Julia Wojcik</t>
        </is>
      </c>
      <c r="G1948" t="inlineStr">
        <is>
          <t>France</t>
        </is>
      </c>
      <c r="H1948" t="inlineStr">
        <is>
          <t>Mobile App</t>
        </is>
      </c>
      <c r="I1948" t="n">
        <v>3</v>
      </c>
      <c r="J1948" s="3" t="n">
        <v>775.5599999999999</v>
      </c>
      <c r="K1948" s="3" t="n">
        <v>38.78</v>
      </c>
      <c r="L1948" s="3" t="n">
        <v>736.78</v>
      </c>
      <c r="M1948" s="3" t="n">
        <v>439.74</v>
      </c>
      <c r="N1948" s="3" t="n">
        <v>297.04</v>
      </c>
      <c r="O1948">
        <f>TEXT(A1948,"yyyy-mm")</f>
        <v/>
      </c>
    </row>
    <row r="1949">
      <c r="A1949" s="2" t="n">
        <v>45838</v>
      </c>
      <c r="B1949" t="n">
        <v>2025</v>
      </c>
      <c r="C1949" t="inlineStr">
        <is>
          <t>June</t>
        </is>
      </c>
      <c r="D1949" t="inlineStr">
        <is>
          <t>Ultra Backpack</t>
        </is>
      </c>
      <c r="E1949" t="inlineStr">
        <is>
          <t>Sports &amp; Outdoors</t>
        </is>
      </c>
      <c r="F1949" t="inlineStr">
        <is>
          <t>Paul Zielinski</t>
        </is>
      </c>
      <c r="G1949" t="inlineStr">
        <is>
          <t>Germany</t>
        </is>
      </c>
      <c r="H1949" t="inlineStr">
        <is>
          <t>Mobile App</t>
        </is>
      </c>
      <c r="I1949" t="n">
        <v>5</v>
      </c>
      <c r="J1949" s="3" t="n">
        <v>1543.75</v>
      </c>
      <c r="K1949" s="3" t="n">
        <v>0</v>
      </c>
      <c r="L1949" s="3" t="n">
        <v>1543.75</v>
      </c>
      <c r="M1949" s="3" t="n">
        <v>868.45</v>
      </c>
      <c r="N1949" s="3" t="n">
        <v>675.3</v>
      </c>
      <c r="O1949">
        <f>TEXT(A1949,"yyyy-mm")</f>
        <v/>
      </c>
    </row>
    <row r="1950">
      <c r="A1950" s="2" t="n">
        <v>45838</v>
      </c>
      <c r="B1950" t="n">
        <v>2025</v>
      </c>
      <c r="C1950" t="inlineStr">
        <is>
          <t>June</t>
        </is>
      </c>
      <c r="D1950" t="inlineStr">
        <is>
          <t>Eco Drone</t>
        </is>
      </c>
      <c r="E1950" t="inlineStr">
        <is>
          <t>Toys &amp; Games</t>
        </is>
      </c>
      <c r="F1950" t="inlineStr">
        <is>
          <t>Paul Zielinski</t>
        </is>
      </c>
      <c r="G1950" t="inlineStr">
        <is>
          <t>Germany</t>
        </is>
      </c>
      <c r="H1950" t="inlineStr">
        <is>
          <t>Mobile App</t>
        </is>
      </c>
      <c r="I1950" t="n">
        <v>4</v>
      </c>
      <c r="J1950" s="3" t="n">
        <v>815.6799999999999</v>
      </c>
      <c r="K1950" s="3" t="n">
        <v>0</v>
      </c>
      <c r="L1950" s="3" t="n">
        <v>815.6799999999999</v>
      </c>
      <c r="M1950" s="3" t="n">
        <v>518.36</v>
      </c>
      <c r="N1950" s="3" t="n">
        <v>297.32</v>
      </c>
      <c r="O1950">
        <f>TEXT(A1950,"yyyy-mm")</f>
        <v/>
      </c>
    </row>
    <row r="1951">
      <c r="A1951" s="2" t="n">
        <v>45839</v>
      </c>
      <c r="B1951" t="n">
        <v>2025</v>
      </c>
      <c r="C1951" t="inlineStr">
        <is>
          <t>July</t>
        </is>
      </c>
      <c r="D1951" t="inlineStr">
        <is>
          <t>Premium Water Bottle</t>
        </is>
      </c>
      <c r="E1951" t="inlineStr">
        <is>
          <t>Sports &amp; Outdoors</t>
        </is>
      </c>
      <c r="F1951" t="inlineStr">
        <is>
          <t>Sophie Wilson</t>
        </is>
      </c>
      <c r="G1951" t="inlineStr">
        <is>
          <t>Germany</t>
        </is>
      </c>
      <c r="H1951" t="inlineStr">
        <is>
          <t>Mobile App</t>
        </is>
      </c>
      <c r="I1951" t="n">
        <v>4</v>
      </c>
      <c r="J1951" s="3" t="n">
        <v>120.12</v>
      </c>
      <c r="K1951" s="3" t="n">
        <v>0</v>
      </c>
      <c r="L1951" s="3" t="n">
        <v>120.12</v>
      </c>
      <c r="M1951" s="3" t="n">
        <v>66.52</v>
      </c>
      <c r="N1951" s="3" t="n">
        <v>53.6</v>
      </c>
      <c r="O1951">
        <f>TEXT(A1951,"yyyy-mm")</f>
        <v/>
      </c>
    </row>
    <row r="1952">
      <c r="A1952" s="2" t="n">
        <v>45839</v>
      </c>
      <c r="B1952" t="n">
        <v>2025</v>
      </c>
      <c r="C1952" t="inlineStr">
        <is>
          <t>July</t>
        </is>
      </c>
      <c r="D1952" t="inlineStr">
        <is>
          <t>Classic Atlas</t>
        </is>
      </c>
      <c r="E1952" t="inlineStr">
        <is>
          <t>Books</t>
        </is>
      </c>
      <c r="F1952" t="inlineStr">
        <is>
          <t>Sophie Wilson</t>
        </is>
      </c>
      <c r="G1952" t="inlineStr">
        <is>
          <t>Germany</t>
        </is>
      </c>
      <c r="H1952" t="inlineStr">
        <is>
          <t>Mobile App</t>
        </is>
      </c>
      <c r="I1952" t="n">
        <v>4</v>
      </c>
      <c r="J1952" s="3" t="n">
        <v>256.04</v>
      </c>
      <c r="K1952" s="3" t="n">
        <v>38.41</v>
      </c>
      <c r="L1952" s="3" t="n">
        <v>217.63</v>
      </c>
      <c r="M1952" s="3" t="n">
        <v>138.36</v>
      </c>
      <c r="N1952" s="3" t="n">
        <v>79.27</v>
      </c>
      <c r="O1952">
        <f>TEXT(A1952,"yyyy-mm")</f>
        <v/>
      </c>
    </row>
    <row r="1953">
      <c r="A1953" s="2" t="n">
        <v>45839</v>
      </c>
      <c r="B1953" t="n">
        <v>2025</v>
      </c>
      <c r="C1953" t="inlineStr">
        <is>
          <t>July</t>
        </is>
      </c>
      <c r="D1953" t="inlineStr">
        <is>
          <t>Ultra Backpack</t>
        </is>
      </c>
      <c r="E1953" t="inlineStr">
        <is>
          <t>Sports &amp; Outdoors</t>
        </is>
      </c>
      <c r="F1953" t="inlineStr">
        <is>
          <t>Olivia Nowak</t>
        </is>
      </c>
      <c r="G1953" t="inlineStr">
        <is>
          <t>Germany</t>
        </is>
      </c>
      <c r="H1953" t="inlineStr">
        <is>
          <t>Web Store</t>
        </is>
      </c>
      <c r="I1953" t="n">
        <v>4</v>
      </c>
      <c r="J1953" s="3" t="n">
        <v>1261.16</v>
      </c>
      <c r="K1953" s="3" t="n">
        <v>63.06</v>
      </c>
      <c r="L1953" s="3" t="n">
        <v>1198.1</v>
      </c>
      <c r="M1953" s="3" t="n">
        <v>694.76</v>
      </c>
      <c r="N1953" s="3" t="n">
        <v>503.34</v>
      </c>
      <c r="O1953">
        <f>TEXT(A1953,"yyyy-mm")</f>
        <v/>
      </c>
    </row>
    <row r="1954">
      <c r="A1954" s="2" t="n">
        <v>45839</v>
      </c>
      <c r="B1954" t="n">
        <v>2025</v>
      </c>
      <c r="C1954" t="inlineStr">
        <is>
          <t>July</t>
        </is>
      </c>
      <c r="D1954" t="inlineStr">
        <is>
          <t>Premium Water Bottle</t>
        </is>
      </c>
      <c r="E1954" t="inlineStr">
        <is>
          <t>Sports &amp; Outdoors</t>
        </is>
      </c>
      <c r="F1954" t="inlineStr">
        <is>
          <t>Olivia Smith</t>
        </is>
      </c>
      <c r="G1954" t="inlineStr">
        <is>
          <t>Germany</t>
        </is>
      </c>
      <c r="H1954" t="inlineStr">
        <is>
          <t>Web Store</t>
        </is>
      </c>
      <c r="I1954" t="n">
        <v>3</v>
      </c>
      <c r="J1954" s="3" t="n">
        <v>91.98</v>
      </c>
      <c r="K1954" s="3" t="n">
        <v>0</v>
      </c>
      <c r="L1954" s="3" t="n">
        <v>91.98</v>
      </c>
      <c r="M1954" s="3" t="n">
        <v>49.89</v>
      </c>
      <c r="N1954" s="3" t="n">
        <v>42.09</v>
      </c>
      <c r="O1954">
        <f>TEXT(A1954,"yyyy-mm")</f>
        <v/>
      </c>
    </row>
    <row r="1955">
      <c r="A1955" s="2" t="n">
        <v>45839</v>
      </c>
      <c r="B1955" t="n">
        <v>2025</v>
      </c>
      <c r="C1955" t="inlineStr">
        <is>
          <t>July</t>
        </is>
      </c>
      <c r="D1955" t="inlineStr">
        <is>
          <t>Classic Coffee Beans</t>
        </is>
      </c>
      <c r="E1955" t="inlineStr">
        <is>
          <t>Grocery</t>
        </is>
      </c>
      <c r="F1955" t="inlineStr">
        <is>
          <t>Olivia Smith</t>
        </is>
      </c>
      <c r="G1955" t="inlineStr">
        <is>
          <t>Germany</t>
        </is>
      </c>
      <c r="H1955" t="inlineStr">
        <is>
          <t>Web Store</t>
        </is>
      </c>
      <c r="I1955" t="n">
        <v>3</v>
      </c>
      <c r="J1955" s="3" t="n">
        <v>943.41</v>
      </c>
      <c r="K1955" s="3" t="n">
        <v>0</v>
      </c>
      <c r="L1955" s="3" t="n">
        <v>943.41</v>
      </c>
      <c r="M1955" s="3" t="n">
        <v>584.28</v>
      </c>
      <c r="N1955" s="3" t="n">
        <v>359.13</v>
      </c>
      <c r="O1955">
        <f>TEXT(A1955,"yyyy-mm")</f>
        <v/>
      </c>
    </row>
    <row r="1956">
      <c r="A1956" s="2" t="n">
        <v>45839</v>
      </c>
      <c r="B1956" t="n">
        <v>2025</v>
      </c>
      <c r="C1956" t="inlineStr">
        <is>
          <t>July</t>
        </is>
      </c>
      <c r="D1956" t="inlineStr">
        <is>
          <t>Compact Jacket</t>
        </is>
      </c>
      <c r="E1956" t="inlineStr">
        <is>
          <t>Clothing</t>
        </is>
      </c>
      <c r="F1956" t="inlineStr">
        <is>
          <t>Olivia Nowak</t>
        </is>
      </c>
      <c r="G1956" t="inlineStr">
        <is>
          <t>Germany</t>
        </is>
      </c>
      <c r="H1956" t="inlineStr">
        <is>
          <t>Web Store</t>
        </is>
      </c>
      <c r="I1956" t="n">
        <v>2</v>
      </c>
      <c r="J1956" s="3" t="n">
        <v>70.92</v>
      </c>
      <c r="K1956" s="3" t="n">
        <v>0</v>
      </c>
      <c r="L1956" s="3" t="n">
        <v>70.92</v>
      </c>
      <c r="M1956" s="3" t="n">
        <v>40.8</v>
      </c>
      <c r="N1956" s="3" t="n">
        <v>30.12</v>
      </c>
      <c r="O1956">
        <f>TEXT(A1956,"yyyy-mm")</f>
        <v/>
      </c>
    </row>
    <row r="1957">
      <c r="A1957" s="2" t="n">
        <v>45839</v>
      </c>
      <c r="B1957" t="n">
        <v>2025</v>
      </c>
      <c r="C1957" t="inlineStr">
        <is>
          <t>July</t>
        </is>
      </c>
      <c r="D1957" t="inlineStr">
        <is>
          <t>Portable Notebook</t>
        </is>
      </c>
      <c r="E1957" t="inlineStr">
        <is>
          <t>Books</t>
        </is>
      </c>
      <c r="F1957" t="inlineStr">
        <is>
          <t>Olivia Smith</t>
        </is>
      </c>
      <c r="G1957" t="inlineStr">
        <is>
          <t>Germany</t>
        </is>
      </c>
      <c r="H1957" t="inlineStr">
        <is>
          <t>Web Store</t>
        </is>
      </c>
      <c r="I1957" t="n">
        <v>1</v>
      </c>
      <c r="J1957" s="3" t="n">
        <v>124.08</v>
      </c>
      <c r="K1957" s="3" t="n">
        <v>0</v>
      </c>
      <c r="L1957" s="3" t="n">
        <v>124.08</v>
      </c>
      <c r="M1957" s="3" t="n">
        <v>71.28</v>
      </c>
      <c r="N1957" s="3" t="n">
        <v>52.8</v>
      </c>
      <c r="O1957">
        <f>TEXT(A1957,"yyyy-mm")</f>
        <v/>
      </c>
    </row>
    <row r="1958">
      <c r="A1958" s="2" t="n">
        <v>45839</v>
      </c>
      <c r="B1958" t="n">
        <v>2025</v>
      </c>
      <c r="C1958" t="inlineStr">
        <is>
          <t>July</t>
        </is>
      </c>
      <c r="D1958" t="inlineStr">
        <is>
          <t>Premium Rug</t>
        </is>
      </c>
      <c r="E1958" t="inlineStr">
        <is>
          <t>Home &amp; Garden</t>
        </is>
      </c>
      <c r="F1958" t="inlineStr">
        <is>
          <t>Olivia Smith</t>
        </is>
      </c>
      <c r="G1958" t="inlineStr">
        <is>
          <t>Germany</t>
        </is>
      </c>
      <c r="H1958" t="inlineStr">
        <is>
          <t>Web Store</t>
        </is>
      </c>
      <c r="I1958" t="n">
        <v>2</v>
      </c>
      <c r="J1958" s="3" t="n">
        <v>358.94</v>
      </c>
      <c r="K1958" s="3" t="n">
        <v>0</v>
      </c>
      <c r="L1958" s="3" t="n">
        <v>358.94</v>
      </c>
      <c r="M1958" s="3" t="n">
        <v>222.38</v>
      </c>
      <c r="N1958" s="3" t="n">
        <v>136.56</v>
      </c>
      <c r="O1958">
        <f>TEXT(A1958,"yyyy-mm")</f>
        <v/>
      </c>
    </row>
    <row r="1959">
      <c r="A1959" s="2" t="n">
        <v>45839</v>
      </c>
      <c r="B1959" t="n">
        <v>2025</v>
      </c>
      <c r="C1959" t="inlineStr">
        <is>
          <t>July</t>
        </is>
      </c>
      <c r="D1959" t="inlineStr">
        <is>
          <t>Portable Toolset</t>
        </is>
      </c>
      <c r="E1959" t="inlineStr">
        <is>
          <t>Home &amp; Garden</t>
        </is>
      </c>
      <c r="F1959" t="inlineStr">
        <is>
          <t>Olivia Nowak</t>
        </is>
      </c>
      <c r="G1959" t="inlineStr">
        <is>
          <t>Germany</t>
        </is>
      </c>
      <c r="H1959" t="inlineStr">
        <is>
          <t>Web Store</t>
        </is>
      </c>
      <c r="I1959" t="n">
        <v>4</v>
      </c>
      <c r="J1959" s="3" t="n">
        <v>342.68</v>
      </c>
      <c r="K1959" s="3" t="n">
        <v>17.13</v>
      </c>
      <c r="L1959" s="3" t="n">
        <v>325.55</v>
      </c>
      <c r="M1959" s="3" t="n">
        <v>202.16</v>
      </c>
      <c r="N1959" s="3" t="n">
        <v>123.39</v>
      </c>
      <c r="O1959">
        <f>TEXT(A1959,"yyyy-mm")</f>
        <v/>
      </c>
    </row>
    <row r="1960">
      <c r="A1960" s="2" t="n">
        <v>45840</v>
      </c>
      <c r="B1960" t="n">
        <v>2025</v>
      </c>
      <c r="C1960" t="inlineStr">
        <is>
          <t>July</t>
        </is>
      </c>
      <c r="D1960" t="inlineStr">
        <is>
          <t>Classic Coffee Beans</t>
        </is>
      </c>
      <c r="E1960" t="inlineStr">
        <is>
          <t>Grocery</t>
        </is>
      </c>
      <c r="F1960" t="inlineStr">
        <is>
          <t>Anna Martin</t>
        </is>
      </c>
      <c r="G1960" t="inlineStr">
        <is>
          <t>France</t>
        </is>
      </c>
      <c r="H1960" t="inlineStr">
        <is>
          <t>Web Store</t>
        </is>
      </c>
      <c r="I1960" t="n">
        <v>3</v>
      </c>
      <c r="J1960" s="3" t="n">
        <v>972.54</v>
      </c>
      <c r="K1960" s="3" t="n">
        <v>0</v>
      </c>
      <c r="L1960" s="3" t="n">
        <v>972.54</v>
      </c>
      <c r="M1960" s="3" t="n">
        <v>584.28</v>
      </c>
      <c r="N1960" s="3" t="n">
        <v>388.26</v>
      </c>
      <c r="O1960">
        <f>TEXT(A1960,"yyyy-mm")</f>
        <v/>
      </c>
    </row>
    <row r="1961">
      <c r="A1961" s="2" t="n">
        <v>45840</v>
      </c>
      <c r="B1961" t="n">
        <v>2025</v>
      </c>
      <c r="C1961" t="inlineStr">
        <is>
          <t>July</t>
        </is>
      </c>
      <c r="D1961" t="inlineStr">
        <is>
          <t>Classic Tea Set</t>
        </is>
      </c>
      <c r="E1961" t="inlineStr">
        <is>
          <t>Grocery</t>
        </is>
      </c>
      <c r="F1961" t="inlineStr">
        <is>
          <t>Anna Martin</t>
        </is>
      </c>
      <c r="G1961" t="inlineStr">
        <is>
          <t>France</t>
        </is>
      </c>
      <c r="H1961" t="inlineStr">
        <is>
          <t>Web Store</t>
        </is>
      </c>
      <c r="I1961" t="n">
        <v>1</v>
      </c>
      <c r="J1961" s="3" t="n">
        <v>186.42</v>
      </c>
      <c r="K1961" s="3" t="n">
        <v>18.64</v>
      </c>
      <c r="L1961" s="3" t="n">
        <v>167.78</v>
      </c>
      <c r="M1961" s="3" t="n">
        <v>125.4</v>
      </c>
      <c r="N1961" s="3" t="n">
        <v>42.38</v>
      </c>
      <c r="O1961">
        <f>TEXT(A1961,"yyyy-mm")</f>
        <v/>
      </c>
    </row>
    <row r="1962">
      <c r="A1962" s="2" t="n">
        <v>45840</v>
      </c>
      <c r="B1962" t="n">
        <v>2025</v>
      </c>
      <c r="C1962" t="inlineStr">
        <is>
          <t>July</t>
        </is>
      </c>
      <c r="D1962" t="inlineStr">
        <is>
          <t>Ultra Toolset</t>
        </is>
      </c>
      <c r="E1962" t="inlineStr">
        <is>
          <t>Home &amp; Garden</t>
        </is>
      </c>
      <c r="F1962" t="inlineStr">
        <is>
          <t>Anna Martin</t>
        </is>
      </c>
      <c r="G1962" t="inlineStr">
        <is>
          <t>France</t>
        </is>
      </c>
      <c r="H1962" t="inlineStr">
        <is>
          <t>Web Store</t>
        </is>
      </c>
      <c r="I1962" t="n">
        <v>3</v>
      </c>
      <c r="J1962" s="3" t="n">
        <v>1042.62</v>
      </c>
      <c r="K1962" s="3" t="n">
        <v>156.39</v>
      </c>
      <c r="L1962" s="3" t="n">
        <v>886.23</v>
      </c>
      <c r="M1962" s="3" t="n">
        <v>571.2</v>
      </c>
      <c r="N1962" s="3" t="n">
        <v>315.03</v>
      </c>
      <c r="O1962">
        <f>TEXT(A1962,"yyyy-mm")</f>
        <v/>
      </c>
    </row>
    <row r="1963">
      <c r="A1963" s="2" t="n">
        <v>45840</v>
      </c>
      <c r="B1963" t="n">
        <v>2025</v>
      </c>
      <c r="C1963" t="inlineStr">
        <is>
          <t>July</t>
        </is>
      </c>
      <c r="D1963" t="inlineStr">
        <is>
          <t>Classic Tent</t>
        </is>
      </c>
      <c r="E1963" t="inlineStr">
        <is>
          <t>Sports &amp; Outdoors</t>
        </is>
      </c>
      <c r="F1963" t="inlineStr">
        <is>
          <t>Anna Martin</t>
        </is>
      </c>
      <c r="G1963" t="inlineStr">
        <is>
          <t>France</t>
        </is>
      </c>
      <c r="H1963" t="inlineStr">
        <is>
          <t>Web Store</t>
        </is>
      </c>
      <c r="I1963" t="n">
        <v>4</v>
      </c>
      <c r="J1963" s="3" t="n">
        <v>812.6</v>
      </c>
      <c r="K1963" s="3" t="n">
        <v>121.89</v>
      </c>
      <c r="L1963" s="3" t="n">
        <v>690.71</v>
      </c>
      <c r="M1963" s="3" t="n">
        <v>472.08</v>
      </c>
      <c r="N1963" s="3" t="n">
        <v>218.63</v>
      </c>
      <c r="O1963">
        <f>TEXT(A1963,"yyyy-mm")</f>
        <v/>
      </c>
    </row>
    <row r="1964">
      <c r="A1964" s="2" t="n">
        <v>45840</v>
      </c>
      <c r="B1964" t="n">
        <v>2025</v>
      </c>
      <c r="C1964" t="inlineStr">
        <is>
          <t>July</t>
        </is>
      </c>
      <c r="D1964" t="inlineStr">
        <is>
          <t>Wireless Coffee Beans</t>
        </is>
      </c>
      <c r="E1964" t="inlineStr">
        <is>
          <t>Grocery</t>
        </is>
      </c>
      <c r="F1964" t="inlineStr">
        <is>
          <t>Maria Garcia</t>
        </is>
      </c>
      <c r="G1964" t="inlineStr">
        <is>
          <t>United Kingdom</t>
        </is>
      </c>
      <c r="H1964" t="inlineStr">
        <is>
          <t>Retail Store</t>
        </is>
      </c>
      <c r="I1964" t="n">
        <v>2</v>
      </c>
      <c r="J1964" s="3" t="n">
        <v>242.4</v>
      </c>
      <c r="K1964" s="3" t="n">
        <v>0</v>
      </c>
      <c r="L1964" s="3" t="n">
        <v>242.4</v>
      </c>
      <c r="M1964" s="3" t="n">
        <v>158.74</v>
      </c>
      <c r="N1964" s="3" t="n">
        <v>83.66</v>
      </c>
      <c r="O1964">
        <f>TEXT(A1964,"yyyy-mm")</f>
        <v/>
      </c>
    </row>
    <row r="1965">
      <c r="A1965" s="2" t="n">
        <v>45840</v>
      </c>
      <c r="B1965" t="n">
        <v>2025</v>
      </c>
      <c r="C1965" t="inlineStr">
        <is>
          <t>July</t>
        </is>
      </c>
      <c r="D1965" t="inlineStr">
        <is>
          <t>Smart Charger</t>
        </is>
      </c>
      <c r="E1965" t="inlineStr">
        <is>
          <t>Electronics</t>
        </is>
      </c>
      <c r="F1965" t="inlineStr">
        <is>
          <t>Maria Garcia</t>
        </is>
      </c>
      <c r="G1965" t="inlineStr">
        <is>
          <t>United Kingdom</t>
        </is>
      </c>
      <c r="H1965" t="inlineStr">
        <is>
          <t>Retail Store</t>
        </is>
      </c>
      <c r="I1965" t="n">
        <v>4</v>
      </c>
      <c r="J1965" s="3" t="n">
        <v>162.28</v>
      </c>
      <c r="K1965" s="3" t="n">
        <v>24.34</v>
      </c>
      <c r="L1965" s="3" t="n">
        <v>137.94</v>
      </c>
      <c r="M1965" s="3" t="n">
        <v>110.56</v>
      </c>
      <c r="N1965" s="3" t="n">
        <v>27.38</v>
      </c>
      <c r="O1965">
        <f>TEXT(A1965,"yyyy-mm")</f>
        <v/>
      </c>
    </row>
    <row r="1966">
      <c r="A1966" s="2" t="n">
        <v>45840</v>
      </c>
      <c r="B1966" t="n">
        <v>2025</v>
      </c>
      <c r="C1966" t="inlineStr">
        <is>
          <t>July</t>
        </is>
      </c>
      <c r="D1966" t="inlineStr">
        <is>
          <t>Deluxe Puzzle</t>
        </is>
      </c>
      <c r="E1966" t="inlineStr">
        <is>
          <t>Toys &amp; Games</t>
        </is>
      </c>
      <c r="F1966" t="inlineStr">
        <is>
          <t>Maria Garcia</t>
        </is>
      </c>
      <c r="G1966" t="inlineStr">
        <is>
          <t>United Kingdom</t>
        </is>
      </c>
      <c r="H1966" t="inlineStr">
        <is>
          <t>Retail Store</t>
        </is>
      </c>
      <c r="I1966" t="n">
        <v>3</v>
      </c>
      <c r="J1966" s="3" t="n">
        <v>621.12</v>
      </c>
      <c r="K1966" s="3" t="n">
        <v>93.17</v>
      </c>
      <c r="L1966" s="3" t="n">
        <v>527.95</v>
      </c>
      <c r="M1966" s="3" t="n">
        <v>333.51</v>
      </c>
      <c r="N1966" s="3" t="n">
        <v>194.44</v>
      </c>
      <c r="O1966">
        <f>TEXT(A1966,"yyyy-mm")</f>
        <v/>
      </c>
    </row>
    <row r="1967">
      <c r="A1967" s="2" t="n">
        <v>45841</v>
      </c>
      <c r="B1967" t="n">
        <v>2025</v>
      </c>
      <c r="C1967" t="inlineStr">
        <is>
          <t>July</t>
        </is>
      </c>
      <c r="D1967" t="inlineStr">
        <is>
          <t>Smart Cookbook</t>
        </is>
      </c>
      <c r="E1967" t="inlineStr">
        <is>
          <t>Books</t>
        </is>
      </c>
      <c r="F1967" t="inlineStr">
        <is>
          <t>Laura Muller</t>
        </is>
      </c>
      <c r="G1967" t="inlineStr">
        <is>
          <t>Italy</t>
        </is>
      </c>
      <c r="H1967" t="inlineStr">
        <is>
          <t>Marketplace</t>
        </is>
      </c>
      <c r="I1967" t="n">
        <v>1</v>
      </c>
      <c r="J1967" s="3" t="n">
        <v>17.83</v>
      </c>
      <c r="K1967" s="3" t="n">
        <v>0</v>
      </c>
      <c r="L1967" s="3" t="n">
        <v>17.83</v>
      </c>
      <c r="M1967" s="3" t="n">
        <v>9.880000000000001</v>
      </c>
      <c r="N1967" s="3" t="n">
        <v>7.95</v>
      </c>
      <c r="O1967">
        <f>TEXT(A1967,"yyyy-mm")</f>
        <v/>
      </c>
    </row>
    <row r="1968">
      <c r="A1968" s="2" t="n">
        <v>45841</v>
      </c>
      <c r="B1968" t="n">
        <v>2025</v>
      </c>
      <c r="C1968" t="inlineStr">
        <is>
          <t>July</t>
        </is>
      </c>
      <c r="D1968" t="inlineStr">
        <is>
          <t>Smart Face Cream</t>
        </is>
      </c>
      <c r="E1968" t="inlineStr">
        <is>
          <t>Beauty &amp; Health</t>
        </is>
      </c>
      <c r="F1968" t="inlineStr">
        <is>
          <t>Laura Muller</t>
        </is>
      </c>
      <c r="G1968" t="inlineStr">
        <is>
          <t>Italy</t>
        </is>
      </c>
      <c r="H1968" t="inlineStr">
        <is>
          <t>Marketplace</t>
        </is>
      </c>
      <c r="I1968" t="n">
        <v>5</v>
      </c>
      <c r="J1968" s="3" t="n">
        <v>1323.15</v>
      </c>
      <c r="K1968" s="3" t="n">
        <v>0</v>
      </c>
      <c r="L1968" s="3" t="n">
        <v>1323.15</v>
      </c>
      <c r="M1968" s="3" t="n">
        <v>965.7</v>
      </c>
      <c r="N1968" s="3" t="n">
        <v>357.45</v>
      </c>
      <c r="O1968">
        <f>TEXT(A1968,"yyyy-mm")</f>
        <v/>
      </c>
    </row>
    <row r="1969">
      <c r="A1969" s="2" t="n">
        <v>45841</v>
      </c>
      <c r="B1969" t="n">
        <v>2025</v>
      </c>
      <c r="C1969" t="inlineStr">
        <is>
          <t>July</t>
        </is>
      </c>
      <c r="D1969" t="inlineStr">
        <is>
          <t>Deluxe Smartwatch</t>
        </is>
      </c>
      <c r="E1969" t="inlineStr">
        <is>
          <t>Electronics</t>
        </is>
      </c>
      <c r="F1969" t="inlineStr">
        <is>
          <t>Laura Muller</t>
        </is>
      </c>
      <c r="G1969" t="inlineStr">
        <is>
          <t>Italy</t>
        </is>
      </c>
      <c r="H1969" t="inlineStr">
        <is>
          <t>Marketplace</t>
        </is>
      </c>
      <c r="I1969" t="n">
        <v>3</v>
      </c>
      <c r="J1969" s="3" t="n">
        <v>501.15</v>
      </c>
      <c r="K1969" s="3" t="n">
        <v>50.12</v>
      </c>
      <c r="L1969" s="3" t="n">
        <v>451.04</v>
      </c>
      <c r="M1969" s="3" t="n">
        <v>368.16</v>
      </c>
      <c r="N1969" s="3" t="n">
        <v>82.88</v>
      </c>
      <c r="O1969">
        <f>TEXT(A1969,"yyyy-mm")</f>
        <v/>
      </c>
    </row>
    <row r="1970">
      <c r="A1970" s="2" t="n">
        <v>45841</v>
      </c>
      <c r="B1970" t="n">
        <v>2025</v>
      </c>
      <c r="C1970" t="inlineStr">
        <is>
          <t>July</t>
        </is>
      </c>
      <c r="D1970" t="inlineStr">
        <is>
          <t>Classic Tent</t>
        </is>
      </c>
      <c r="E1970" t="inlineStr">
        <is>
          <t>Sports &amp; Outdoors</t>
        </is>
      </c>
      <c r="F1970" t="inlineStr">
        <is>
          <t>Laura Muller</t>
        </is>
      </c>
      <c r="G1970" t="inlineStr">
        <is>
          <t>Italy</t>
        </is>
      </c>
      <c r="H1970" t="inlineStr">
        <is>
          <t>Marketplace</t>
        </is>
      </c>
      <c r="I1970" t="n">
        <v>2</v>
      </c>
      <c r="J1970" s="3" t="n">
        <v>391.56</v>
      </c>
      <c r="K1970" s="3" t="n">
        <v>0</v>
      </c>
      <c r="L1970" s="3" t="n">
        <v>391.56</v>
      </c>
      <c r="M1970" s="3" t="n">
        <v>236.04</v>
      </c>
      <c r="N1970" s="3" t="n">
        <v>155.52</v>
      </c>
      <c r="O1970">
        <f>TEXT(A1970,"yyyy-mm")</f>
        <v/>
      </c>
    </row>
    <row r="1971">
      <c r="A1971" s="2" t="n">
        <v>45842</v>
      </c>
      <c r="B1971" t="n">
        <v>2025</v>
      </c>
      <c r="C1971" t="inlineStr">
        <is>
          <t>July</t>
        </is>
      </c>
      <c r="D1971" t="inlineStr">
        <is>
          <t>Premium Tent</t>
        </is>
      </c>
      <c r="E1971" t="inlineStr">
        <is>
          <t>Sports &amp; Outdoors</t>
        </is>
      </c>
      <c r="F1971" t="inlineStr">
        <is>
          <t>Thomas Schmidt</t>
        </is>
      </c>
      <c r="G1971" t="inlineStr">
        <is>
          <t>Germany</t>
        </is>
      </c>
      <c r="H1971" t="inlineStr">
        <is>
          <t>Web Store</t>
        </is>
      </c>
      <c r="I1971" t="n">
        <v>3</v>
      </c>
      <c r="J1971" s="3" t="n">
        <v>418.35</v>
      </c>
      <c r="K1971" s="3" t="n">
        <v>83.67</v>
      </c>
      <c r="L1971" s="3" t="n">
        <v>334.68</v>
      </c>
      <c r="M1971" s="3" t="n">
        <v>289.2</v>
      </c>
      <c r="N1971" s="3" t="n">
        <v>45.48</v>
      </c>
      <c r="O1971">
        <f>TEXT(A1971,"yyyy-mm")</f>
        <v/>
      </c>
    </row>
    <row r="1972">
      <c r="A1972" s="2" t="n">
        <v>45842</v>
      </c>
      <c r="B1972" t="n">
        <v>2025</v>
      </c>
      <c r="C1972" t="inlineStr">
        <is>
          <t>July</t>
        </is>
      </c>
      <c r="D1972" t="inlineStr">
        <is>
          <t>Eco Biography</t>
        </is>
      </c>
      <c r="E1972" t="inlineStr">
        <is>
          <t>Books</t>
        </is>
      </c>
      <c r="F1972" t="inlineStr">
        <is>
          <t>Thomas Schmidt</t>
        </is>
      </c>
      <c r="G1972" t="inlineStr">
        <is>
          <t>Germany</t>
        </is>
      </c>
      <c r="H1972" t="inlineStr">
        <is>
          <t>Web Store</t>
        </is>
      </c>
      <c r="I1972" t="n">
        <v>1</v>
      </c>
      <c r="J1972" s="3" t="n">
        <v>116.38</v>
      </c>
      <c r="K1972" s="3" t="n">
        <v>0</v>
      </c>
      <c r="L1972" s="3" t="n">
        <v>116.38</v>
      </c>
      <c r="M1972" s="3" t="n">
        <v>71.02</v>
      </c>
      <c r="N1972" s="3" t="n">
        <v>45.36</v>
      </c>
      <c r="O1972">
        <f>TEXT(A1972,"yyyy-mm")</f>
        <v/>
      </c>
    </row>
    <row r="1973">
      <c r="A1973" s="2" t="n">
        <v>45842</v>
      </c>
      <c r="B1973" t="n">
        <v>2025</v>
      </c>
      <c r="C1973" t="inlineStr">
        <is>
          <t>July</t>
        </is>
      </c>
      <c r="D1973" t="inlineStr">
        <is>
          <t>Compact Biography</t>
        </is>
      </c>
      <c r="E1973" t="inlineStr">
        <is>
          <t>Books</t>
        </is>
      </c>
      <c r="F1973" t="inlineStr">
        <is>
          <t>Julia Wilson</t>
        </is>
      </c>
      <c r="G1973" t="inlineStr">
        <is>
          <t>United Kingdom</t>
        </is>
      </c>
      <c r="H1973" t="inlineStr">
        <is>
          <t>Retail Store</t>
        </is>
      </c>
      <c r="I1973" t="n">
        <v>2</v>
      </c>
      <c r="J1973" s="3" t="n">
        <v>509.76</v>
      </c>
      <c r="K1973" s="3" t="n">
        <v>25.49</v>
      </c>
      <c r="L1973" s="3" t="n">
        <v>484.27</v>
      </c>
      <c r="M1973" s="3" t="n">
        <v>280.66</v>
      </c>
      <c r="N1973" s="3" t="n">
        <v>203.61</v>
      </c>
      <c r="O1973">
        <f>TEXT(A1973,"yyyy-mm")</f>
        <v/>
      </c>
    </row>
    <row r="1974">
      <c r="A1974" s="2" t="n">
        <v>45842</v>
      </c>
      <c r="B1974" t="n">
        <v>2025</v>
      </c>
      <c r="C1974" t="inlineStr">
        <is>
          <t>July</t>
        </is>
      </c>
      <c r="D1974" t="inlineStr">
        <is>
          <t>Classic Charger</t>
        </is>
      </c>
      <c r="E1974" t="inlineStr">
        <is>
          <t>Electronics</t>
        </is>
      </c>
      <c r="F1974" t="inlineStr">
        <is>
          <t>Sophie Dubois</t>
        </is>
      </c>
      <c r="G1974" t="inlineStr">
        <is>
          <t>United Kingdom</t>
        </is>
      </c>
      <c r="H1974" t="inlineStr">
        <is>
          <t>Marketplace</t>
        </is>
      </c>
      <c r="I1974" t="n">
        <v>5</v>
      </c>
      <c r="J1974" s="3" t="n">
        <v>469.85</v>
      </c>
      <c r="K1974" s="3" t="n">
        <v>0</v>
      </c>
      <c r="L1974" s="3" t="n">
        <v>469.85</v>
      </c>
      <c r="M1974" s="3" t="n">
        <v>311.05</v>
      </c>
      <c r="N1974" s="3" t="n">
        <v>158.8</v>
      </c>
      <c r="O1974">
        <f>TEXT(A1974,"yyyy-mm")</f>
        <v/>
      </c>
    </row>
    <row r="1975">
      <c r="A1975" s="2" t="n">
        <v>45842</v>
      </c>
      <c r="B1975" t="n">
        <v>2025</v>
      </c>
      <c r="C1975" t="inlineStr">
        <is>
          <t>July</t>
        </is>
      </c>
      <c r="D1975" t="inlineStr">
        <is>
          <t>Eco Backpack</t>
        </is>
      </c>
      <c r="E1975" t="inlineStr">
        <is>
          <t>Sports &amp; Outdoors</t>
        </is>
      </c>
      <c r="F1975" t="inlineStr">
        <is>
          <t>Sophie Dubois</t>
        </is>
      </c>
      <c r="G1975" t="inlineStr">
        <is>
          <t>United Kingdom</t>
        </is>
      </c>
      <c r="H1975" t="inlineStr">
        <is>
          <t>Marketplace</t>
        </is>
      </c>
      <c r="I1975" t="n">
        <v>2</v>
      </c>
      <c r="J1975" s="3" t="n">
        <v>554.66</v>
      </c>
      <c r="K1975" s="3" t="n">
        <v>0</v>
      </c>
      <c r="L1975" s="3" t="n">
        <v>554.66</v>
      </c>
      <c r="M1975" s="3" t="n">
        <v>293.16</v>
      </c>
      <c r="N1975" s="3" t="n">
        <v>261.5</v>
      </c>
      <c r="O1975">
        <f>TEXT(A1975,"yyyy-mm")</f>
        <v/>
      </c>
    </row>
    <row r="1976">
      <c r="A1976" s="2" t="n">
        <v>45842</v>
      </c>
      <c r="B1976" t="n">
        <v>2025</v>
      </c>
      <c r="C1976" t="inlineStr">
        <is>
          <t>July</t>
        </is>
      </c>
      <c r="D1976" t="inlineStr">
        <is>
          <t>Smart Coffee Beans</t>
        </is>
      </c>
      <c r="E1976" t="inlineStr">
        <is>
          <t>Grocery</t>
        </is>
      </c>
      <c r="F1976" t="inlineStr">
        <is>
          <t>Thomas Schmidt</t>
        </is>
      </c>
      <c r="G1976" t="inlineStr">
        <is>
          <t>Germany</t>
        </is>
      </c>
      <c r="H1976" t="inlineStr">
        <is>
          <t>Web Store</t>
        </is>
      </c>
      <c r="I1976" t="n">
        <v>5</v>
      </c>
      <c r="J1976" s="3" t="n">
        <v>551.05</v>
      </c>
      <c r="K1976" s="3" t="n">
        <v>27.55</v>
      </c>
      <c r="L1976" s="3" t="n">
        <v>523.5</v>
      </c>
      <c r="M1976" s="3" t="n">
        <v>364.25</v>
      </c>
      <c r="N1976" s="3" t="n">
        <v>159.25</v>
      </c>
      <c r="O1976">
        <f>TEXT(A1976,"yyyy-mm")</f>
        <v/>
      </c>
    </row>
    <row r="1977">
      <c r="A1977" s="2" t="n">
        <v>45842</v>
      </c>
      <c r="B1977" t="n">
        <v>2025</v>
      </c>
      <c r="C1977" t="inlineStr">
        <is>
          <t>July</t>
        </is>
      </c>
      <c r="D1977" t="inlineStr">
        <is>
          <t>Eco Sweater</t>
        </is>
      </c>
      <c r="E1977" t="inlineStr">
        <is>
          <t>Clothing</t>
        </is>
      </c>
      <c r="F1977" t="inlineStr">
        <is>
          <t>Clara Muller</t>
        </is>
      </c>
      <c r="G1977" t="inlineStr">
        <is>
          <t>Germany</t>
        </is>
      </c>
      <c r="H1977" t="inlineStr">
        <is>
          <t>Retail Store</t>
        </is>
      </c>
      <c r="I1977" t="n">
        <v>5</v>
      </c>
      <c r="J1977" s="3" t="n">
        <v>734.1</v>
      </c>
      <c r="K1977" s="3" t="n">
        <v>73.41</v>
      </c>
      <c r="L1977" s="3" t="n">
        <v>660.6900000000001</v>
      </c>
      <c r="M1977" s="3" t="n">
        <v>521.15</v>
      </c>
      <c r="N1977" s="3" t="n">
        <v>139.54</v>
      </c>
      <c r="O1977">
        <f>TEXT(A1977,"yyyy-mm")</f>
        <v/>
      </c>
    </row>
    <row r="1978">
      <c r="A1978" s="2" t="n">
        <v>45842</v>
      </c>
      <c r="B1978" t="n">
        <v>2025</v>
      </c>
      <c r="C1978" t="inlineStr">
        <is>
          <t>July</t>
        </is>
      </c>
      <c r="D1978" t="inlineStr">
        <is>
          <t>Smart Olive Oil</t>
        </is>
      </c>
      <c r="E1978" t="inlineStr">
        <is>
          <t>Grocery</t>
        </is>
      </c>
      <c r="F1978" t="inlineStr">
        <is>
          <t>Clara Muller</t>
        </is>
      </c>
      <c r="G1978" t="inlineStr">
        <is>
          <t>Germany</t>
        </is>
      </c>
      <c r="H1978" t="inlineStr">
        <is>
          <t>Retail Store</t>
        </is>
      </c>
      <c r="I1978" t="n">
        <v>3</v>
      </c>
      <c r="J1978" s="3" t="n">
        <v>507.84</v>
      </c>
      <c r="K1978" s="3" t="n">
        <v>101.57</v>
      </c>
      <c r="L1978" s="3" t="n">
        <v>406.27</v>
      </c>
      <c r="M1978" s="3" t="n">
        <v>330.06</v>
      </c>
      <c r="N1978" s="3" t="n">
        <v>76.20999999999999</v>
      </c>
      <c r="O1978">
        <f>TEXT(A1978,"yyyy-mm")</f>
        <v/>
      </c>
    </row>
    <row r="1979">
      <c r="A1979" s="2" t="n">
        <v>45842</v>
      </c>
      <c r="B1979" t="n">
        <v>2025</v>
      </c>
      <c r="C1979" t="inlineStr">
        <is>
          <t>July</t>
        </is>
      </c>
      <c r="D1979" t="inlineStr">
        <is>
          <t>Smart Face Cream</t>
        </is>
      </c>
      <c r="E1979" t="inlineStr">
        <is>
          <t>Beauty &amp; Health</t>
        </is>
      </c>
      <c r="F1979" t="inlineStr">
        <is>
          <t>Clara Muller</t>
        </is>
      </c>
      <c r="G1979" t="inlineStr">
        <is>
          <t>Germany</t>
        </is>
      </c>
      <c r="H1979" t="inlineStr">
        <is>
          <t>Retail Store</t>
        </is>
      </c>
      <c r="I1979" t="n">
        <v>1</v>
      </c>
      <c r="J1979" s="3" t="n">
        <v>273.46</v>
      </c>
      <c r="K1979" s="3" t="n">
        <v>0</v>
      </c>
      <c r="L1979" s="3" t="n">
        <v>273.46</v>
      </c>
      <c r="M1979" s="3" t="n">
        <v>193.14</v>
      </c>
      <c r="N1979" s="3" t="n">
        <v>80.31999999999999</v>
      </c>
      <c r="O1979">
        <f>TEXT(A1979,"yyyy-mm")</f>
        <v/>
      </c>
    </row>
    <row r="1980">
      <c r="A1980" s="2" t="n">
        <v>45842</v>
      </c>
      <c r="B1980" t="n">
        <v>2025</v>
      </c>
      <c r="C1980" t="inlineStr">
        <is>
          <t>July</t>
        </is>
      </c>
      <c r="D1980" t="inlineStr">
        <is>
          <t>Eco Tent</t>
        </is>
      </c>
      <c r="E1980" t="inlineStr">
        <is>
          <t>Sports &amp; Outdoors</t>
        </is>
      </c>
      <c r="F1980" t="inlineStr">
        <is>
          <t>Thomas Schmidt</t>
        </is>
      </c>
      <c r="G1980" t="inlineStr">
        <is>
          <t>Germany</t>
        </is>
      </c>
      <c r="H1980" t="inlineStr">
        <is>
          <t>Web Store</t>
        </is>
      </c>
      <c r="I1980" t="n">
        <v>5</v>
      </c>
      <c r="J1980" s="3" t="n">
        <v>344.1</v>
      </c>
      <c r="K1980" s="3" t="n">
        <v>17.2</v>
      </c>
      <c r="L1980" s="3" t="n">
        <v>326.9</v>
      </c>
      <c r="M1980" s="3" t="n">
        <v>219.25</v>
      </c>
      <c r="N1980" s="3" t="n">
        <v>107.64</v>
      </c>
      <c r="O1980">
        <f>TEXT(A1980,"yyyy-mm")</f>
        <v/>
      </c>
    </row>
    <row r="1981">
      <c r="A1981" s="2" t="n">
        <v>45843</v>
      </c>
      <c r="B1981" t="n">
        <v>2025</v>
      </c>
      <c r="C1981" t="inlineStr">
        <is>
          <t>July</t>
        </is>
      </c>
      <c r="D1981" t="inlineStr">
        <is>
          <t>Compact Sunscreen</t>
        </is>
      </c>
      <c r="E1981" t="inlineStr">
        <is>
          <t>Beauty &amp; Health</t>
        </is>
      </c>
      <c r="F1981" t="inlineStr">
        <is>
          <t>Maria Nowak</t>
        </is>
      </c>
      <c r="G1981" t="inlineStr">
        <is>
          <t>Poland</t>
        </is>
      </c>
      <c r="H1981" t="inlineStr">
        <is>
          <t>Retail Store</t>
        </is>
      </c>
      <c r="I1981" t="n">
        <v>5</v>
      </c>
      <c r="J1981" s="3" t="n">
        <v>1554.2</v>
      </c>
      <c r="K1981" s="3" t="n">
        <v>77.70999999999999</v>
      </c>
      <c r="L1981" s="3" t="n">
        <v>1476.49</v>
      </c>
      <c r="M1981" s="3" t="n">
        <v>888.3</v>
      </c>
      <c r="N1981" s="3" t="n">
        <v>588.1900000000001</v>
      </c>
      <c r="O1981">
        <f>TEXT(A1981,"yyyy-mm")</f>
        <v/>
      </c>
    </row>
    <row r="1982">
      <c r="A1982" s="2" t="n">
        <v>45843</v>
      </c>
      <c r="B1982" t="n">
        <v>2025</v>
      </c>
      <c r="C1982" t="inlineStr">
        <is>
          <t>July</t>
        </is>
      </c>
      <c r="D1982" t="inlineStr">
        <is>
          <t>Essential Toolset</t>
        </is>
      </c>
      <c r="E1982" t="inlineStr">
        <is>
          <t>Home &amp; Garden</t>
        </is>
      </c>
      <c r="F1982" t="inlineStr">
        <is>
          <t>Maria Nowak</t>
        </is>
      </c>
      <c r="G1982" t="inlineStr">
        <is>
          <t>Poland</t>
        </is>
      </c>
      <c r="H1982" t="inlineStr">
        <is>
          <t>Retail Store</t>
        </is>
      </c>
      <c r="I1982" t="n">
        <v>5</v>
      </c>
      <c r="J1982" s="3" t="n">
        <v>1022.6</v>
      </c>
      <c r="K1982" s="3" t="n">
        <v>204.52</v>
      </c>
      <c r="L1982" s="3" t="n">
        <v>818.08</v>
      </c>
      <c r="M1982" s="3" t="n">
        <v>752.65</v>
      </c>
      <c r="N1982" s="3" t="n">
        <v>65.43000000000001</v>
      </c>
      <c r="O1982">
        <f>TEXT(A1982,"yyyy-mm")</f>
        <v/>
      </c>
    </row>
    <row r="1983">
      <c r="A1983" s="2" t="n">
        <v>45843</v>
      </c>
      <c r="B1983" t="n">
        <v>2025</v>
      </c>
      <c r="C1983" t="inlineStr">
        <is>
          <t>July</t>
        </is>
      </c>
      <c r="D1983" t="inlineStr">
        <is>
          <t>Portable Tea Set</t>
        </is>
      </c>
      <c r="E1983" t="inlineStr">
        <is>
          <t>Grocery</t>
        </is>
      </c>
      <c r="F1983" t="inlineStr">
        <is>
          <t>Nina Weber</t>
        </is>
      </c>
      <c r="G1983" t="inlineStr">
        <is>
          <t>Italy</t>
        </is>
      </c>
      <c r="H1983" t="inlineStr">
        <is>
          <t>Mobile App</t>
        </is>
      </c>
      <c r="I1983" t="n">
        <v>5</v>
      </c>
      <c r="J1983" s="3" t="n">
        <v>1413.45</v>
      </c>
      <c r="K1983" s="3" t="n">
        <v>0</v>
      </c>
      <c r="L1983" s="3" t="n">
        <v>1413.45</v>
      </c>
      <c r="M1983" s="3" t="n">
        <v>940.6</v>
      </c>
      <c r="N1983" s="3" t="n">
        <v>472.85</v>
      </c>
      <c r="O1983">
        <f>TEXT(A1983,"yyyy-mm")</f>
        <v/>
      </c>
    </row>
    <row r="1984">
      <c r="A1984" s="2" t="n">
        <v>45843</v>
      </c>
      <c r="B1984" t="n">
        <v>2025</v>
      </c>
      <c r="C1984" t="inlineStr">
        <is>
          <t>July</t>
        </is>
      </c>
      <c r="D1984" t="inlineStr">
        <is>
          <t>Compact Pasta</t>
        </is>
      </c>
      <c r="E1984" t="inlineStr">
        <is>
          <t>Grocery</t>
        </is>
      </c>
      <c r="F1984" t="inlineStr">
        <is>
          <t>Nina Weber</t>
        </is>
      </c>
      <c r="G1984" t="inlineStr">
        <is>
          <t>Italy</t>
        </is>
      </c>
      <c r="H1984" t="inlineStr">
        <is>
          <t>Mobile App</t>
        </is>
      </c>
      <c r="I1984" t="n">
        <v>3</v>
      </c>
      <c r="J1984" s="3" t="n">
        <v>935.64</v>
      </c>
      <c r="K1984" s="3" t="n">
        <v>0</v>
      </c>
      <c r="L1984" s="3" t="n">
        <v>935.64</v>
      </c>
      <c r="M1984" s="3" t="n">
        <v>598.2</v>
      </c>
      <c r="N1984" s="3" t="n">
        <v>337.44</v>
      </c>
      <c r="O1984">
        <f>TEXT(A1984,"yyyy-mm")</f>
        <v/>
      </c>
    </row>
    <row r="1985">
      <c r="A1985" s="2" t="n">
        <v>45843</v>
      </c>
      <c r="B1985" t="n">
        <v>2025</v>
      </c>
      <c r="C1985" t="inlineStr">
        <is>
          <t>July</t>
        </is>
      </c>
      <c r="D1985" t="inlineStr">
        <is>
          <t>Ultra Rug</t>
        </is>
      </c>
      <c r="E1985" t="inlineStr">
        <is>
          <t>Home &amp; Garden</t>
        </is>
      </c>
      <c r="F1985" t="inlineStr">
        <is>
          <t>Nina Weber</t>
        </is>
      </c>
      <c r="G1985" t="inlineStr">
        <is>
          <t>Italy</t>
        </is>
      </c>
      <c r="H1985" t="inlineStr">
        <is>
          <t>Mobile App</t>
        </is>
      </c>
      <c r="I1985" t="n">
        <v>3</v>
      </c>
      <c r="J1985" s="3" t="n">
        <v>154.95</v>
      </c>
      <c r="K1985" s="3" t="n">
        <v>0</v>
      </c>
      <c r="L1985" s="3" t="n">
        <v>154.95</v>
      </c>
      <c r="M1985" s="3" t="n">
        <v>98.73</v>
      </c>
      <c r="N1985" s="3" t="n">
        <v>56.22</v>
      </c>
      <c r="O1985">
        <f>TEXT(A1985,"yyyy-mm")</f>
        <v/>
      </c>
    </row>
    <row r="1986">
      <c r="A1986" s="2" t="n">
        <v>45844</v>
      </c>
      <c r="B1986" t="n">
        <v>2025</v>
      </c>
      <c r="C1986" t="inlineStr">
        <is>
          <t>July</t>
        </is>
      </c>
      <c r="D1986" t="inlineStr">
        <is>
          <t>Smart Drone</t>
        </is>
      </c>
      <c r="E1986" t="inlineStr">
        <is>
          <t>Toys &amp; Games</t>
        </is>
      </c>
      <c r="F1986" t="inlineStr">
        <is>
          <t>David Johnson</t>
        </is>
      </c>
      <c r="G1986" t="inlineStr">
        <is>
          <t>Poland</t>
        </is>
      </c>
      <c r="H1986" t="inlineStr">
        <is>
          <t>Retail Store</t>
        </is>
      </c>
      <c r="I1986" t="n">
        <v>2</v>
      </c>
      <c r="J1986" s="3" t="n">
        <v>436.96</v>
      </c>
      <c r="K1986" s="3" t="n">
        <v>65.54000000000001</v>
      </c>
      <c r="L1986" s="3" t="n">
        <v>371.42</v>
      </c>
      <c r="M1986" s="3" t="n">
        <v>253.9</v>
      </c>
      <c r="N1986" s="3" t="n">
        <v>117.52</v>
      </c>
      <c r="O1986">
        <f>TEXT(A1986,"yyyy-mm")</f>
        <v/>
      </c>
    </row>
    <row r="1987">
      <c r="A1987" s="2" t="n">
        <v>45844</v>
      </c>
      <c r="B1987" t="n">
        <v>2025</v>
      </c>
      <c r="C1987" t="inlineStr">
        <is>
          <t>July</t>
        </is>
      </c>
      <c r="D1987" t="inlineStr">
        <is>
          <t>Wireless Drone</t>
        </is>
      </c>
      <c r="E1987" t="inlineStr">
        <is>
          <t>Toys &amp; Games</t>
        </is>
      </c>
      <c r="F1987" t="inlineStr">
        <is>
          <t>David Johnson</t>
        </is>
      </c>
      <c r="G1987" t="inlineStr">
        <is>
          <t>Poland</t>
        </is>
      </c>
      <c r="H1987" t="inlineStr">
        <is>
          <t>Retail Store</t>
        </is>
      </c>
      <c r="I1987" t="n">
        <v>2</v>
      </c>
      <c r="J1987" s="3" t="n">
        <v>454.96</v>
      </c>
      <c r="K1987" s="3" t="n">
        <v>0</v>
      </c>
      <c r="L1987" s="3" t="n">
        <v>454.96</v>
      </c>
      <c r="M1987" s="3" t="n">
        <v>262.58</v>
      </c>
      <c r="N1987" s="3" t="n">
        <v>192.38</v>
      </c>
      <c r="O1987">
        <f>TEXT(A1987,"yyyy-mm")</f>
        <v/>
      </c>
    </row>
    <row r="1988">
      <c r="A1988" s="2" t="n">
        <v>45844</v>
      </c>
      <c r="B1988" t="n">
        <v>2025</v>
      </c>
      <c r="C1988" t="inlineStr">
        <is>
          <t>July</t>
        </is>
      </c>
      <c r="D1988" t="inlineStr">
        <is>
          <t>Deluxe Notebook</t>
        </is>
      </c>
      <c r="E1988" t="inlineStr">
        <is>
          <t>Books</t>
        </is>
      </c>
      <c r="F1988" t="inlineStr">
        <is>
          <t>David Johnson</t>
        </is>
      </c>
      <c r="G1988" t="inlineStr">
        <is>
          <t>Poland</t>
        </is>
      </c>
      <c r="H1988" t="inlineStr">
        <is>
          <t>Retail Store</t>
        </is>
      </c>
      <c r="I1988" t="n">
        <v>5</v>
      </c>
      <c r="J1988" s="3" t="n">
        <v>1050.15</v>
      </c>
      <c r="K1988" s="3" t="n">
        <v>52.51</v>
      </c>
      <c r="L1988" s="3" t="n">
        <v>997.64</v>
      </c>
      <c r="M1988" s="3" t="n">
        <v>753.8</v>
      </c>
      <c r="N1988" s="3" t="n">
        <v>243.84</v>
      </c>
      <c r="O1988">
        <f>TEXT(A1988,"yyyy-mm")</f>
        <v/>
      </c>
    </row>
    <row r="1989">
      <c r="A1989" s="2" t="n">
        <v>45844</v>
      </c>
      <c r="B1989" t="n">
        <v>2025</v>
      </c>
      <c r="C1989" t="inlineStr">
        <is>
          <t>July</t>
        </is>
      </c>
      <c r="D1989" t="inlineStr">
        <is>
          <t>Essential Toolset</t>
        </is>
      </c>
      <c r="E1989" t="inlineStr">
        <is>
          <t>Home &amp; Garden</t>
        </is>
      </c>
      <c r="F1989" t="inlineStr">
        <is>
          <t>David Johnson</t>
        </is>
      </c>
      <c r="G1989" t="inlineStr">
        <is>
          <t>Poland</t>
        </is>
      </c>
      <c r="H1989" t="inlineStr">
        <is>
          <t>Retail Store</t>
        </is>
      </c>
      <c r="I1989" t="n">
        <v>5</v>
      </c>
      <c r="J1989" s="3" t="n">
        <v>1043.2</v>
      </c>
      <c r="K1989" s="3" t="n">
        <v>52.16</v>
      </c>
      <c r="L1989" s="3" t="n">
        <v>991.04</v>
      </c>
      <c r="M1989" s="3" t="n">
        <v>752.65</v>
      </c>
      <c r="N1989" s="3" t="n">
        <v>238.39</v>
      </c>
      <c r="O1989">
        <f>TEXT(A1989,"yyyy-mm")</f>
        <v/>
      </c>
    </row>
    <row r="1990">
      <c r="A1990" s="2" t="n">
        <v>45844</v>
      </c>
      <c r="B1990" t="n">
        <v>2025</v>
      </c>
      <c r="C1990" t="inlineStr">
        <is>
          <t>July</t>
        </is>
      </c>
      <c r="D1990" t="inlineStr">
        <is>
          <t>Premium Cookbook</t>
        </is>
      </c>
      <c r="E1990" t="inlineStr">
        <is>
          <t>Books</t>
        </is>
      </c>
      <c r="F1990" t="inlineStr">
        <is>
          <t>Clara Johnson</t>
        </is>
      </c>
      <c r="G1990" t="inlineStr">
        <is>
          <t>United Kingdom</t>
        </is>
      </c>
      <c r="H1990" t="inlineStr">
        <is>
          <t>Marketplace</t>
        </is>
      </c>
      <c r="I1990" t="n">
        <v>1</v>
      </c>
      <c r="J1990" s="3" t="n">
        <v>133.7</v>
      </c>
      <c r="K1990" s="3" t="n">
        <v>20.05</v>
      </c>
      <c r="L1990" s="3" t="n">
        <v>113.64</v>
      </c>
      <c r="M1990" s="3" t="n">
        <v>94.98</v>
      </c>
      <c r="N1990" s="3" t="n">
        <v>18.66</v>
      </c>
      <c r="O1990">
        <f>TEXT(A1990,"yyyy-mm")</f>
        <v/>
      </c>
    </row>
    <row r="1991">
      <c r="A1991" s="2" t="n">
        <v>45844</v>
      </c>
      <c r="B1991" t="n">
        <v>2025</v>
      </c>
      <c r="C1991" t="inlineStr">
        <is>
          <t>July</t>
        </is>
      </c>
      <c r="D1991" t="inlineStr">
        <is>
          <t>Eco Biography</t>
        </is>
      </c>
      <c r="E1991" t="inlineStr">
        <is>
          <t>Books</t>
        </is>
      </c>
      <c r="F1991" t="inlineStr">
        <is>
          <t>Clara Johnson</t>
        </is>
      </c>
      <c r="G1991" t="inlineStr">
        <is>
          <t>United Kingdom</t>
        </is>
      </c>
      <c r="H1991" t="inlineStr">
        <is>
          <t>Marketplace</t>
        </is>
      </c>
      <c r="I1991" t="n">
        <v>3</v>
      </c>
      <c r="J1991" s="3" t="n">
        <v>380.85</v>
      </c>
      <c r="K1991" s="3" t="n">
        <v>38.08</v>
      </c>
      <c r="L1991" s="3" t="n">
        <v>342.77</v>
      </c>
      <c r="M1991" s="3" t="n">
        <v>213.06</v>
      </c>
      <c r="N1991" s="3" t="n">
        <v>129.71</v>
      </c>
      <c r="O1991">
        <f>TEXT(A1991,"yyyy-mm")</f>
        <v/>
      </c>
    </row>
    <row r="1992">
      <c r="A1992" s="2" t="n">
        <v>45844</v>
      </c>
      <c r="B1992" t="n">
        <v>2025</v>
      </c>
      <c r="C1992" t="inlineStr">
        <is>
          <t>July</t>
        </is>
      </c>
      <c r="D1992" t="inlineStr">
        <is>
          <t>Deluxe Scarf</t>
        </is>
      </c>
      <c r="E1992" t="inlineStr">
        <is>
          <t>Clothing</t>
        </is>
      </c>
      <c r="F1992" t="inlineStr">
        <is>
          <t>Anna Bianchi</t>
        </is>
      </c>
      <c r="G1992" t="inlineStr">
        <is>
          <t>Germany</t>
        </is>
      </c>
      <c r="H1992" t="inlineStr">
        <is>
          <t>Web Store</t>
        </is>
      </c>
      <c r="I1992" t="n">
        <v>5</v>
      </c>
      <c r="J1992" s="3" t="n">
        <v>978.2</v>
      </c>
      <c r="K1992" s="3" t="n">
        <v>97.81999999999999</v>
      </c>
      <c r="L1992" s="3" t="n">
        <v>880.38</v>
      </c>
      <c r="M1992" s="3" t="n">
        <v>542.6</v>
      </c>
      <c r="N1992" s="3" t="n">
        <v>337.78</v>
      </c>
      <c r="O1992">
        <f>TEXT(A1992,"yyyy-mm")</f>
        <v/>
      </c>
    </row>
    <row r="1993">
      <c r="A1993" s="2" t="n">
        <v>45844</v>
      </c>
      <c r="B1993" t="n">
        <v>2025</v>
      </c>
      <c r="C1993" t="inlineStr">
        <is>
          <t>July</t>
        </is>
      </c>
      <c r="D1993" t="inlineStr">
        <is>
          <t>Eco Tent</t>
        </is>
      </c>
      <c r="E1993" t="inlineStr">
        <is>
          <t>Sports &amp; Outdoors</t>
        </is>
      </c>
      <c r="F1993" t="inlineStr">
        <is>
          <t>Anna Bianchi</t>
        </is>
      </c>
      <c r="G1993" t="inlineStr">
        <is>
          <t>Germany</t>
        </is>
      </c>
      <c r="H1993" t="inlineStr">
        <is>
          <t>Web Store</t>
        </is>
      </c>
      <c r="I1993" t="n">
        <v>2</v>
      </c>
      <c r="J1993" s="3" t="n">
        <v>506.38</v>
      </c>
      <c r="K1993" s="3" t="n">
        <v>101.28</v>
      </c>
      <c r="L1993" s="3" t="n">
        <v>405.1</v>
      </c>
      <c r="M1993" s="3" t="n">
        <v>270.06</v>
      </c>
      <c r="N1993" s="3" t="n">
        <v>135.04</v>
      </c>
      <c r="O1993">
        <f>TEXT(A1993,"yyyy-mm")</f>
        <v/>
      </c>
    </row>
    <row r="1994">
      <c r="A1994" s="2" t="n">
        <v>45844</v>
      </c>
      <c r="B1994" t="n">
        <v>2025</v>
      </c>
      <c r="C1994" t="inlineStr">
        <is>
          <t>July</t>
        </is>
      </c>
      <c r="D1994" t="inlineStr">
        <is>
          <t>Essential Planter</t>
        </is>
      </c>
      <c r="E1994" t="inlineStr">
        <is>
          <t>Home &amp; Garden</t>
        </is>
      </c>
      <c r="F1994" t="inlineStr">
        <is>
          <t>Anna Bianchi</t>
        </is>
      </c>
      <c r="G1994" t="inlineStr">
        <is>
          <t>Germany</t>
        </is>
      </c>
      <c r="H1994" t="inlineStr">
        <is>
          <t>Web Store</t>
        </is>
      </c>
      <c r="I1994" t="n">
        <v>4</v>
      </c>
      <c r="J1994" s="3" t="n">
        <v>100.08</v>
      </c>
      <c r="K1994" s="3" t="n">
        <v>15.01</v>
      </c>
      <c r="L1994" s="3" t="n">
        <v>85.06999999999999</v>
      </c>
      <c r="M1994" s="3" t="n">
        <v>78.56</v>
      </c>
      <c r="N1994" s="3" t="n">
        <v>6.51</v>
      </c>
      <c r="O1994">
        <f>TEXT(A1994,"yyyy-mm")</f>
        <v/>
      </c>
    </row>
    <row r="1995">
      <c r="A1995" s="2" t="n">
        <v>45844</v>
      </c>
      <c r="B1995" t="n">
        <v>2025</v>
      </c>
      <c r="C1995" t="inlineStr">
        <is>
          <t>July</t>
        </is>
      </c>
      <c r="D1995" t="inlineStr">
        <is>
          <t>Ultra Vitamins</t>
        </is>
      </c>
      <c r="E1995" t="inlineStr">
        <is>
          <t>Beauty &amp; Health</t>
        </is>
      </c>
      <c r="F1995" t="inlineStr">
        <is>
          <t>Nina Wilson</t>
        </is>
      </c>
      <c r="G1995" t="inlineStr">
        <is>
          <t>Poland</t>
        </is>
      </c>
      <c r="H1995" t="inlineStr">
        <is>
          <t>Retail Store</t>
        </is>
      </c>
      <c r="I1995" t="n">
        <v>1</v>
      </c>
      <c r="J1995" s="3" t="n">
        <v>218.73</v>
      </c>
      <c r="K1995" s="3" t="n">
        <v>0</v>
      </c>
      <c r="L1995" s="3" t="n">
        <v>218.73</v>
      </c>
      <c r="M1995" s="3" t="n">
        <v>126.1</v>
      </c>
      <c r="N1995" s="3" t="n">
        <v>92.63</v>
      </c>
      <c r="O1995">
        <f>TEXT(A1995,"yyyy-mm")</f>
        <v/>
      </c>
    </row>
    <row r="1996">
      <c r="A1996" s="2" t="n">
        <v>45844</v>
      </c>
      <c r="B1996" t="n">
        <v>2025</v>
      </c>
      <c r="C1996" t="inlineStr">
        <is>
          <t>July</t>
        </is>
      </c>
      <c r="D1996" t="inlineStr">
        <is>
          <t>Eco Sweater</t>
        </is>
      </c>
      <c r="E1996" t="inlineStr">
        <is>
          <t>Clothing</t>
        </is>
      </c>
      <c r="F1996" t="inlineStr">
        <is>
          <t>Nina Wilson</t>
        </is>
      </c>
      <c r="G1996" t="inlineStr">
        <is>
          <t>Poland</t>
        </is>
      </c>
      <c r="H1996" t="inlineStr">
        <is>
          <t>Retail Store</t>
        </is>
      </c>
      <c r="I1996" t="n">
        <v>2</v>
      </c>
      <c r="J1996" s="3" t="n">
        <v>301.54</v>
      </c>
      <c r="K1996" s="3" t="n">
        <v>15.08</v>
      </c>
      <c r="L1996" s="3" t="n">
        <v>286.46</v>
      </c>
      <c r="M1996" s="3" t="n">
        <v>208.46</v>
      </c>
      <c r="N1996" s="3" t="n">
        <v>78</v>
      </c>
      <c r="O1996">
        <f>TEXT(A1996,"yyyy-mm")</f>
        <v/>
      </c>
    </row>
    <row r="1997">
      <c r="A1997" s="2" t="n">
        <v>45844</v>
      </c>
      <c r="B1997" t="n">
        <v>2025</v>
      </c>
      <c r="C1997" t="inlineStr">
        <is>
          <t>July</t>
        </is>
      </c>
      <c r="D1997" t="inlineStr">
        <is>
          <t>Premium Tent</t>
        </is>
      </c>
      <c r="E1997" t="inlineStr">
        <is>
          <t>Sports &amp; Outdoors</t>
        </is>
      </c>
      <c r="F1997" t="inlineStr">
        <is>
          <t>Nina Wilson</t>
        </is>
      </c>
      <c r="G1997" t="inlineStr">
        <is>
          <t>Poland</t>
        </is>
      </c>
      <c r="H1997" t="inlineStr">
        <is>
          <t>Retail Store</t>
        </is>
      </c>
      <c r="I1997" t="n">
        <v>5</v>
      </c>
      <c r="J1997" s="3" t="n">
        <v>1329.4</v>
      </c>
      <c r="K1997" s="3" t="n">
        <v>0</v>
      </c>
      <c r="L1997" s="3" t="n">
        <v>1329.4</v>
      </c>
      <c r="M1997" s="3" t="n">
        <v>695.2</v>
      </c>
      <c r="N1997" s="3" t="n">
        <v>634.2</v>
      </c>
      <c r="O1997">
        <f>TEXT(A1997,"yyyy-mm")</f>
        <v/>
      </c>
    </row>
    <row r="1998">
      <c r="A1998" s="2" t="n">
        <v>45844</v>
      </c>
      <c r="B1998" t="n">
        <v>2025</v>
      </c>
      <c r="C1998" t="inlineStr">
        <is>
          <t>July</t>
        </is>
      </c>
      <c r="D1998" t="inlineStr">
        <is>
          <t>Deluxe Toolset</t>
        </is>
      </c>
      <c r="E1998" t="inlineStr">
        <is>
          <t>Home &amp; Garden</t>
        </is>
      </c>
      <c r="F1998" t="inlineStr">
        <is>
          <t>Michael Conti</t>
        </is>
      </c>
      <c r="G1998" t="inlineStr">
        <is>
          <t>Germany</t>
        </is>
      </c>
      <c r="H1998" t="inlineStr">
        <is>
          <t>Web Store</t>
        </is>
      </c>
      <c r="I1998" t="n">
        <v>4</v>
      </c>
      <c r="J1998" s="3" t="n">
        <v>261.04</v>
      </c>
      <c r="K1998" s="3" t="n">
        <v>52.21</v>
      </c>
      <c r="L1998" s="3" t="n">
        <v>208.83</v>
      </c>
      <c r="M1998" s="3" t="n">
        <v>190.84</v>
      </c>
      <c r="N1998" s="3" t="n">
        <v>17.99</v>
      </c>
      <c r="O1998">
        <f>TEXT(A1998,"yyyy-mm")</f>
        <v/>
      </c>
    </row>
    <row r="1999">
      <c r="A1999" s="2" t="n">
        <v>45844</v>
      </c>
      <c r="B1999" t="n">
        <v>2025</v>
      </c>
      <c r="C1999" t="inlineStr">
        <is>
          <t>July</t>
        </is>
      </c>
      <c r="D1999" t="inlineStr">
        <is>
          <t>Ultra Backpack</t>
        </is>
      </c>
      <c r="E1999" t="inlineStr">
        <is>
          <t>Sports &amp; Outdoors</t>
        </is>
      </c>
      <c r="F1999" t="inlineStr">
        <is>
          <t>Michael Martin</t>
        </is>
      </c>
      <c r="G1999" t="inlineStr">
        <is>
          <t>Germany</t>
        </is>
      </c>
      <c r="H1999" t="inlineStr">
        <is>
          <t>Mobile App</t>
        </is>
      </c>
      <c r="I1999" t="n">
        <v>3</v>
      </c>
      <c r="J1999" s="3" t="n">
        <v>954.48</v>
      </c>
      <c r="K1999" s="3" t="n">
        <v>0</v>
      </c>
      <c r="L1999" s="3" t="n">
        <v>954.48</v>
      </c>
      <c r="M1999" s="3" t="n">
        <v>521.0700000000001</v>
      </c>
      <c r="N1999" s="3" t="n">
        <v>433.41</v>
      </c>
      <c r="O1999">
        <f>TEXT(A1999,"yyyy-mm")</f>
        <v/>
      </c>
    </row>
    <row r="2000">
      <c r="A2000" s="2" t="n">
        <v>45844</v>
      </c>
      <c r="B2000" t="n">
        <v>2025</v>
      </c>
      <c r="C2000" t="inlineStr">
        <is>
          <t>July</t>
        </is>
      </c>
      <c r="D2000" t="inlineStr">
        <is>
          <t>Portable Puzzle</t>
        </is>
      </c>
      <c r="E2000" t="inlineStr">
        <is>
          <t>Toys &amp; Games</t>
        </is>
      </c>
      <c r="F2000" t="inlineStr">
        <is>
          <t>Michael Martin</t>
        </is>
      </c>
      <c r="G2000" t="inlineStr">
        <is>
          <t>Germany</t>
        </is>
      </c>
      <c r="H2000" t="inlineStr">
        <is>
          <t>Mobile App</t>
        </is>
      </c>
      <c r="I2000" t="n">
        <v>3</v>
      </c>
      <c r="J2000" s="3" t="n">
        <v>315.99</v>
      </c>
      <c r="K2000" s="3" t="n">
        <v>47.4</v>
      </c>
      <c r="L2000" s="3" t="n">
        <v>268.59</v>
      </c>
      <c r="M2000" s="3" t="n">
        <v>176.4</v>
      </c>
      <c r="N2000" s="3" t="n">
        <v>92.19</v>
      </c>
      <c r="O2000">
        <f>TEXT(A2000,"yyyy-mm")</f>
        <v/>
      </c>
    </row>
    <row r="2001">
      <c r="A2001" s="2" t="n">
        <v>45844</v>
      </c>
      <c r="B2001" t="n">
        <v>2025</v>
      </c>
      <c r="C2001" t="inlineStr">
        <is>
          <t>July</t>
        </is>
      </c>
      <c r="D2001" t="inlineStr">
        <is>
          <t>Classic Tent</t>
        </is>
      </c>
      <c r="E2001" t="inlineStr">
        <is>
          <t>Sports &amp; Outdoors</t>
        </is>
      </c>
      <c r="F2001" t="inlineStr">
        <is>
          <t>Michael Conti</t>
        </is>
      </c>
      <c r="G2001" t="inlineStr">
        <is>
          <t>Germany</t>
        </is>
      </c>
      <c r="H2001" t="inlineStr">
        <is>
          <t>Web Store</t>
        </is>
      </c>
      <c r="I2001" t="n">
        <v>3</v>
      </c>
      <c r="J2001" s="3" t="n">
        <v>623.4299999999999</v>
      </c>
      <c r="K2001" s="3" t="n">
        <v>31.17</v>
      </c>
      <c r="L2001" s="3" t="n">
        <v>592.26</v>
      </c>
      <c r="M2001" s="3" t="n">
        <v>354.06</v>
      </c>
      <c r="N2001" s="3" t="n">
        <v>238.2</v>
      </c>
      <c r="O2001">
        <f>TEXT(A2001,"yyyy-mm")</f>
        <v/>
      </c>
    </row>
    <row r="2002">
      <c r="A2002" s="2" t="n">
        <v>45844</v>
      </c>
      <c r="B2002" t="n">
        <v>2025</v>
      </c>
      <c r="C2002" t="inlineStr">
        <is>
          <t>July</t>
        </is>
      </c>
      <c r="D2002" t="inlineStr">
        <is>
          <t>Ultra Backpack</t>
        </is>
      </c>
      <c r="E2002" t="inlineStr">
        <is>
          <t>Sports &amp; Outdoors</t>
        </is>
      </c>
      <c r="F2002" t="inlineStr">
        <is>
          <t>Michael Conti</t>
        </is>
      </c>
      <c r="G2002" t="inlineStr">
        <is>
          <t>Germany</t>
        </is>
      </c>
      <c r="H2002" t="inlineStr">
        <is>
          <t>Web Store</t>
        </is>
      </c>
      <c r="I2002" t="n">
        <v>3</v>
      </c>
      <c r="J2002" s="3" t="n">
        <v>892.89</v>
      </c>
      <c r="K2002" s="3" t="n">
        <v>0</v>
      </c>
      <c r="L2002" s="3" t="n">
        <v>892.89</v>
      </c>
      <c r="M2002" s="3" t="n">
        <v>521.0700000000001</v>
      </c>
      <c r="N2002" s="3" t="n">
        <v>371.82</v>
      </c>
      <c r="O2002">
        <f>TEXT(A2002,"yyyy-mm")</f>
        <v/>
      </c>
    </row>
    <row r="2003">
      <c r="A2003" s="2" t="n">
        <v>45844</v>
      </c>
      <c r="B2003" t="n">
        <v>2025</v>
      </c>
      <c r="C2003" t="inlineStr">
        <is>
          <t>July</t>
        </is>
      </c>
      <c r="D2003" t="inlineStr">
        <is>
          <t>Eco Backpack</t>
        </is>
      </c>
      <c r="E2003" t="inlineStr">
        <is>
          <t>Sports &amp; Outdoors</t>
        </is>
      </c>
      <c r="F2003" t="inlineStr">
        <is>
          <t>Michael Martin</t>
        </is>
      </c>
      <c r="G2003" t="inlineStr">
        <is>
          <t>Germany</t>
        </is>
      </c>
      <c r="H2003" t="inlineStr">
        <is>
          <t>Mobile App</t>
        </is>
      </c>
      <c r="I2003" t="n">
        <v>5</v>
      </c>
      <c r="J2003" s="3" t="n">
        <v>1305.35</v>
      </c>
      <c r="K2003" s="3" t="n">
        <v>130.54</v>
      </c>
      <c r="L2003" s="3" t="n">
        <v>1174.81</v>
      </c>
      <c r="M2003" s="3" t="n">
        <v>732.9</v>
      </c>
      <c r="N2003" s="3" t="n">
        <v>441.91</v>
      </c>
      <c r="O2003">
        <f>TEXT(A2003,"yyyy-mm")</f>
        <v/>
      </c>
    </row>
    <row r="2004">
      <c r="A2004" s="2" t="n">
        <v>45844</v>
      </c>
      <c r="B2004" t="n">
        <v>2025</v>
      </c>
      <c r="C2004" t="inlineStr">
        <is>
          <t>July</t>
        </is>
      </c>
      <c r="D2004" t="inlineStr">
        <is>
          <t>Essential Toolset</t>
        </is>
      </c>
      <c r="E2004" t="inlineStr">
        <is>
          <t>Home &amp; Garden</t>
        </is>
      </c>
      <c r="F2004" t="inlineStr">
        <is>
          <t>Michael Conti</t>
        </is>
      </c>
      <c r="G2004" t="inlineStr">
        <is>
          <t>Germany</t>
        </is>
      </c>
      <c r="H2004" t="inlineStr">
        <is>
          <t>Web Store</t>
        </is>
      </c>
      <c r="I2004" t="n">
        <v>3</v>
      </c>
      <c r="J2004" s="3" t="n">
        <v>611.4</v>
      </c>
      <c r="K2004" s="3" t="n">
        <v>91.70999999999999</v>
      </c>
      <c r="L2004" s="3" t="n">
        <v>519.6900000000001</v>
      </c>
      <c r="M2004" s="3" t="n">
        <v>451.59</v>
      </c>
      <c r="N2004" s="3" t="n">
        <v>68.09999999999999</v>
      </c>
      <c r="O2004">
        <f>TEXT(A2004,"yyyy-mm")</f>
        <v/>
      </c>
    </row>
    <row r="2005">
      <c r="A2005" s="2" t="n">
        <v>45844</v>
      </c>
      <c r="B2005" t="n">
        <v>2025</v>
      </c>
      <c r="C2005" t="inlineStr">
        <is>
          <t>July</t>
        </is>
      </c>
      <c r="D2005" t="inlineStr">
        <is>
          <t>Essential Toolset</t>
        </is>
      </c>
      <c r="E2005" t="inlineStr">
        <is>
          <t>Home &amp; Garden</t>
        </is>
      </c>
      <c r="F2005" t="inlineStr">
        <is>
          <t>Michael Martin</t>
        </is>
      </c>
      <c r="G2005" t="inlineStr">
        <is>
          <t>Germany</t>
        </is>
      </c>
      <c r="H2005" t="inlineStr">
        <is>
          <t>Mobile App</t>
        </is>
      </c>
      <c r="I2005" t="n">
        <v>2</v>
      </c>
      <c r="J2005" s="3" t="n">
        <v>414.9</v>
      </c>
      <c r="K2005" s="3" t="n">
        <v>0</v>
      </c>
      <c r="L2005" s="3" t="n">
        <v>414.9</v>
      </c>
      <c r="M2005" s="3" t="n">
        <v>301.06</v>
      </c>
      <c r="N2005" s="3" t="n">
        <v>113.84</v>
      </c>
      <c r="O2005">
        <f>TEXT(A2005,"yyyy-mm")</f>
        <v/>
      </c>
    </row>
    <row r="2006">
      <c r="A2006" s="2" t="n">
        <v>45845</v>
      </c>
      <c r="B2006" t="n">
        <v>2025</v>
      </c>
      <c r="C2006" t="inlineStr">
        <is>
          <t>July</t>
        </is>
      </c>
      <c r="D2006" t="inlineStr">
        <is>
          <t>Portable Speaker</t>
        </is>
      </c>
      <c r="E2006" t="inlineStr">
        <is>
          <t>Electronics</t>
        </is>
      </c>
      <c r="F2006" t="inlineStr">
        <is>
          <t>Emily Johnson</t>
        </is>
      </c>
      <c r="G2006" t="inlineStr">
        <is>
          <t>Italy</t>
        </is>
      </c>
      <c r="H2006" t="inlineStr">
        <is>
          <t>Retail Store</t>
        </is>
      </c>
      <c r="I2006" t="n">
        <v>4</v>
      </c>
      <c r="J2006" s="3" t="n">
        <v>1324.88</v>
      </c>
      <c r="K2006" s="3" t="n">
        <v>0</v>
      </c>
      <c r="L2006" s="3" t="n">
        <v>1324.88</v>
      </c>
      <c r="M2006" s="3" t="n">
        <v>699.3200000000001</v>
      </c>
      <c r="N2006" s="3" t="n">
        <v>625.5599999999999</v>
      </c>
      <c r="O2006">
        <f>TEXT(A2006,"yyyy-mm")</f>
        <v/>
      </c>
    </row>
    <row r="2007">
      <c r="A2007" s="2" t="n">
        <v>45845</v>
      </c>
      <c r="B2007" t="n">
        <v>2025</v>
      </c>
      <c r="C2007" t="inlineStr">
        <is>
          <t>July</t>
        </is>
      </c>
      <c r="D2007" t="inlineStr">
        <is>
          <t>Premium Cookbook</t>
        </is>
      </c>
      <c r="E2007" t="inlineStr">
        <is>
          <t>Books</t>
        </is>
      </c>
      <c r="F2007" t="inlineStr">
        <is>
          <t>Emily Johnson</t>
        </is>
      </c>
      <c r="G2007" t="inlineStr">
        <is>
          <t>Italy</t>
        </is>
      </c>
      <c r="H2007" t="inlineStr">
        <is>
          <t>Retail Store</t>
        </is>
      </c>
      <c r="I2007" t="n">
        <v>4</v>
      </c>
      <c r="J2007" s="3" t="n">
        <v>506.4</v>
      </c>
      <c r="K2007" s="3" t="n">
        <v>75.95999999999999</v>
      </c>
      <c r="L2007" s="3" t="n">
        <v>430.44</v>
      </c>
      <c r="M2007" s="3" t="n">
        <v>379.92</v>
      </c>
      <c r="N2007" s="3" t="n">
        <v>50.52</v>
      </c>
      <c r="O2007">
        <f>TEXT(A2007,"yyyy-mm")</f>
        <v/>
      </c>
    </row>
    <row r="2008">
      <c r="A2008" s="2" t="n">
        <v>45845</v>
      </c>
      <c r="B2008" t="n">
        <v>2025</v>
      </c>
      <c r="C2008" t="inlineStr">
        <is>
          <t>July</t>
        </is>
      </c>
      <c r="D2008" t="inlineStr">
        <is>
          <t>Smart Puzzle</t>
        </is>
      </c>
      <c r="E2008" t="inlineStr">
        <is>
          <t>Toys &amp; Games</t>
        </is>
      </c>
      <c r="F2008" t="inlineStr">
        <is>
          <t>Paul Wojcik</t>
        </is>
      </c>
      <c r="G2008" t="inlineStr">
        <is>
          <t>United States</t>
        </is>
      </c>
      <c r="H2008" t="inlineStr">
        <is>
          <t>Marketplace</t>
        </is>
      </c>
      <c r="I2008" t="n">
        <v>5</v>
      </c>
      <c r="J2008" s="3" t="n">
        <v>1305.25</v>
      </c>
      <c r="K2008" s="3" t="n">
        <v>0</v>
      </c>
      <c r="L2008" s="3" t="n">
        <v>1305.25</v>
      </c>
      <c r="M2008" s="3" t="n">
        <v>963.8</v>
      </c>
      <c r="N2008" s="3" t="n">
        <v>341.45</v>
      </c>
      <c r="O2008">
        <f>TEXT(A2008,"yyyy-mm")</f>
        <v/>
      </c>
    </row>
    <row r="2009">
      <c r="A2009" s="2" t="n">
        <v>45845</v>
      </c>
      <c r="B2009" t="n">
        <v>2025</v>
      </c>
      <c r="C2009" t="inlineStr">
        <is>
          <t>July</t>
        </is>
      </c>
      <c r="D2009" t="inlineStr">
        <is>
          <t>Smart Drone</t>
        </is>
      </c>
      <c r="E2009" t="inlineStr">
        <is>
          <t>Toys &amp; Games</t>
        </is>
      </c>
      <c r="F2009" t="inlineStr">
        <is>
          <t>Paul Wojcik</t>
        </is>
      </c>
      <c r="G2009" t="inlineStr">
        <is>
          <t>United States</t>
        </is>
      </c>
      <c r="H2009" t="inlineStr">
        <is>
          <t>Marketplace</t>
        </is>
      </c>
      <c r="I2009" t="n">
        <v>2</v>
      </c>
      <c r="J2009" s="3" t="n">
        <v>456.72</v>
      </c>
      <c r="K2009" s="3" t="n">
        <v>0</v>
      </c>
      <c r="L2009" s="3" t="n">
        <v>456.72</v>
      </c>
      <c r="M2009" s="3" t="n">
        <v>253.9</v>
      </c>
      <c r="N2009" s="3" t="n">
        <v>202.82</v>
      </c>
      <c r="O2009">
        <f>TEXT(A2009,"yyyy-mm")</f>
        <v/>
      </c>
    </row>
    <row r="2010">
      <c r="A2010" s="2" t="n">
        <v>45845</v>
      </c>
      <c r="B2010" t="n">
        <v>2025</v>
      </c>
      <c r="C2010" t="inlineStr">
        <is>
          <t>July</t>
        </is>
      </c>
      <c r="D2010" t="inlineStr">
        <is>
          <t>Essential Notebook</t>
        </is>
      </c>
      <c r="E2010" t="inlineStr">
        <is>
          <t>Books</t>
        </is>
      </c>
      <c r="F2010" t="inlineStr">
        <is>
          <t>Paul Wojcik</t>
        </is>
      </c>
      <c r="G2010" t="inlineStr">
        <is>
          <t>United States</t>
        </is>
      </c>
      <c r="H2010" t="inlineStr">
        <is>
          <t>Marketplace</t>
        </is>
      </c>
      <c r="I2010" t="n">
        <v>2</v>
      </c>
      <c r="J2010" s="3" t="n">
        <v>228.94</v>
      </c>
      <c r="K2010" s="3" t="n">
        <v>22.89</v>
      </c>
      <c r="L2010" s="3" t="n">
        <v>206.05</v>
      </c>
      <c r="M2010" s="3" t="n">
        <v>158.2</v>
      </c>
      <c r="N2010" s="3" t="n">
        <v>47.85</v>
      </c>
      <c r="O2010">
        <f>TEXT(A2010,"yyyy-mm")</f>
        <v/>
      </c>
    </row>
    <row r="2011">
      <c r="A2011" s="2" t="n">
        <v>45845</v>
      </c>
      <c r="B2011" t="n">
        <v>2025</v>
      </c>
      <c r="C2011" t="inlineStr">
        <is>
          <t>July</t>
        </is>
      </c>
      <c r="D2011" t="inlineStr">
        <is>
          <t>Premium Tent</t>
        </is>
      </c>
      <c r="E2011" t="inlineStr">
        <is>
          <t>Sports &amp; Outdoors</t>
        </is>
      </c>
      <c r="F2011" t="inlineStr">
        <is>
          <t>Paul Wojcik</t>
        </is>
      </c>
      <c r="G2011" t="inlineStr">
        <is>
          <t>United States</t>
        </is>
      </c>
      <c r="H2011" t="inlineStr">
        <is>
          <t>Marketplace</t>
        </is>
      </c>
      <c r="I2011" t="n">
        <v>1</v>
      </c>
      <c r="J2011" s="3" t="n">
        <v>261.44</v>
      </c>
      <c r="K2011" s="3" t="n">
        <v>0</v>
      </c>
      <c r="L2011" s="3" t="n">
        <v>261.44</v>
      </c>
      <c r="M2011" s="3" t="n">
        <v>165.31</v>
      </c>
      <c r="N2011" s="3" t="n">
        <v>96.13</v>
      </c>
      <c r="O2011">
        <f>TEXT(A2011,"yyyy-mm")</f>
        <v/>
      </c>
    </row>
    <row r="2012">
      <c r="A2012" s="2" t="n">
        <v>45845</v>
      </c>
      <c r="B2012" t="n">
        <v>2025</v>
      </c>
      <c r="C2012" t="inlineStr">
        <is>
          <t>July</t>
        </is>
      </c>
      <c r="D2012" t="inlineStr">
        <is>
          <t>Essential Planter</t>
        </is>
      </c>
      <c r="E2012" t="inlineStr">
        <is>
          <t>Home &amp; Garden</t>
        </is>
      </c>
      <c r="F2012" t="inlineStr">
        <is>
          <t>Emily Johnson</t>
        </is>
      </c>
      <c r="G2012" t="inlineStr">
        <is>
          <t>Italy</t>
        </is>
      </c>
      <c r="H2012" t="inlineStr">
        <is>
          <t>Retail Store</t>
        </is>
      </c>
      <c r="I2012" t="n">
        <v>1</v>
      </c>
      <c r="J2012" s="3" t="n">
        <v>24.36</v>
      </c>
      <c r="K2012" s="3" t="n">
        <v>3.65</v>
      </c>
      <c r="L2012" s="3" t="n">
        <v>20.71</v>
      </c>
      <c r="M2012" s="3" t="n">
        <v>19.64</v>
      </c>
      <c r="N2012" s="3" t="n">
        <v>1.07</v>
      </c>
      <c r="O2012">
        <f>TEXT(A2012,"yyyy-mm")</f>
        <v/>
      </c>
    </row>
    <row r="2013">
      <c r="A2013" s="2" t="n">
        <v>45845</v>
      </c>
      <c r="B2013" t="n">
        <v>2025</v>
      </c>
      <c r="C2013" t="inlineStr">
        <is>
          <t>July</t>
        </is>
      </c>
      <c r="D2013" t="inlineStr">
        <is>
          <t>Essential Cushion</t>
        </is>
      </c>
      <c r="E2013" t="inlineStr">
        <is>
          <t>Home &amp; Garden</t>
        </is>
      </c>
      <c r="F2013" t="inlineStr">
        <is>
          <t>Maria Dubois</t>
        </is>
      </c>
      <c r="G2013" t="inlineStr">
        <is>
          <t>Spain</t>
        </is>
      </c>
      <c r="H2013" t="inlineStr">
        <is>
          <t>Retail Store</t>
        </is>
      </c>
      <c r="I2013" t="n">
        <v>3</v>
      </c>
      <c r="J2013" s="3" t="n">
        <v>132.78</v>
      </c>
      <c r="K2013" s="3" t="n">
        <v>26.56</v>
      </c>
      <c r="L2013" s="3" t="n">
        <v>106.22</v>
      </c>
      <c r="M2013" s="3" t="n">
        <v>91.65000000000001</v>
      </c>
      <c r="N2013" s="3" t="n">
        <v>14.57</v>
      </c>
      <c r="O2013">
        <f>TEXT(A2013,"yyyy-mm")</f>
        <v/>
      </c>
    </row>
    <row r="2014">
      <c r="A2014" s="2" t="n">
        <v>45845</v>
      </c>
      <c r="B2014" t="n">
        <v>2025</v>
      </c>
      <c r="C2014" t="inlineStr">
        <is>
          <t>July</t>
        </is>
      </c>
      <c r="D2014" t="inlineStr">
        <is>
          <t>Eco Tent</t>
        </is>
      </c>
      <c r="E2014" t="inlineStr">
        <is>
          <t>Sports &amp; Outdoors</t>
        </is>
      </c>
      <c r="F2014" t="inlineStr">
        <is>
          <t>Maria Dubois</t>
        </is>
      </c>
      <c r="G2014" t="inlineStr">
        <is>
          <t>Spain</t>
        </is>
      </c>
      <c r="H2014" t="inlineStr">
        <is>
          <t>Retail Store</t>
        </is>
      </c>
      <c r="I2014" t="n">
        <v>2</v>
      </c>
      <c r="J2014" s="3" t="n">
        <v>128.04</v>
      </c>
      <c r="K2014" s="3" t="n">
        <v>0</v>
      </c>
      <c r="L2014" s="3" t="n">
        <v>128.04</v>
      </c>
      <c r="M2014" s="3" t="n">
        <v>87.7</v>
      </c>
      <c r="N2014" s="3" t="n">
        <v>40.34</v>
      </c>
      <c r="O2014">
        <f>TEXT(A2014,"yyyy-mm")</f>
        <v/>
      </c>
    </row>
    <row r="2015">
      <c r="A2015" s="2" t="n">
        <v>45845</v>
      </c>
      <c r="B2015" t="n">
        <v>2025</v>
      </c>
      <c r="C2015" t="inlineStr">
        <is>
          <t>July</t>
        </is>
      </c>
      <c r="D2015" t="inlineStr">
        <is>
          <t>Smart Charger</t>
        </is>
      </c>
      <c r="E2015" t="inlineStr">
        <is>
          <t>Electronics</t>
        </is>
      </c>
      <c r="F2015" t="inlineStr">
        <is>
          <t>Maria Dubois</t>
        </is>
      </c>
      <c r="G2015" t="inlineStr">
        <is>
          <t>Spain</t>
        </is>
      </c>
      <c r="H2015" t="inlineStr">
        <is>
          <t>Retail Store</t>
        </is>
      </c>
      <c r="I2015" t="n">
        <v>5</v>
      </c>
      <c r="J2015" s="3" t="n">
        <v>1226.45</v>
      </c>
      <c r="K2015" s="3" t="n">
        <v>245.29</v>
      </c>
      <c r="L2015" s="3" t="n">
        <v>981.16</v>
      </c>
      <c r="M2015" s="3" t="n">
        <v>712.6</v>
      </c>
      <c r="N2015" s="3" t="n">
        <v>268.56</v>
      </c>
      <c r="O2015">
        <f>TEXT(A2015,"yyyy-mm")</f>
        <v/>
      </c>
    </row>
    <row r="2016">
      <c r="A2016" s="2" t="n">
        <v>45846</v>
      </c>
      <c r="B2016" t="n">
        <v>2025</v>
      </c>
      <c r="C2016" t="inlineStr">
        <is>
          <t>July</t>
        </is>
      </c>
      <c r="D2016" t="inlineStr">
        <is>
          <t>Compact Pasta</t>
        </is>
      </c>
      <c r="E2016" t="inlineStr">
        <is>
          <t>Grocery</t>
        </is>
      </c>
      <c r="F2016" t="inlineStr">
        <is>
          <t>Daniel Zielinski</t>
        </is>
      </c>
      <c r="G2016" t="inlineStr">
        <is>
          <t>United States</t>
        </is>
      </c>
      <c r="H2016" t="inlineStr">
        <is>
          <t>Web Store</t>
        </is>
      </c>
      <c r="I2016" t="n">
        <v>4</v>
      </c>
      <c r="J2016" s="3" t="n">
        <v>1264.08</v>
      </c>
      <c r="K2016" s="3" t="n">
        <v>0</v>
      </c>
      <c r="L2016" s="3" t="n">
        <v>1264.08</v>
      </c>
      <c r="M2016" s="3" t="n">
        <v>797.6</v>
      </c>
      <c r="N2016" s="3" t="n">
        <v>466.48</v>
      </c>
      <c r="O2016">
        <f>TEXT(A2016,"yyyy-mm")</f>
        <v/>
      </c>
    </row>
    <row r="2017">
      <c r="A2017" s="2" t="n">
        <v>45846</v>
      </c>
      <c r="B2017" t="n">
        <v>2025</v>
      </c>
      <c r="C2017" t="inlineStr">
        <is>
          <t>July</t>
        </is>
      </c>
      <c r="D2017" t="inlineStr">
        <is>
          <t>Classic Sunscreen</t>
        </is>
      </c>
      <c r="E2017" t="inlineStr">
        <is>
          <t>Beauty &amp; Health</t>
        </is>
      </c>
      <c r="F2017" t="inlineStr">
        <is>
          <t>Daniel Zielinski</t>
        </is>
      </c>
      <c r="G2017" t="inlineStr">
        <is>
          <t>United States</t>
        </is>
      </c>
      <c r="H2017" t="inlineStr">
        <is>
          <t>Web Store</t>
        </is>
      </c>
      <c r="I2017" t="n">
        <v>5</v>
      </c>
      <c r="J2017" s="3" t="n">
        <v>710.9</v>
      </c>
      <c r="K2017" s="3" t="n">
        <v>71.09</v>
      </c>
      <c r="L2017" s="3" t="n">
        <v>639.8099999999999</v>
      </c>
      <c r="M2017" s="3" t="n">
        <v>468.45</v>
      </c>
      <c r="N2017" s="3" t="n">
        <v>171.36</v>
      </c>
      <c r="O2017">
        <f>TEXT(A2017,"yyyy-mm")</f>
        <v/>
      </c>
    </row>
    <row r="2018">
      <c r="A2018" s="2" t="n">
        <v>45846</v>
      </c>
      <c r="B2018" t="n">
        <v>2025</v>
      </c>
      <c r="C2018" t="inlineStr">
        <is>
          <t>July</t>
        </is>
      </c>
      <c r="D2018" t="inlineStr">
        <is>
          <t>Ultra Backpack</t>
        </is>
      </c>
      <c r="E2018" t="inlineStr">
        <is>
          <t>Sports &amp; Outdoors</t>
        </is>
      </c>
      <c r="F2018" t="inlineStr">
        <is>
          <t>Daniel Zielinski</t>
        </is>
      </c>
      <c r="G2018" t="inlineStr">
        <is>
          <t>United States</t>
        </is>
      </c>
      <c r="H2018" t="inlineStr">
        <is>
          <t>Web Store</t>
        </is>
      </c>
      <c r="I2018" t="n">
        <v>3</v>
      </c>
      <c r="J2018" s="3" t="n">
        <v>895.26</v>
      </c>
      <c r="K2018" s="3" t="n">
        <v>89.53</v>
      </c>
      <c r="L2018" s="3" t="n">
        <v>805.73</v>
      </c>
      <c r="M2018" s="3" t="n">
        <v>521.0700000000001</v>
      </c>
      <c r="N2018" s="3" t="n">
        <v>284.66</v>
      </c>
      <c r="O2018">
        <f>TEXT(A2018,"yyyy-mm")</f>
        <v/>
      </c>
    </row>
    <row r="2019">
      <c r="A2019" s="2" t="n">
        <v>45846</v>
      </c>
      <c r="B2019" t="n">
        <v>2025</v>
      </c>
      <c r="C2019" t="inlineStr">
        <is>
          <t>July</t>
        </is>
      </c>
      <c r="D2019" t="inlineStr">
        <is>
          <t>Portable Puzzle</t>
        </is>
      </c>
      <c r="E2019" t="inlineStr">
        <is>
          <t>Toys &amp; Games</t>
        </is>
      </c>
      <c r="F2019" t="inlineStr">
        <is>
          <t>David Johnson</t>
        </is>
      </c>
      <c r="G2019" t="inlineStr">
        <is>
          <t>Poland</t>
        </is>
      </c>
      <c r="H2019" t="inlineStr">
        <is>
          <t>Marketplace</t>
        </is>
      </c>
      <c r="I2019" t="n">
        <v>2</v>
      </c>
      <c r="J2019" s="3" t="n">
        <v>616.28</v>
      </c>
      <c r="K2019" s="3" t="n">
        <v>30.81</v>
      </c>
      <c r="L2019" s="3" t="n">
        <v>585.47</v>
      </c>
      <c r="M2019" s="3" t="n">
        <v>347.32</v>
      </c>
      <c r="N2019" s="3" t="n">
        <v>238.15</v>
      </c>
      <c r="O2019">
        <f>TEXT(A2019,"yyyy-mm")</f>
        <v/>
      </c>
    </row>
    <row r="2020">
      <c r="A2020" s="2" t="n">
        <v>45846</v>
      </c>
      <c r="B2020" t="n">
        <v>2025</v>
      </c>
      <c r="C2020" t="inlineStr">
        <is>
          <t>July</t>
        </is>
      </c>
      <c r="D2020" t="inlineStr">
        <is>
          <t>Premium Water Bottle</t>
        </is>
      </c>
      <c r="E2020" t="inlineStr">
        <is>
          <t>Sports &amp; Outdoors</t>
        </is>
      </c>
      <c r="F2020" t="inlineStr">
        <is>
          <t>David Johnson</t>
        </is>
      </c>
      <c r="G2020" t="inlineStr">
        <is>
          <t>Poland</t>
        </is>
      </c>
      <c r="H2020" t="inlineStr">
        <is>
          <t>Marketplace</t>
        </is>
      </c>
      <c r="I2020" t="n">
        <v>1</v>
      </c>
      <c r="J2020" s="3" t="n">
        <v>293.18</v>
      </c>
      <c r="K2020" s="3" t="n">
        <v>0</v>
      </c>
      <c r="L2020" s="3" t="n">
        <v>293.18</v>
      </c>
      <c r="M2020" s="3" t="n">
        <v>181.16</v>
      </c>
      <c r="N2020" s="3" t="n">
        <v>112.02</v>
      </c>
      <c r="O2020">
        <f>TEXT(A2020,"yyyy-mm")</f>
        <v/>
      </c>
    </row>
    <row r="2021">
      <c r="A2021" s="2" t="n">
        <v>45846</v>
      </c>
      <c r="B2021" t="n">
        <v>2025</v>
      </c>
      <c r="C2021" t="inlineStr">
        <is>
          <t>July</t>
        </is>
      </c>
      <c r="D2021" t="inlineStr">
        <is>
          <t>Eco Tent</t>
        </is>
      </c>
      <c r="E2021" t="inlineStr">
        <is>
          <t>Sports &amp; Outdoors</t>
        </is>
      </c>
      <c r="F2021" t="inlineStr">
        <is>
          <t>Emma Schmidt</t>
        </is>
      </c>
      <c r="G2021" t="inlineStr">
        <is>
          <t>United States</t>
        </is>
      </c>
      <c r="H2021" t="inlineStr">
        <is>
          <t>Mobile App</t>
        </is>
      </c>
      <c r="I2021" t="n">
        <v>4</v>
      </c>
      <c r="J2021" s="3" t="n">
        <v>269.64</v>
      </c>
      <c r="K2021" s="3" t="n">
        <v>53.93</v>
      </c>
      <c r="L2021" s="3" t="n">
        <v>215.71</v>
      </c>
      <c r="M2021" s="3" t="n">
        <v>175.4</v>
      </c>
      <c r="N2021" s="3" t="n">
        <v>40.31</v>
      </c>
      <c r="O2021">
        <f>TEXT(A2021,"yyyy-mm")</f>
        <v/>
      </c>
    </row>
    <row r="2022">
      <c r="A2022" s="2" t="n">
        <v>45846</v>
      </c>
      <c r="B2022" t="n">
        <v>2025</v>
      </c>
      <c r="C2022" t="inlineStr">
        <is>
          <t>July</t>
        </is>
      </c>
      <c r="D2022" t="inlineStr">
        <is>
          <t>Essential Cushion</t>
        </is>
      </c>
      <c r="E2022" t="inlineStr">
        <is>
          <t>Home &amp; Garden</t>
        </is>
      </c>
      <c r="F2022" t="inlineStr">
        <is>
          <t>David Johnson</t>
        </is>
      </c>
      <c r="G2022" t="inlineStr">
        <is>
          <t>Poland</t>
        </is>
      </c>
      <c r="H2022" t="inlineStr">
        <is>
          <t>Marketplace</t>
        </is>
      </c>
      <c r="I2022" t="n">
        <v>3</v>
      </c>
      <c r="J2022" s="3" t="n">
        <v>131.13</v>
      </c>
      <c r="K2022" s="3" t="n">
        <v>6.56</v>
      </c>
      <c r="L2022" s="3" t="n">
        <v>124.57</v>
      </c>
      <c r="M2022" s="3" t="n">
        <v>91.65000000000001</v>
      </c>
      <c r="N2022" s="3" t="n">
        <v>32.92</v>
      </c>
      <c r="O2022">
        <f>TEXT(A2022,"yyyy-mm")</f>
        <v/>
      </c>
    </row>
    <row r="2023">
      <c r="A2023" s="2" t="n">
        <v>45846</v>
      </c>
      <c r="B2023" t="n">
        <v>2025</v>
      </c>
      <c r="C2023" t="inlineStr">
        <is>
          <t>July</t>
        </is>
      </c>
      <c r="D2023" t="inlineStr">
        <is>
          <t>Classic Bike Helmet</t>
        </is>
      </c>
      <c r="E2023" t="inlineStr">
        <is>
          <t>Sports &amp; Outdoors</t>
        </is>
      </c>
      <c r="F2023" t="inlineStr">
        <is>
          <t>David Johnson</t>
        </is>
      </c>
      <c r="G2023" t="inlineStr">
        <is>
          <t>Poland</t>
        </is>
      </c>
      <c r="H2023" t="inlineStr">
        <is>
          <t>Marketplace</t>
        </is>
      </c>
      <c r="I2023" t="n">
        <v>2</v>
      </c>
      <c r="J2023" s="3" t="n">
        <v>450.38</v>
      </c>
      <c r="K2023" s="3" t="n">
        <v>67.56</v>
      </c>
      <c r="L2023" s="3" t="n">
        <v>382.82</v>
      </c>
      <c r="M2023" s="3" t="n">
        <v>307.62</v>
      </c>
      <c r="N2023" s="3" t="n">
        <v>75.2</v>
      </c>
      <c r="O2023">
        <f>TEXT(A2023,"yyyy-mm")</f>
        <v/>
      </c>
    </row>
    <row r="2024">
      <c r="A2024" s="2" t="n">
        <v>45847</v>
      </c>
      <c r="B2024" t="n">
        <v>2025</v>
      </c>
      <c r="C2024" t="inlineStr">
        <is>
          <t>July</t>
        </is>
      </c>
      <c r="D2024" t="inlineStr">
        <is>
          <t>Smart Puzzle</t>
        </is>
      </c>
      <c r="E2024" t="inlineStr">
        <is>
          <t>Toys &amp; Games</t>
        </is>
      </c>
      <c r="F2024" t="inlineStr">
        <is>
          <t>Emily Rossi</t>
        </is>
      </c>
      <c r="G2024" t="inlineStr">
        <is>
          <t>United Kingdom</t>
        </is>
      </c>
      <c r="H2024" t="inlineStr">
        <is>
          <t>Marketplace</t>
        </is>
      </c>
      <c r="I2024" t="n">
        <v>2</v>
      </c>
      <c r="J2024" s="3" t="n">
        <v>91.90000000000001</v>
      </c>
      <c r="K2024" s="3" t="n">
        <v>9.19</v>
      </c>
      <c r="L2024" s="3" t="n">
        <v>82.70999999999999</v>
      </c>
      <c r="M2024" s="3" t="n">
        <v>48.88</v>
      </c>
      <c r="N2024" s="3" t="n">
        <v>33.83</v>
      </c>
      <c r="O2024">
        <f>TEXT(A2024,"yyyy-mm")</f>
        <v/>
      </c>
    </row>
    <row r="2025">
      <c r="A2025" s="2" t="n">
        <v>45847</v>
      </c>
      <c r="B2025" t="n">
        <v>2025</v>
      </c>
      <c r="C2025" t="inlineStr">
        <is>
          <t>July</t>
        </is>
      </c>
      <c r="D2025" t="inlineStr">
        <is>
          <t>Portable Toolset</t>
        </is>
      </c>
      <c r="E2025" t="inlineStr">
        <is>
          <t>Home &amp; Garden</t>
        </is>
      </c>
      <c r="F2025" t="inlineStr">
        <is>
          <t>Emily Rossi</t>
        </is>
      </c>
      <c r="G2025" t="inlineStr">
        <is>
          <t>United Kingdom</t>
        </is>
      </c>
      <c r="H2025" t="inlineStr">
        <is>
          <t>Marketplace</t>
        </is>
      </c>
      <c r="I2025" t="n">
        <v>2</v>
      </c>
      <c r="J2025" s="3" t="n">
        <v>297.06</v>
      </c>
      <c r="K2025" s="3" t="n">
        <v>29.71</v>
      </c>
      <c r="L2025" s="3" t="n">
        <v>267.35</v>
      </c>
      <c r="M2025" s="3" t="n">
        <v>185.7</v>
      </c>
      <c r="N2025" s="3" t="n">
        <v>81.65000000000001</v>
      </c>
      <c r="O2025">
        <f>TEXT(A2025,"yyyy-mm")</f>
        <v/>
      </c>
    </row>
    <row r="2026">
      <c r="A2026" s="2" t="n">
        <v>45847</v>
      </c>
      <c r="B2026" t="n">
        <v>2025</v>
      </c>
      <c r="C2026" t="inlineStr">
        <is>
          <t>July</t>
        </is>
      </c>
      <c r="D2026" t="inlineStr">
        <is>
          <t>Smart Jeans</t>
        </is>
      </c>
      <c r="E2026" t="inlineStr">
        <is>
          <t>Clothing</t>
        </is>
      </c>
      <c r="F2026" t="inlineStr">
        <is>
          <t>John Conti</t>
        </is>
      </c>
      <c r="G2026" t="inlineStr">
        <is>
          <t>Germany</t>
        </is>
      </c>
      <c r="H2026" t="inlineStr">
        <is>
          <t>Retail Store</t>
        </is>
      </c>
      <c r="I2026" t="n">
        <v>5</v>
      </c>
      <c r="J2026" s="3" t="n">
        <v>1489.75</v>
      </c>
      <c r="K2026" s="3" t="n">
        <v>297.95</v>
      </c>
      <c r="L2026" s="3" t="n">
        <v>1191.8</v>
      </c>
      <c r="M2026" s="3" t="n">
        <v>968.2</v>
      </c>
      <c r="N2026" s="3" t="n">
        <v>223.6</v>
      </c>
      <c r="O2026">
        <f>TEXT(A2026,"yyyy-mm")</f>
        <v/>
      </c>
    </row>
    <row r="2027">
      <c r="A2027" s="2" t="n">
        <v>45847</v>
      </c>
      <c r="B2027" t="n">
        <v>2025</v>
      </c>
      <c r="C2027" t="inlineStr">
        <is>
          <t>July</t>
        </is>
      </c>
      <c r="D2027" t="inlineStr">
        <is>
          <t>Eco Backpack</t>
        </is>
      </c>
      <c r="E2027" t="inlineStr">
        <is>
          <t>Sports &amp; Outdoors</t>
        </is>
      </c>
      <c r="F2027" t="inlineStr">
        <is>
          <t>Emily Rossi</t>
        </is>
      </c>
      <c r="G2027" t="inlineStr">
        <is>
          <t>United Kingdom</t>
        </is>
      </c>
      <c r="H2027" t="inlineStr">
        <is>
          <t>Marketplace</t>
        </is>
      </c>
      <c r="I2027" t="n">
        <v>4</v>
      </c>
      <c r="J2027" s="3" t="n">
        <v>1106</v>
      </c>
      <c r="K2027" s="3" t="n">
        <v>55.3</v>
      </c>
      <c r="L2027" s="3" t="n">
        <v>1050.7</v>
      </c>
      <c r="M2027" s="3" t="n">
        <v>586.3200000000001</v>
      </c>
      <c r="N2027" s="3" t="n">
        <v>464.38</v>
      </c>
      <c r="O2027">
        <f>TEXT(A2027,"yyyy-mm")</f>
        <v/>
      </c>
    </row>
    <row r="2028">
      <c r="A2028" s="2" t="n">
        <v>45847</v>
      </c>
      <c r="B2028" t="n">
        <v>2025</v>
      </c>
      <c r="C2028" t="inlineStr">
        <is>
          <t>July</t>
        </is>
      </c>
      <c r="D2028" t="inlineStr">
        <is>
          <t>Smart Face Cream</t>
        </is>
      </c>
      <c r="E2028" t="inlineStr">
        <is>
          <t>Beauty &amp; Health</t>
        </is>
      </c>
      <c r="F2028" t="inlineStr">
        <is>
          <t>Julia Dubois</t>
        </is>
      </c>
      <c r="G2028" t="inlineStr">
        <is>
          <t>United States</t>
        </is>
      </c>
      <c r="H2028" t="inlineStr">
        <is>
          <t>Mobile App</t>
        </is>
      </c>
      <c r="I2028" t="n">
        <v>2</v>
      </c>
      <c r="J2028" s="3" t="n">
        <v>550.54</v>
      </c>
      <c r="K2028" s="3" t="n">
        <v>82.58</v>
      </c>
      <c r="L2028" s="3" t="n">
        <v>467.96</v>
      </c>
      <c r="M2028" s="3" t="n">
        <v>386.28</v>
      </c>
      <c r="N2028" s="3" t="n">
        <v>81.68000000000001</v>
      </c>
      <c r="O2028">
        <f>TEXT(A2028,"yyyy-mm")</f>
        <v/>
      </c>
    </row>
    <row r="2029">
      <c r="A2029" s="2" t="n">
        <v>45847</v>
      </c>
      <c r="B2029" t="n">
        <v>2025</v>
      </c>
      <c r="C2029" t="inlineStr">
        <is>
          <t>July</t>
        </is>
      </c>
      <c r="D2029" t="inlineStr">
        <is>
          <t>Eco Tent</t>
        </is>
      </c>
      <c r="E2029" t="inlineStr">
        <is>
          <t>Sports &amp; Outdoors</t>
        </is>
      </c>
      <c r="F2029" t="inlineStr">
        <is>
          <t>Julia Dubois</t>
        </is>
      </c>
      <c r="G2029" t="inlineStr">
        <is>
          <t>United States</t>
        </is>
      </c>
      <c r="H2029" t="inlineStr">
        <is>
          <t>Mobile App</t>
        </is>
      </c>
      <c r="I2029" t="n">
        <v>4</v>
      </c>
      <c r="J2029" s="3" t="n">
        <v>257.88</v>
      </c>
      <c r="K2029" s="3" t="n">
        <v>0</v>
      </c>
      <c r="L2029" s="3" t="n">
        <v>257.88</v>
      </c>
      <c r="M2029" s="3" t="n">
        <v>175.4</v>
      </c>
      <c r="N2029" s="3" t="n">
        <v>82.48</v>
      </c>
      <c r="O2029">
        <f>TEXT(A2029,"yyyy-mm")</f>
        <v/>
      </c>
    </row>
    <row r="2030">
      <c r="A2030" s="2" t="n">
        <v>45847</v>
      </c>
      <c r="B2030" t="n">
        <v>2025</v>
      </c>
      <c r="C2030" t="inlineStr">
        <is>
          <t>July</t>
        </is>
      </c>
      <c r="D2030" t="inlineStr">
        <is>
          <t>Smart Puzzle</t>
        </is>
      </c>
      <c r="E2030" t="inlineStr">
        <is>
          <t>Toys &amp; Games</t>
        </is>
      </c>
      <c r="F2030" t="inlineStr">
        <is>
          <t>John Conti</t>
        </is>
      </c>
      <c r="G2030" t="inlineStr">
        <is>
          <t>Germany</t>
        </is>
      </c>
      <c r="H2030" t="inlineStr">
        <is>
          <t>Retail Store</t>
        </is>
      </c>
      <c r="I2030" t="n">
        <v>2</v>
      </c>
      <c r="J2030" s="3" t="n">
        <v>94.38</v>
      </c>
      <c r="K2030" s="3" t="n">
        <v>18.88</v>
      </c>
      <c r="L2030" s="3" t="n">
        <v>75.5</v>
      </c>
      <c r="M2030" s="3" t="n">
        <v>48.88</v>
      </c>
      <c r="N2030" s="3" t="n">
        <v>26.62</v>
      </c>
      <c r="O2030">
        <f>TEXT(A2030,"yyyy-mm")</f>
        <v/>
      </c>
    </row>
    <row r="2031">
      <c r="A2031" s="2" t="n">
        <v>45848</v>
      </c>
      <c r="B2031" t="n">
        <v>2025</v>
      </c>
      <c r="C2031" t="inlineStr">
        <is>
          <t>July</t>
        </is>
      </c>
      <c r="D2031" t="inlineStr">
        <is>
          <t>Smart Olive Oil</t>
        </is>
      </c>
      <c r="E2031" t="inlineStr">
        <is>
          <t>Grocery</t>
        </is>
      </c>
      <c r="F2031" t="inlineStr">
        <is>
          <t>Maria Dubois</t>
        </is>
      </c>
      <c r="G2031" t="inlineStr">
        <is>
          <t>Spain</t>
        </is>
      </c>
      <c r="H2031" t="inlineStr">
        <is>
          <t>Web Store</t>
        </is>
      </c>
      <c r="I2031" t="n">
        <v>3</v>
      </c>
      <c r="J2031" s="3" t="n">
        <v>506.79</v>
      </c>
      <c r="K2031" s="3" t="n">
        <v>101.36</v>
      </c>
      <c r="L2031" s="3" t="n">
        <v>405.43</v>
      </c>
      <c r="M2031" s="3" t="n">
        <v>330.06</v>
      </c>
      <c r="N2031" s="3" t="n">
        <v>75.37</v>
      </c>
      <c r="O2031">
        <f>TEXT(A2031,"yyyy-mm")</f>
        <v/>
      </c>
    </row>
    <row r="2032">
      <c r="A2032" s="2" t="n">
        <v>45848</v>
      </c>
      <c r="B2032" t="n">
        <v>2025</v>
      </c>
      <c r="C2032" t="inlineStr">
        <is>
          <t>July</t>
        </is>
      </c>
      <c r="D2032" t="inlineStr">
        <is>
          <t>Portable Puzzle</t>
        </is>
      </c>
      <c r="E2032" t="inlineStr">
        <is>
          <t>Toys &amp; Games</t>
        </is>
      </c>
      <c r="F2032" t="inlineStr">
        <is>
          <t>Clara Nowak</t>
        </is>
      </c>
      <c r="G2032" t="inlineStr">
        <is>
          <t>United Kingdom</t>
        </is>
      </c>
      <c r="H2032" t="inlineStr">
        <is>
          <t>Marketplace</t>
        </is>
      </c>
      <c r="I2032" t="n">
        <v>5</v>
      </c>
      <c r="J2032" s="3" t="n">
        <v>1615.1</v>
      </c>
      <c r="K2032" s="3" t="n">
        <v>242.26</v>
      </c>
      <c r="L2032" s="3" t="n">
        <v>1372.84</v>
      </c>
      <c r="M2032" s="3" t="n">
        <v>868.3</v>
      </c>
      <c r="N2032" s="3" t="n">
        <v>504.54</v>
      </c>
      <c r="O2032">
        <f>TEXT(A2032,"yyyy-mm")</f>
        <v/>
      </c>
    </row>
    <row r="2033">
      <c r="A2033" s="2" t="n">
        <v>45848</v>
      </c>
      <c r="B2033" t="n">
        <v>2025</v>
      </c>
      <c r="C2033" t="inlineStr">
        <is>
          <t>July</t>
        </is>
      </c>
      <c r="D2033" t="inlineStr">
        <is>
          <t>Premium Rug</t>
        </is>
      </c>
      <c r="E2033" t="inlineStr">
        <is>
          <t>Home &amp; Garden</t>
        </is>
      </c>
      <c r="F2033" t="inlineStr">
        <is>
          <t>Clara Nowak</t>
        </is>
      </c>
      <c r="G2033" t="inlineStr">
        <is>
          <t>United Kingdom</t>
        </is>
      </c>
      <c r="H2033" t="inlineStr">
        <is>
          <t>Marketplace</t>
        </is>
      </c>
      <c r="I2033" t="n">
        <v>1</v>
      </c>
      <c r="J2033" s="3" t="n">
        <v>190.57</v>
      </c>
      <c r="K2033" s="3" t="n">
        <v>0</v>
      </c>
      <c r="L2033" s="3" t="n">
        <v>190.57</v>
      </c>
      <c r="M2033" s="3" t="n">
        <v>111.19</v>
      </c>
      <c r="N2033" s="3" t="n">
        <v>79.38</v>
      </c>
      <c r="O2033">
        <f>TEXT(A2033,"yyyy-mm")</f>
        <v/>
      </c>
    </row>
    <row r="2034">
      <c r="A2034" s="2" t="n">
        <v>45848</v>
      </c>
      <c r="B2034" t="n">
        <v>2025</v>
      </c>
      <c r="C2034" t="inlineStr">
        <is>
          <t>July</t>
        </is>
      </c>
      <c r="D2034" t="inlineStr">
        <is>
          <t>Smart Tea Set</t>
        </is>
      </c>
      <c r="E2034" t="inlineStr">
        <is>
          <t>Grocery</t>
        </is>
      </c>
      <c r="F2034" t="inlineStr">
        <is>
          <t>David Johnson</t>
        </is>
      </c>
      <c r="G2034" t="inlineStr">
        <is>
          <t>Netherlands</t>
        </is>
      </c>
      <c r="H2034" t="inlineStr">
        <is>
          <t>Mobile App</t>
        </is>
      </c>
      <c r="I2034" t="n">
        <v>3</v>
      </c>
      <c r="J2034" s="3" t="n">
        <v>272.37</v>
      </c>
      <c r="K2034" s="3" t="n">
        <v>27.24</v>
      </c>
      <c r="L2034" s="3" t="n">
        <v>245.13</v>
      </c>
      <c r="M2034" s="3" t="n">
        <v>185.4</v>
      </c>
      <c r="N2034" s="3" t="n">
        <v>59.73</v>
      </c>
      <c r="O2034">
        <f>TEXT(A2034,"yyyy-mm")</f>
        <v/>
      </c>
    </row>
    <row r="2035">
      <c r="A2035" s="2" t="n">
        <v>45849</v>
      </c>
      <c r="B2035" t="n">
        <v>2025</v>
      </c>
      <c r="C2035" t="inlineStr">
        <is>
          <t>July</t>
        </is>
      </c>
      <c r="D2035" t="inlineStr">
        <is>
          <t>Smart Puzzle</t>
        </is>
      </c>
      <c r="E2035" t="inlineStr">
        <is>
          <t>Toys &amp; Games</t>
        </is>
      </c>
      <c r="F2035" t="inlineStr">
        <is>
          <t>Clara Lopez</t>
        </is>
      </c>
      <c r="G2035" t="inlineStr">
        <is>
          <t>France</t>
        </is>
      </c>
      <c r="H2035" t="inlineStr">
        <is>
          <t>Mobile App</t>
        </is>
      </c>
      <c r="I2035" t="n">
        <v>5</v>
      </c>
      <c r="J2035" s="3" t="n">
        <v>235.25</v>
      </c>
      <c r="K2035" s="3" t="n">
        <v>11.76</v>
      </c>
      <c r="L2035" s="3" t="n">
        <v>223.49</v>
      </c>
      <c r="M2035" s="3" t="n">
        <v>122.2</v>
      </c>
      <c r="N2035" s="3" t="n">
        <v>101.29</v>
      </c>
      <c r="O2035">
        <f>TEXT(A2035,"yyyy-mm")</f>
        <v/>
      </c>
    </row>
    <row r="2036">
      <c r="A2036" s="2" t="n">
        <v>45849</v>
      </c>
      <c r="B2036" t="n">
        <v>2025</v>
      </c>
      <c r="C2036" t="inlineStr">
        <is>
          <t>July</t>
        </is>
      </c>
      <c r="D2036" t="inlineStr">
        <is>
          <t>Classic Tent</t>
        </is>
      </c>
      <c r="E2036" t="inlineStr">
        <is>
          <t>Sports &amp; Outdoors</t>
        </is>
      </c>
      <c r="F2036" t="inlineStr">
        <is>
          <t>Mark Lopez</t>
        </is>
      </c>
      <c r="G2036" t="inlineStr">
        <is>
          <t>Italy</t>
        </is>
      </c>
      <c r="H2036" t="inlineStr">
        <is>
          <t>Retail Store</t>
        </is>
      </c>
      <c r="I2036" t="n">
        <v>5</v>
      </c>
      <c r="J2036" s="3" t="n">
        <v>1062.2</v>
      </c>
      <c r="K2036" s="3" t="n">
        <v>0</v>
      </c>
      <c r="L2036" s="3" t="n">
        <v>1062.2</v>
      </c>
      <c r="M2036" s="3" t="n">
        <v>590.1</v>
      </c>
      <c r="N2036" s="3" t="n">
        <v>472.1</v>
      </c>
      <c r="O2036">
        <f>TEXT(A2036,"yyyy-mm")</f>
        <v/>
      </c>
    </row>
    <row r="2037">
      <c r="A2037" s="2" t="n">
        <v>45850</v>
      </c>
      <c r="B2037" t="n">
        <v>2025</v>
      </c>
      <c r="C2037" t="inlineStr">
        <is>
          <t>July</t>
        </is>
      </c>
      <c r="D2037" t="inlineStr">
        <is>
          <t>Premium Water Bottle</t>
        </is>
      </c>
      <c r="E2037" t="inlineStr">
        <is>
          <t>Sports &amp; Outdoors</t>
        </is>
      </c>
      <c r="F2037" t="inlineStr">
        <is>
          <t>Michael Nowak</t>
        </is>
      </c>
      <c r="G2037" t="inlineStr">
        <is>
          <t>United Kingdom</t>
        </is>
      </c>
      <c r="H2037" t="inlineStr">
        <is>
          <t>Mobile App</t>
        </is>
      </c>
      <c r="I2037" t="n">
        <v>4</v>
      </c>
      <c r="J2037" s="3" t="n">
        <v>115.92</v>
      </c>
      <c r="K2037" s="3" t="n">
        <v>5.8</v>
      </c>
      <c r="L2037" s="3" t="n">
        <v>110.12</v>
      </c>
      <c r="M2037" s="3" t="n">
        <v>66.52</v>
      </c>
      <c r="N2037" s="3" t="n">
        <v>43.6</v>
      </c>
      <c r="O2037">
        <f>TEXT(A2037,"yyyy-mm")</f>
        <v/>
      </c>
    </row>
    <row r="2038">
      <c r="A2038" s="2" t="n">
        <v>45851</v>
      </c>
      <c r="B2038" t="n">
        <v>2025</v>
      </c>
      <c r="C2038" t="inlineStr">
        <is>
          <t>July</t>
        </is>
      </c>
      <c r="D2038" t="inlineStr">
        <is>
          <t>Ultra Rug</t>
        </is>
      </c>
      <c r="E2038" t="inlineStr">
        <is>
          <t>Home &amp; Garden</t>
        </is>
      </c>
      <c r="F2038" t="inlineStr">
        <is>
          <t>Michael Brown</t>
        </is>
      </c>
      <c r="G2038" t="inlineStr">
        <is>
          <t>Spain</t>
        </is>
      </c>
      <c r="H2038" t="inlineStr">
        <is>
          <t>Retail Store</t>
        </is>
      </c>
      <c r="I2038" t="n">
        <v>5</v>
      </c>
      <c r="J2038" s="3" t="n">
        <v>248.95</v>
      </c>
      <c r="K2038" s="3" t="n">
        <v>37.34</v>
      </c>
      <c r="L2038" s="3" t="n">
        <v>211.61</v>
      </c>
      <c r="M2038" s="3" t="n">
        <v>164.55</v>
      </c>
      <c r="N2038" s="3" t="n">
        <v>47.06</v>
      </c>
      <c r="O2038">
        <f>TEXT(A2038,"yyyy-mm")</f>
        <v/>
      </c>
    </row>
    <row r="2039">
      <c r="A2039" s="2" t="n">
        <v>45851</v>
      </c>
      <c r="B2039" t="n">
        <v>2025</v>
      </c>
      <c r="C2039" t="inlineStr">
        <is>
          <t>July</t>
        </is>
      </c>
      <c r="D2039" t="inlineStr">
        <is>
          <t>Eco Backpack</t>
        </is>
      </c>
      <c r="E2039" t="inlineStr">
        <is>
          <t>Sports &amp; Outdoors</t>
        </is>
      </c>
      <c r="F2039" t="inlineStr">
        <is>
          <t>Michael Brown</t>
        </is>
      </c>
      <c r="G2039" t="inlineStr">
        <is>
          <t>Spain</t>
        </is>
      </c>
      <c r="H2039" t="inlineStr">
        <is>
          <t>Retail Store</t>
        </is>
      </c>
      <c r="I2039" t="n">
        <v>4</v>
      </c>
      <c r="J2039" s="3" t="n">
        <v>1080.8</v>
      </c>
      <c r="K2039" s="3" t="n">
        <v>108.08</v>
      </c>
      <c r="L2039" s="3" t="n">
        <v>972.72</v>
      </c>
      <c r="M2039" s="3" t="n">
        <v>586.3200000000001</v>
      </c>
      <c r="N2039" s="3" t="n">
        <v>386.4</v>
      </c>
      <c r="O2039">
        <f>TEXT(A2039,"yyyy-mm")</f>
        <v/>
      </c>
    </row>
    <row r="2040">
      <c r="A2040" s="2" t="n">
        <v>45851</v>
      </c>
      <c r="B2040" t="n">
        <v>2025</v>
      </c>
      <c r="C2040" t="inlineStr">
        <is>
          <t>July</t>
        </is>
      </c>
      <c r="D2040" t="inlineStr">
        <is>
          <t>Compact Pasta</t>
        </is>
      </c>
      <c r="E2040" t="inlineStr">
        <is>
          <t>Grocery</t>
        </is>
      </c>
      <c r="F2040" t="inlineStr">
        <is>
          <t>Robert Fischer</t>
        </is>
      </c>
      <c r="G2040" t="inlineStr">
        <is>
          <t>Poland</t>
        </is>
      </c>
      <c r="H2040" t="inlineStr">
        <is>
          <t>Mobile App</t>
        </is>
      </c>
      <c r="I2040" t="n">
        <v>5</v>
      </c>
      <c r="J2040" s="3" t="n">
        <v>1544.9</v>
      </c>
      <c r="K2040" s="3" t="n">
        <v>308.98</v>
      </c>
      <c r="L2040" s="3" t="n">
        <v>1235.92</v>
      </c>
      <c r="M2040" s="3" t="n">
        <v>997</v>
      </c>
      <c r="N2040" s="3" t="n">
        <v>238.92</v>
      </c>
      <c r="O2040">
        <f>TEXT(A2040,"yyyy-mm")</f>
        <v/>
      </c>
    </row>
    <row r="2041">
      <c r="A2041" s="2" t="n">
        <v>45851</v>
      </c>
      <c r="B2041" t="n">
        <v>2025</v>
      </c>
      <c r="C2041" t="inlineStr">
        <is>
          <t>July</t>
        </is>
      </c>
      <c r="D2041" t="inlineStr">
        <is>
          <t>Ultra Toolset</t>
        </is>
      </c>
      <c r="E2041" t="inlineStr">
        <is>
          <t>Home &amp; Garden</t>
        </is>
      </c>
      <c r="F2041" t="inlineStr">
        <is>
          <t>Robert Fischer</t>
        </is>
      </c>
      <c r="G2041" t="inlineStr">
        <is>
          <t>Poland</t>
        </is>
      </c>
      <c r="H2041" t="inlineStr">
        <is>
          <t>Mobile App</t>
        </is>
      </c>
      <c r="I2041" t="n">
        <v>4</v>
      </c>
      <c r="J2041" s="3" t="n">
        <v>1503.44</v>
      </c>
      <c r="K2041" s="3" t="n">
        <v>0</v>
      </c>
      <c r="L2041" s="3" t="n">
        <v>1503.44</v>
      </c>
      <c r="M2041" s="3" t="n">
        <v>761.6</v>
      </c>
      <c r="N2041" s="3" t="n">
        <v>741.84</v>
      </c>
      <c r="O2041">
        <f>TEXT(A2041,"yyyy-mm")</f>
        <v/>
      </c>
    </row>
    <row r="2042">
      <c r="A2042" s="2" t="n">
        <v>45851</v>
      </c>
      <c r="B2042" t="n">
        <v>2025</v>
      </c>
      <c r="C2042" t="inlineStr">
        <is>
          <t>July</t>
        </is>
      </c>
      <c r="D2042" t="inlineStr">
        <is>
          <t>Eco Biography</t>
        </is>
      </c>
      <c r="E2042" t="inlineStr">
        <is>
          <t>Books</t>
        </is>
      </c>
      <c r="F2042" t="inlineStr">
        <is>
          <t>Robert Fischer</t>
        </is>
      </c>
      <c r="G2042" t="inlineStr">
        <is>
          <t>Poland</t>
        </is>
      </c>
      <c r="H2042" t="inlineStr">
        <is>
          <t>Mobile App</t>
        </is>
      </c>
      <c r="I2042" t="n">
        <v>2</v>
      </c>
      <c r="J2042" s="3" t="n">
        <v>242.24</v>
      </c>
      <c r="K2042" s="3" t="n">
        <v>0</v>
      </c>
      <c r="L2042" s="3" t="n">
        <v>242.24</v>
      </c>
      <c r="M2042" s="3" t="n">
        <v>142.04</v>
      </c>
      <c r="N2042" s="3" t="n">
        <v>100.2</v>
      </c>
      <c r="O2042">
        <f>TEXT(A2042,"yyyy-mm")</f>
        <v/>
      </c>
    </row>
    <row r="2043">
      <c r="A2043" s="2" t="n">
        <v>45851</v>
      </c>
      <c r="B2043" t="n">
        <v>2025</v>
      </c>
      <c r="C2043" t="inlineStr">
        <is>
          <t>July</t>
        </is>
      </c>
      <c r="D2043" t="inlineStr">
        <is>
          <t>Premium Tent</t>
        </is>
      </c>
      <c r="E2043" t="inlineStr">
        <is>
          <t>Sports &amp; Outdoors</t>
        </is>
      </c>
      <c r="F2043" t="inlineStr">
        <is>
          <t>Robert Fischer</t>
        </is>
      </c>
      <c r="G2043" t="inlineStr">
        <is>
          <t>Poland</t>
        </is>
      </c>
      <c r="H2043" t="inlineStr">
        <is>
          <t>Mobile App</t>
        </is>
      </c>
      <c r="I2043" t="n">
        <v>1</v>
      </c>
      <c r="J2043" s="3" t="n">
        <v>247.2</v>
      </c>
      <c r="K2043" s="3" t="n">
        <v>24.72</v>
      </c>
      <c r="L2043" s="3" t="n">
        <v>222.48</v>
      </c>
      <c r="M2043" s="3" t="n">
        <v>139.04</v>
      </c>
      <c r="N2043" s="3" t="n">
        <v>83.44</v>
      </c>
      <c r="O2043">
        <f>TEXT(A2043,"yyyy-mm")</f>
        <v/>
      </c>
    </row>
    <row r="2044">
      <c r="A2044" s="2" t="n">
        <v>45852</v>
      </c>
      <c r="B2044" t="n">
        <v>2025</v>
      </c>
      <c r="C2044" t="inlineStr">
        <is>
          <t>July</t>
        </is>
      </c>
      <c r="D2044" t="inlineStr">
        <is>
          <t>Classic Tea Set</t>
        </is>
      </c>
      <c r="E2044" t="inlineStr">
        <is>
          <t>Grocery</t>
        </is>
      </c>
      <c r="F2044" t="inlineStr">
        <is>
          <t>Mark Brown</t>
        </is>
      </c>
      <c r="G2044" t="inlineStr">
        <is>
          <t>France</t>
        </is>
      </c>
      <c r="H2044" t="inlineStr">
        <is>
          <t>Retail Store</t>
        </is>
      </c>
      <c r="I2044" t="n">
        <v>3</v>
      </c>
      <c r="J2044" s="3" t="n">
        <v>528.3</v>
      </c>
      <c r="K2044" s="3" t="n">
        <v>105.66</v>
      </c>
      <c r="L2044" s="3" t="n">
        <v>422.64</v>
      </c>
      <c r="M2044" s="3" t="n">
        <v>376.2</v>
      </c>
      <c r="N2044" s="3" t="n">
        <v>46.44</v>
      </c>
      <c r="O2044">
        <f>TEXT(A2044,"yyyy-mm")</f>
        <v/>
      </c>
    </row>
    <row r="2045">
      <c r="A2045" s="2" t="n">
        <v>45853</v>
      </c>
      <c r="B2045" t="n">
        <v>2025</v>
      </c>
      <c r="C2045" t="inlineStr">
        <is>
          <t>July</t>
        </is>
      </c>
      <c r="D2045" t="inlineStr">
        <is>
          <t>Deluxe Scarf</t>
        </is>
      </c>
      <c r="E2045" t="inlineStr">
        <is>
          <t>Clothing</t>
        </is>
      </c>
      <c r="F2045" t="inlineStr">
        <is>
          <t>Emily Conti</t>
        </is>
      </c>
      <c r="G2045" t="inlineStr">
        <is>
          <t>Germany</t>
        </is>
      </c>
      <c r="H2045" t="inlineStr">
        <is>
          <t>Web Store</t>
        </is>
      </c>
      <c r="I2045" t="n">
        <v>1</v>
      </c>
      <c r="J2045" s="3" t="n">
        <v>193.04</v>
      </c>
      <c r="K2045" s="3" t="n">
        <v>0</v>
      </c>
      <c r="L2045" s="3" t="n">
        <v>193.04</v>
      </c>
      <c r="M2045" s="3" t="n">
        <v>108.52</v>
      </c>
      <c r="N2045" s="3" t="n">
        <v>84.52</v>
      </c>
      <c r="O2045">
        <f>TEXT(A2045,"yyyy-mm")</f>
        <v/>
      </c>
    </row>
    <row r="2046">
      <c r="A2046" s="2" t="n">
        <v>45853</v>
      </c>
      <c r="B2046" t="n">
        <v>2025</v>
      </c>
      <c r="C2046" t="inlineStr">
        <is>
          <t>July</t>
        </is>
      </c>
      <c r="D2046" t="inlineStr">
        <is>
          <t>Smart Cookbook</t>
        </is>
      </c>
      <c r="E2046" t="inlineStr">
        <is>
          <t>Books</t>
        </is>
      </c>
      <c r="F2046" t="inlineStr">
        <is>
          <t>Emily Conti</t>
        </is>
      </c>
      <c r="G2046" t="inlineStr">
        <is>
          <t>Germany</t>
        </is>
      </c>
      <c r="H2046" t="inlineStr">
        <is>
          <t>Web Store</t>
        </is>
      </c>
      <c r="I2046" t="n">
        <v>1</v>
      </c>
      <c r="J2046" s="3" t="n">
        <v>18</v>
      </c>
      <c r="K2046" s="3" t="n">
        <v>2.7</v>
      </c>
      <c r="L2046" s="3" t="n">
        <v>15.3</v>
      </c>
      <c r="M2046" s="3" t="n">
        <v>9.880000000000001</v>
      </c>
      <c r="N2046" s="3" t="n">
        <v>5.42</v>
      </c>
      <c r="O2046">
        <f>TEXT(A2046,"yyyy-mm")</f>
        <v/>
      </c>
    </row>
    <row r="2047">
      <c r="A2047" s="2" t="n">
        <v>45853</v>
      </c>
      <c r="B2047" t="n">
        <v>2025</v>
      </c>
      <c r="C2047" t="inlineStr">
        <is>
          <t>July</t>
        </is>
      </c>
      <c r="D2047" t="inlineStr">
        <is>
          <t>Eco Tent</t>
        </is>
      </c>
      <c r="E2047" t="inlineStr">
        <is>
          <t>Sports &amp; Outdoors</t>
        </is>
      </c>
      <c r="F2047" t="inlineStr">
        <is>
          <t>Emily Conti</t>
        </is>
      </c>
      <c r="G2047" t="inlineStr">
        <is>
          <t>Germany</t>
        </is>
      </c>
      <c r="H2047" t="inlineStr">
        <is>
          <t>Web Store</t>
        </is>
      </c>
      <c r="I2047" t="n">
        <v>5</v>
      </c>
      <c r="J2047" s="3" t="n">
        <v>330.45</v>
      </c>
      <c r="K2047" s="3" t="n">
        <v>66.09</v>
      </c>
      <c r="L2047" s="3" t="n">
        <v>264.36</v>
      </c>
      <c r="M2047" s="3" t="n">
        <v>219.25</v>
      </c>
      <c r="N2047" s="3" t="n">
        <v>45.11</v>
      </c>
      <c r="O2047">
        <f>TEXT(A2047,"yyyy-mm")</f>
        <v/>
      </c>
    </row>
    <row r="2048">
      <c r="A2048" s="2" t="n">
        <v>45853</v>
      </c>
      <c r="B2048" t="n">
        <v>2025</v>
      </c>
      <c r="C2048" t="inlineStr">
        <is>
          <t>July</t>
        </is>
      </c>
      <c r="D2048" t="inlineStr">
        <is>
          <t>Portable Tea Set</t>
        </is>
      </c>
      <c r="E2048" t="inlineStr">
        <is>
          <t>Grocery</t>
        </is>
      </c>
      <c r="F2048" t="inlineStr">
        <is>
          <t>Emily Conti</t>
        </is>
      </c>
      <c r="G2048" t="inlineStr">
        <is>
          <t>Germany</t>
        </is>
      </c>
      <c r="H2048" t="inlineStr">
        <is>
          <t>Web Store</t>
        </is>
      </c>
      <c r="I2048" t="n">
        <v>5</v>
      </c>
      <c r="J2048" s="3" t="n">
        <v>1399.95</v>
      </c>
      <c r="K2048" s="3" t="n">
        <v>0</v>
      </c>
      <c r="L2048" s="3" t="n">
        <v>1399.95</v>
      </c>
      <c r="M2048" s="3" t="n">
        <v>940.6</v>
      </c>
      <c r="N2048" s="3" t="n">
        <v>459.35</v>
      </c>
      <c r="O2048">
        <f>TEXT(A2048,"yyyy-mm")</f>
        <v/>
      </c>
    </row>
    <row r="2049">
      <c r="A2049" s="2" t="n">
        <v>45853</v>
      </c>
      <c r="B2049" t="n">
        <v>2025</v>
      </c>
      <c r="C2049" t="inlineStr">
        <is>
          <t>July</t>
        </is>
      </c>
      <c r="D2049" t="inlineStr">
        <is>
          <t>Premium Water Bottle</t>
        </is>
      </c>
      <c r="E2049" t="inlineStr">
        <is>
          <t>Sports &amp; Outdoors</t>
        </is>
      </c>
      <c r="F2049" t="inlineStr">
        <is>
          <t>Mark Moreau</t>
        </is>
      </c>
      <c r="G2049" t="inlineStr">
        <is>
          <t>Italy</t>
        </is>
      </c>
      <c r="H2049" t="inlineStr">
        <is>
          <t>Mobile App</t>
        </is>
      </c>
      <c r="I2049" t="n">
        <v>4</v>
      </c>
      <c r="J2049" s="3" t="n">
        <v>1235.16</v>
      </c>
      <c r="K2049" s="3" t="n">
        <v>0</v>
      </c>
      <c r="L2049" s="3" t="n">
        <v>1235.16</v>
      </c>
      <c r="M2049" s="3" t="n">
        <v>724.64</v>
      </c>
      <c r="N2049" s="3" t="n">
        <v>510.52</v>
      </c>
      <c r="O2049">
        <f>TEXT(A2049,"yyyy-mm")</f>
        <v/>
      </c>
    </row>
    <row r="2050">
      <c r="A2050" s="2" t="n">
        <v>45853</v>
      </c>
      <c r="B2050" t="n">
        <v>2025</v>
      </c>
      <c r="C2050" t="inlineStr">
        <is>
          <t>July</t>
        </is>
      </c>
      <c r="D2050" t="inlineStr">
        <is>
          <t>Portable Bike Helmet</t>
        </is>
      </c>
      <c r="E2050" t="inlineStr">
        <is>
          <t>Sports &amp; Outdoors</t>
        </is>
      </c>
      <c r="F2050" t="inlineStr">
        <is>
          <t>Robert Rossi</t>
        </is>
      </c>
      <c r="G2050" t="inlineStr">
        <is>
          <t>United States</t>
        </is>
      </c>
      <c r="H2050" t="inlineStr">
        <is>
          <t>Mobile App</t>
        </is>
      </c>
      <c r="I2050" t="n">
        <v>2</v>
      </c>
      <c r="J2050" s="3" t="n">
        <v>605.8200000000001</v>
      </c>
      <c r="K2050" s="3" t="n">
        <v>90.87</v>
      </c>
      <c r="L2050" s="3" t="n">
        <v>514.95</v>
      </c>
      <c r="M2050" s="3" t="n">
        <v>330.74</v>
      </c>
      <c r="N2050" s="3" t="n">
        <v>184.21</v>
      </c>
      <c r="O2050">
        <f>TEXT(A2050,"yyyy-mm")</f>
        <v/>
      </c>
    </row>
    <row r="2051">
      <c r="A2051" s="2" t="n">
        <v>45853</v>
      </c>
      <c r="B2051" t="n">
        <v>2025</v>
      </c>
      <c r="C2051" t="inlineStr">
        <is>
          <t>July</t>
        </is>
      </c>
      <c r="D2051" t="inlineStr">
        <is>
          <t>Wireless Coffee Beans</t>
        </is>
      </c>
      <c r="E2051" t="inlineStr">
        <is>
          <t>Grocery</t>
        </is>
      </c>
      <c r="F2051" t="inlineStr">
        <is>
          <t>Robert Rossi</t>
        </is>
      </c>
      <c r="G2051" t="inlineStr">
        <is>
          <t>United States</t>
        </is>
      </c>
      <c r="H2051" t="inlineStr">
        <is>
          <t>Mobile App</t>
        </is>
      </c>
      <c r="I2051" t="n">
        <v>5</v>
      </c>
      <c r="J2051" s="3" t="n">
        <v>1122.95</v>
      </c>
      <c r="K2051" s="3" t="n">
        <v>168.44</v>
      </c>
      <c r="L2051" s="3" t="n">
        <v>954.51</v>
      </c>
      <c r="M2051" s="3" t="n">
        <v>650.65</v>
      </c>
      <c r="N2051" s="3" t="n">
        <v>303.86</v>
      </c>
      <c r="O2051">
        <f>TEXT(A2051,"yyyy-mm")</f>
        <v/>
      </c>
    </row>
    <row r="2052">
      <c r="A2052" s="2" t="n">
        <v>45854</v>
      </c>
      <c r="B2052" t="n">
        <v>2025</v>
      </c>
      <c r="C2052" t="inlineStr">
        <is>
          <t>July</t>
        </is>
      </c>
      <c r="D2052" t="inlineStr">
        <is>
          <t>Classic Bike Helmet</t>
        </is>
      </c>
      <c r="E2052" t="inlineStr">
        <is>
          <t>Sports &amp; Outdoors</t>
        </is>
      </c>
      <c r="F2052" t="inlineStr">
        <is>
          <t>Maria Garcia</t>
        </is>
      </c>
      <c r="G2052" t="inlineStr">
        <is>
          <t>Italy</t>
        </is>
      </c>
      <c r="H2052" t="inlineStr">
        <is>
          <t>Mobile App</t>
        </is>
      </c>
      <c r="I2052" t="n">
        <v>5</v>
      </c>
      <c r="J2052" s="3" t="n">
        <v>1067.25</v>
      </c>
      <c r="K2052" s="3" t="n">
        <v>213.45</v>
      </c>
      <c r="L2052" s="3" t="n">
        <v>853.8</v>
      </c>
      <c r="M2052" s="3" t="n">
        <v>769.05</v>
      </c>
      <c r="N2052" s="3" t="n">
        <v>84.75</v>
      </c>
      <c r="O2052">
        <f>TEXT(A2052,"yyyy-mm")</f>
        <v/>
      </c>
    </row>
    <row r="2053">
      <c r="A2053" s="2" t="n">
        <v>45854</v>
      </c>
      <c r="B2053" t="n">
        <v>2025</v>
      </c>
      <c r="C2053" t="inlineStr">
        <is>
          <t>July</t>
        </is>
      </c>
      <c r="D2053" t="inlineStr">
        <is>
          <t>Portable Puzzle</t>
        </is>
      </c>
      <c r="E2053" t="inlineStr">
        <is>
          <t>Toys &amp; Games</t>
        </is>
      </c>
      <c r="F2053" t="inlineStr">
        <is>
          <t>Maria Garcia</t>
        </is>
      </c>
      <c r="G2053" t="inlineStr">
        <is>
          <t>Italy</t>
        </is>
      </c>
      <c r="H2053" t="inlineStr">
        <is>
          <t>Mobile App</t>
        </is>
      </c>
      <c r="I2053" t="n">
        <v>3</v>
      </c>
      <c r="J2053" s="3" t="n">
        <v>342.18</v>
      </c>
      <c r="K2053" s="3" t="n">
        <v>51.33</v>
      </c>
      <c r="L2053" s="3" t="n">
        <v>290.85</v>
      </c>
      <c r="M2053" s="3" t="n">
        <v>176.4</v>
      </c>
      <c r="N2053" s="3" t="n">
        <v>114.45</v>
      </c>
      <c r="O2053">
        <f>TEXT(A2053,"yyyy-mm")</f>
        <v/>
      </c>
    </row>
    <row r="2054">
      <c r="A2054" s="2" t="n">
        <v>45854</v>
      </c>
      <c r="B2054" t="n">
        <v>2025</v>
      </c>
      <c r="C2054" t="inlineStr">
        <is>
          <t>July</t>
        </is>
      </c>
      <c r="D2054" t="inlineStr">
        <is>
          <t>Premium Rug</t>
        </is>
      </c>
      <c r="E2054" t="inlineStr">
        <is>
          <t>Home &amp; Garden</t>
        </is>
      </c>
      <c r="F2054" t="inlineStr">
        <is>
          <t>Maria Garcia</t>
        </is>
      </c>
      <c r="G2054" t="inlineStr">
        <is>
          <t>Italy</t>
        </is>
      </c>
      <c r="H2054" t="inlineStr">
        <is>
          <t>Mobile App</t>
        </is>
      </c>
      <c r="I2054" t="n">
        <v>5</v>
      </c>
      <c r="J2054" s="3" t="n">
        <v>900.6</v>
      </c>
      <c r="K2054" s="3" t="n">
        <v>135.09</v>
      </c>
      <c r="L2054" s="3" t="n">
        <v>765.51</v>
      </c>
      <c r="M2054" s="3" t="n">
        <v>555.95</v>
      </c>
      <c r="N2054" s="3" t="n">
        <v>209.56</v>
      </c>
      <c r="O2054">
        <f>TEXT(A2054,"yyyy-mm")</f>
        <v/>
      </c>
    </row>
    <row r="2055">
      <c r="A2055" s="2" t="n">
        <v>45854</v>
      </c>
      <c r="B2055" t="n">
        <v>2025</v>
      </c>
      <c r="C2055" t="inlineStr">
        <is>
          <t>July</t>
        </is>
      </c>
      <c r="D2055" t="inlineStr">
        <is>
          <t>Portable Speaker</t>
        </is>
      </c>
      <c r="E2055" t="inlineStr">
        <is>
          <t>Electronics</t>
        </is>
      </c>
      <c r="F2055" t="inlineStr">
        <is>
          <t>Maria Garcia</t>
        </is>
      </c>
      <c r="G2055" t="inlineStr">
        <is>
          <t>Italy</t>
        </is>
      </c>
      <c r="H2055" t="inlineStr">
        <is>
          <t>Mobile App</t>
        </is>
      </c>
      <c r="I2055" t="n">
        <v>4</v>
      </c>
      <c r="J2055" s="3" t="n">
        <v>1317.24</v>
      </c>
      <c r="K2055" s="3" t="n">
        <v>0</v>
      </c>
      <c r="L2055" s="3" t="n">
        <v>1317.24</v>
      </c>
      <c r="M2055" s="3" t="n">
        <v>699.3200000000001</v>
      </c>
      <c r="N2055" s="3" t="n">
        <v>617.92</v>
      </c>
      <c r="O2055">
        <f>TEXT(A2055,"yyyy-mm")</f>
        <v/>
      </c>
    </row>
    <row r="2056">
      <c r="A2056" s="2" t="n">
        <v>45854</v>
      </c>
      <c r="B2056" t="n">
        <v>2025</v>
      </c>
      <c r="C2056" t="inlineStr">
        <is>
          <t>July</t>
        </is>
      </c>
      <c r="D2056" t="inlineStr">
        <is>
          <t>Ultra Rug</t>
        </is>
      </c>
      <c r="E2056" t="inlineStr">
        <is>
          <t>Home &amp; Garden</t>
        </is>
      </c>
      <c r="F2056" t="inlineStr">
        <is>
          <t>Peter Garcia</t>
        </is>
      </c>
      <c r="G2056" t="inlineStr">
        <is>
          <t>Poland</t>
        </is>
      </c>
      <c r="H2056" t="inlineStr">
        <is>
          <t>Web Store</t>
        </is>
      </c>
      <c r="I2056" t="n">
        <v>4</v>
      </c>
      <c r="J2056" s="3" t="n">
        <v>198.28</v>
      </c>
      <c r="K2056" s="3" t="n">
        <v>0</v>
      </c>
      <c r="L2056" s="3" t="n">
        <v>198.28</v>
      </c>
      <c r="M2056" s="3" t="n">
        <v>131.64</v>
      </c>
      <c r="N2056" s="3" t="n">
        <v>66.64</v>
      </c>
      <c r="O2056">
        <f>TEXT(A2056,"yyyy-mm")</f>
        <v/>
      </c>
    </row>
    <row r="2057">
      <c r="A2057" s="2" t="n">
        <v>45854</v>
      </c>
      <c r="B2057" t="n">
        <v>2025</v>
      </c>
      <c r="C2057" t="inlineStr">
        <is>
          <t>July</t>
        </is>
      </c>
      <c r="D2057" t="inlineStr">
        <is>
          <t>Portable Tea Set</t>
        </is>
      </c>
      <c r="E2057" t="inlineStr">
        <is>
          <t>Grocery</t>
        </is>
      </c>
      <c r="F2057" t="inlineStr">
        <is>
          <t>Peter Garcia</t>
        </is>
      </c>
      <c r="G2057" t="inlineStr">
        <is>
          <t>Poland</t>
        </is>
      </c>
      <c r="H2057" t="inlineStr">
        <is>
          <t>Web Store</t>
        </is>
      </c>
      <c r="I2057" t="n">
        <v>1</v>
      </c>
      <c r="J2057" s="3" t="n">
        <v>277.58</v>
      </c>
      <c r="K2057" s="3" t="n">
        <v>0</v>
      </c>
      <c r="L2057" s="3" t="n">
        <v>277.58</v>
      </c>
      <c r="M2057" s="3" t="n">
        <v>188.12</v>
      </c>
      <c r="N2057" s="3" t="n">
        <v>89.45999999999999</v>
      </c>
      <c r="O2057">
        <f>TEXT(A2057,"yyyy-mm")</f>
        <v/>
      </c>
    </row>
    <row r="2058">
      <c r="A2058" s="2" t="n">
        <v>45855</v>
      </c>
      <c r="B2058" t="n">
        <v>2025</v>
      </c>
      <c r="C2058" t="inlineStr">
        <is>
          <t>July</t>
        </is>
      </c>
      <c r="D2058" t="inlineStr">
        <is>
          <t>Premium Water Bottle</t>
        </is>
      </c>
      <c r="E2058" t="inlineStr">
        <is>
          <t>Sports &amp; Outdoors</t>
        </is>
      </c>
      <c r="F2058" t="inlineStr">
        <is>
          <t>Emily Brown</t>
        </is>
      </c>
      <c r="G2058" t="inlineStr">
        <is>
          <t>United States</t>
        </is>
      </c>
      <c r="H2058" t="inlineStr">
        <is>
          <t>Retail Store</t>
        </is>
      </c>
      <c r="I2058" t="n">
        <v>1</v>
      </c>
      <c r="J2058" s="3" t="n">
        <v>29.14</v>
      </c>
      <c r="K2058" s="3" t="n">
        <v>0</v>
      </c>
      <c r="L2058" s="3" t="n">
        <v>29.14</v>
      </c>
      <c r="M2058" s="3" t="n">
        <v>16.63</v>
      </c>
      <c r="N2058" s="3" t="n">
        <v>12.51</v>
      </c>
      <c r="O2058">
        <f>TEXT(A2058,"yyyy-mm")</f>
        <v/>
      </c>
    </row>
    <row r="2059">
      <c r="A2059" s="2" t="n">
        <v>45855</v>
      </c>
      <c r="B2059" t="n">
        <v>2025</v>
      </c>
      <c r="C2059" t="inlineStr">
        <is>
          <t>July</t>
        </is>
      </c>
      <c r="D2059" t="inlineStr">
        <is>
          <t>Smart Charger</t>
        </is>
      </c>
      <c r="E2059" t="inlineStr">
        <is>
          <t>Electronics</t>
        </is>
      </c>
      <c r="F2059" t="inlineStr">
        <is>
          <t>Emily Brown</t>
        </is>
      </c>
      <c r="G2059" t="inlineStr">
        <is>
          <t>United States</t>
        </is>
      </c>
      <c r="H2059" t="inlineStr">
        <is>
          <t>Retail Store</t>
        </is>
      </c>
      <c r="I2059" t="n">
        <v>5</v>
      </c>
      <c r="J2059" s="3" t="n">
        <v>204.8</v>
      </c>
      <c r="K2059" s="3" t="n">
        <v>30.72</v>
      </c>
      <c r="L2059" s="3" t="n">
        <v>174.08</v>
      </c>
      <c r="M2059" s="3" t="n">
        <v>138.2</v>
      </c>
      <c r="N2059" s="3" t="n">
        <v>35.88</v>
      </c>
      <c r="O2059">
        <f>TEXT(A2059,"yyyy-mm")</f>
        <v/>
      </c>
    </row>
    <row r="2060">
      <c r="A2060" s="2" t="n">
        <v>45855</v>
      </c>
      <c r="B2060" t="n">
        <v>2025</v>
      </c>
      <c r="C2060" t="inlineStr">
        <is>
          <t>July</t>
        </is>
      </c>
      <c r="D2060" t="inlineStr">
        <is>
          <t>Premium Water Bottle</t>
        </is>
      </c>
      <c r="E2060" t="inlineStr">
        <is>
          <t>Sports &amp; Outdoors</t>
        </is>
      </c>
      <c r="F2060" t="inlineStr">
        <is>
          <t>Emily Brown</t>
        </is>
      </c>
      <c r="G2060" t="inlineStr">
        <is>
          <t>United States</t>
        </is>
      </c>
      <c r="H2060" t="inlineStr">
        <is>
          <t>Retail Store</t>
        </is>
      </c>
      <c r="I2060" t="n">
        <v>5</v>
      </c>
      <c r="J2060" s="3" t="n">
        <v>1489.45</v>
      </c>
      <c r="K2060" s="3" t="n">
        <v>0</v>
      </c>
      <c r="L2060" s="3" t="n">
        <v>1489.45</v>
      </c>
      <c r="M2060" s="3" t="n">
        <v>905.8</v>
      </c>
      <c r="N2060" s="3" t="n">
        <v>583.65</v>
      </c>
      <c r="O2060">
        <f>TEXT(A2060,"yyyy-mm")</f>
        <v/>
      </c>
    </row>
    <row r="2061">
      <c r="A2061" s="2" t="n">
        <v>45855</v>
      </c>
      <c r="B2061" t="n">
        <v>2025</v>
      </c>
      <c r="C2061" t="inlineStr">
        <is>
          <t>July</t>
        </is>
      </c>
      <c r="D2061" t="inlineStr">
        <is>
          <t>Portable Speaker</t>
        </is>
      </c>
      <c r="E2061" t="inlineStr">
        <is>
          <t>Electronics</t>
        </is>
      </c>
      <c r="F2061" t="inlineStr">
        <is>
          <t>Michael Johnson</t>
        </is>
      </c>
      <c r="G2061" t="inlineStr">
        <is>
          <t>Germany</t>
        </is>
      </c>
      <c r="H2061" t="inlineStr">
        <is>
          <t>Mobile App</t>
        </is>
      </c>
      <c r="I2061" t="n">
        <v>3</v>
      </c>
      <c r="J2061" s="3" t="n">
        <v>1034.94</v>
      </c>
      <c r="K2061" s="3" t="n">
        <v>206.99</v>
      </c>
      <c r="L2061" s="3" t="n">
        <v>827.95</v>
      </c>
      <c r="M2061" s="3" t="n">
        <v>524.49</v>
      </c>
      <c r="N2061" s="3" t="n">
        <v>303.46</v>
      </c>
      <c r="O2061">
        <f>TEXT(A2061,"yyyy-mm")</f>
        <v/>
      </c>
    </row>
    <row r="2062">
      <c r="A2062" s="2" t="n">
        <v>45855</v>
      </c>
      <c r="B2062" t="n">
        <v>2025</v>
      </c>
      <c r="C2062" t="inlineStr">
        <is>
          <t>July</t>
        </is>
      </c>
      <c r="D2062" t="inlineStr">
        <is>
          <t>Ultra Toolset</t>
        </is>
      </c>
      <c r="E2062" t="inlineStr">
        <is>
          <t>Home &amp; Garden</t>
        </is>
      </c>
      <c r="F2062" t="inlineStr">
        <is>
          <t>Michael Johnson</t>
        </is>
      </c>
      <c r="G2062" t="inlineStr">
        <is>
          <t>Germany</t>
        </is>
      </c>
      <c r="H2062" t="inlineStr">
        <is>
          <t>Mobile App</t>
        </is>
      </c>
      <c r="I2062" t="n">
        <v>2</v>
      </c>
      <c r="J2062" s="3" t="n">
        <v>730.96</v>
      </c>
      <c r="K2062" s="3" t="n">
        <v>146.19</v>
      </c>
      <c r="L2062" s="3" t="n">
        <v>584.77</v>
      </c>
      <c r="M2062" s="3" t="n">
        <v>380.8</v>
      </c>
      <c r="N2062" s="3" t="n">
        <v>203.97</v>
      </c>
      <c r="O2062">
        <f>TEXT(A2062,"yyyy-mm")</f>
        <v/>
      </c>
    </row>
    <row r="2063">
      <c r="A2063" s="2" t="n">
        <v>45855</v>
      </c>
      <c r="B2063" t="n">
        <v>2025</v>
      </c>
      <c r="C2063" t="inlineStr">
        <is>
          <t>July</t>
        </is>
      </c>
      <c r="D2063" t="inlineStr">
        <is>
          <t>Portable Pasta</t>
        </is>
      </c>
      <c r="E2063" t="inlineStr">
        <is>
          <t>Grocery</t>
        </is>
      </c>
      <c r="F2063" t="inlineStr">
        <is>
          <t>Michael Johnson</t>
        </is>
      </c>
      <c r="G2063" t="inlineStr">
        <is>
          <t>Germany</t>
        </is>
      </c>
      <c r="H2063" t="inlineStr">
        <is>
          <t>Mobile App</t>
        </is>
      </c>
      <c r="I2063" t="n">
        <v>5</v>
      </c>
      <c r="J2063" s="3" t="n">
        <v>177.7</v>
      </c>
      <c r="K2063" s="3" t="n">
        <v>0</v>
      </c>
      <c r="L2063" s="3" t="n">
        <v>177.7</v>
      </c>
      <c r="M2063" s="3" t="n">
        <v>138.75</v>
      </c>
      <c r="N2063" s="3" t="n">
        <v>38.95</v>
      </c>
      <c r="O2063">
        <f>TEXT(A2063,"yyyy-mm")</f>
        <v/>
      </c>
    </row>
    <row r="2064">
      <c r="A2064" s="2" t="n">
        <v>45855</v>
      </c>
      <c r="B2064" t="n">
        <v>2025</v>
      </c>
      <c r="C2064" t="inlineStr">
        <is>
          <t>July</t>
        </is>
      </c>
      <c r="D2064" t="inlineStr">
        <is>
          <t>Smart Honey</t>
        </is>
      </c>
      <c r="E2064" t="inlineStr">
        <is>
          <t>Grocery</t>
        </is>
      </c>
      <c r="F2064" t="inlineStr">
        <is>
          <t>Olivia Bianchi</t>
        </is>
      </c>
      <c r="G2064" t="inlineStr">
        <is>
          <t>Spain</t>
        </is>
      </c>
      <c r="H2064" t="inlineStr">
        <is>
          <t>Marketplace</t>
        </is>
      </c>
      <c r="I2064" t="n">
        <v>4</v>
      </c>
      <c r="J2064" s="3" t="n">
        <v>551</v>
      </c>
      <c r="K2064" s="3" t="n">
        <v>0</v>
      </c>
      <c r="L2064" s="3" t="n">
        <v>551</v>
      </c>
      <c r="M2064" s="3" t="n">
        <v>285.76</v>
      </c>
      <c r="N2064" s="3" t="n">
        <v>265.24</v>
      </c>
      <c r="O2064">
        <f>TEXT(A2064,"yyyy-mm")</f>
        <v/>
      </c>
    </row>
    <row r="2065">
      <c r="A2065" s="2" t="n">
        <v>45855</v>
      </c>
      <c r="B2065" t="n">
        <v>2025</v>
      </c>
      <c r="C2065" t="inlineStr">
        <is>
          <t>July</t>
        </is>
      </c>
      <c r="D2065" t="inlineStr">
        <is>
          <t>Smart Cookbook</t>
        </is>
      </c>
      <c r="E2065" t="inlineStr">
        <is>
          <t>Books</t>
        </is>
      </c>
      <c r="F2065" t="inlineStr">
        <is>
          <t>Olivia Bianchi</t>
        </is>
      </c>
      <c r="G2065" t="inlineStr">
        <is>
          <t>Spain</t>
        </is>
      </c>
      <c r="H2065" t="inlineStr">
        <is>
          <t>Marketplace</t>
        </is>
      </c>
      <c r="I2065" t="n">
        <v>3</v>
      </c>
      <c r="J2065" s="3" t="n">
        <v>52.89</v>
      </c>
      <c r="K2065" s="3" t="n">
        <v>2.64</v>
      </c>
      <c r="L2065" s="3" t="n">
        <v>50.25</v>
      </c>
      <c r="M2065" s="3" t="n">
        <v>29.64</v>
      </c>
      <c r="N2065" s="3" t="n">
        <v>20.61</v>
      </c>
      <c r="O2065">
        <f>TEXT(A2065,"yyyy-mm")</f>
        <v/>
      </c>
    </row>
    <row r="2066">
      <c r="A2066" s="2" t="n">
        <v>45856</v>
      </c>
      <c r="B2066" t="n">
        <v>2025</v>
      </c>
      <c r="C2066" t="inlineStr">
        <is>
          <t>July</t>
        </is>
      </c>
      <c r="D2066" t="inlineStr">
        <is>
          <t>Smart Cookbook</t>
        </is>
      </c>
      <c r="E2066" t="inlineStr">
        <is>
          <t>Books</t>
        </is>
      </c>
      <c r="F2066" t="inlineStr">
        <is>
          <t>Paul Schmidt</t>
        </is>
      </c>
      <c r="G2066" t="inlineStr">
        <is>
          <t>Poland</t>
        </is>
      </c>
      <c r="H2066" t="inlineStr">
        <is>
          <t>Retail Store</t>
        </is>
      </c>
      <c r="I2066" t="n">
        <v>2</v>
      </c>
      <c r="J2066" s="3" t="n">
        <v>37.82</v>
      </c>
      <c r="K2066" s="3" t="n">
        <v>5.67</v>
      </c>
      <c r="L2066" s="3" t="n">
        <v>32.15</v>
      </c>
      <c r="M2066" s="3" t="n">
        <v>19.76</v>
      </c>
      <c r="N2066" s="3" t="n">
        <v>12.39</v>
      </c>
      <c r="O2066">
        <f>TEXT(A2066,"yyyy-mm")</f>
        <v/>
      </c>
    </row>
    <row r="2067">
      <c r="A2067" s="2" t="n">
        <v>45856</v>
      </c>
      <c r="B2067" t="n">
        <v>2025</v>
      </c>
      <c r="C2067" t="inlineStr">
        <is>
          <t>July</t>
        </is>
      </c>
      <c r="D2067" t="inlineStr">
        <is>
          <t>Premium Rug</t>
        </is>
      </c>
      <c r="E2067" t="inlineStr">
        <is>
          <t>Home &amp; Garden</t>
        </is>
      </c>
      <c r="F2067" t="inlineStr">
        <is>
          <t>Paul Schmidt</t>
        </is>
      </c>
      <c r="G2067" t="inlineStr">
        <is>
          <t>Poland</t>
        </is>
      </c>
      <c r="H2067" t="inlineStr">
        <is>
          <t>Retail Store</t>
        </is>
      </c>
      <c r="I2067" t="n">
        <v>3</v>
      </c>
      <c r="J2067" s="3" t="n">
        <v>575.16</v>
      </c>
      <c r="K2067" s="3" t="n">
        <v>115.03</v>
      </c>
      <c r="L2067" s="3" t="n">
        <v>460.13</v>
      </c>
      <c r="M2067" s="3" t="n">
        <v>333.57</v>
      </c>
      <c r="N2067" s="3" t="n">
        <v>126.56</v>
      </c>
      <c r="O2067">
        <f>TEXT(A2067,"yyyy-mm")</f>
        <v/>
      </c>
    </row>
    <row r="2068">
      <c r="A2068" s="2" t="n">
        <v>45856</v>
      </c>
      <c r="B2068" t="n">
        <v>2025</v>
      </c>
      <c r="C2068" t="inlineStr">
        <is>
          <t>July</t>
        </is>
      </c>
      <c r="D2068" t="inlineStr">
        <is>
          <t>Wireless Coffee Beans</t>
        </is>
      </c>
      <c r="E2068" t="inlineStr">
        <is>
          <t>Grocery</t>
        </is>
      </c>
      <c r="F2068" t="inlineStr">
        <is>
          <t>Paul Schmidt</t>
        </is>
      </c>
      <c r="G2068" t="inlineStr">
        <is>
          <t>Poland</t>
        </is>
      </c>
      <c r="H2068" t="inlineStr">
        <is>
          <t>Retail Store</t>
        </is>
      </c>
      <c r="I2068" t="n">
        <v>4</v>
      </c>
      <c r="J2068" s="3" t="n">
        <v>868.4</v>
      </c>
      <c r="K2068" s="3" t="n">
        <v>43.42</v>
      </c>
      <c r="L2068" s="3" t="n">
        <v>824.98</v>
      </c>
      <c r="M2068" s="3" t="n">
        <v>520.52</v>
      </c>
      <c r="N2068" s="3" t="n">
        <v>304.46</v>
      </c>
      <c r="O2068">
        <f>TEXT(A2068,"yyyy-mm")</f>
        <v/>
      </c>
    </row>
    <row r="2069">
      <c r="A2069" s="2" t="n">
        <v>45856</v>
      </c>
      <c r="B2069" t="n">
        <v>2025</v>
      </c>
      <c r="C2069" t="inlineStr">
        <is>
          <t>July</t>
        </is>
      </c>
      <c r="D2069" t="inlineStr">
        <is>
          <t>Ultra Vitamins</t>
        </is>
      </c>
      <c r="E2069" t="inlineStr">
        <is>
          <t>Beauty &amp; Health</t>
        </is>
      </c>
      <c r="F2069" t="inlineStr">
        <is>
          <t>Clara Wojcik</t>
        </is>
      </c>
      <c r="G2069" t="inlineStr">
        <is>
          <t>Germany</t>
        </is>
      </c>
      <c r="H2069" t="inlineStr">
        <is>
          <t>Retail Store</t>
        </is>
      </c>
      <c r="I2069" t="n">
        <v>1</v>
      </c>
      <c r="J2069" s="3" t="n">
        <v>211.38</v>
      </c>
      <c r="K2069" s="3" t="n">
        <v>10.57</v>
      </c>
      <c r="L2069" s="3" t="n">
        <v>200.81</v>
      </c>
      <c r="M2069" s="3" t="n">
        <v>126.1</v>
      </c>
      <c r="N2069" s="3" t="n">
        <v>74.70999999999999</v>
      </c>
      <c r="O2069">
        <f>TEXT(A2069,"yyyy-mm")</f>
        <v/>
      </c>
    </row>
    <row r="2070">
      <c r="A2070" s="2" t="n">
        <v>45856</v>
      </c>
      <c r="B2070" t="n">
        <v>2025</v>
      </c>
      <c r="C2070" t="inlineStr">
        <is>
          <t>July</t>
        </is>
      </c>
      <c r="D2070" t="inlineStr">
        <is>
          <t>Wireless Honey</t>
        </is>
      </c>
      <c r="E2070" t="inlineStr">
        <is>
          <t>Grocery</t>
        </is>
      </c>
      <c r="F2070" t="inlineStr">
        <is>
          <t>Clara Wojcik</t>
        </is>
      </c>
      <c r="G2070" t="inlineStr">
        <is>
          <t>Germany</t>
        </is>
      </c>
      <c r="H2070" t="inlineStr">
        <is>
          <t>Retail Store</t>
        </is>
      </c>
      <c r="I2070" t="n">
        <v>4</v>
      </c>
      <c r="J2070" s="3" t="n">
        <v>520.28</v>
      </c>
      <c r="K2070" s="3" t="n">
        <v>52.03</v>
      </c>
      <c r="L2070" s="3" t="n">
        <v>468.25</v>
      </c>
      <c r="M2070" s="3" t="n">
        <v>376.28</v>
      </c>
      <c r="N2070" s="3" t="n">
        <v>91.97</v>
      </c>
      <c r="O2070">
        <f>TEXT(A2070,"yyyy-mm")</f>
        <v/>
      </c>
    </row>
    <row r="2071">
      <c r="A2071" s="2" t="n">
        <v>45856</v>
      </c>
      <c r="B2071" t="n">
        <v>2025</v>
      </c>
      <c r="C2071" t="inlineStr">
        <is>
          <t>July</t>
        </is>
      </c>
      <c r="D2071" t="inlineStr">
        <is>
          <t>Premium Rug</t>
        </is>
      </c>
      <c r="E2071" t="inlineStr">
        <is>
          <t>Home &amp; Garden</t>
        </is>
      </c>
      <c r="F2071" t="inlineStr">
        <is>
          <t>Thomas Bianchi</t>
        </is>
      </c>
      <c r="G2071" t="inlineStr">
        <is>
          <t>Germany</t>
        </is>
      </c>
      <c r="H2071" t="inlineStr">
        <is>
          <t>Mobile App</t>
        </is>
      </c>
      <c r="I2071" t="n">
        <v>3</v>
      </c>
      <c r="J2071" s="3" t="n">
        <v>547.98</v>
      </c>
      <c r="K2071" s="3" t="n">
        <v>27.4</v>
      </c>
      <c r="L2071" s="3" t="n">
        <v>520.58</v>
      </c>
      <c r="M2071" s="3" t="n">
        <v>333.57</v>
      </c>
      <c r="N2071" s="3" t="n">
        <v>187.01</v>
      </c>
      <c r="O2071">
        <f>TEXT(A2071,"yyyy-mm")</f>
        <v/>
      </c>
    </row>
    <row r="2072">
      <c r="A2072" s="2" t="n">
        <v>45856</v>
      </c>
      <c r="B2072" t="n">
        <v>2025</v>
      </c>
      <c r="C2072" t="inlineStr">
        <is>
          <t>July</t>
        </is>
      </c>
      <c r="D2072" t="inlineStr">
        <is>
          <t>Smart Board Game</t>
        </is>
      </c>
      <c r="E2072" t="inlineStr">
        <is>
          <t>Toys &amp; Games</t>
        </is>
      </c>
      <c r="F2072" t="inlineStr">
        <is>
          <t>Thomas Bianchi</t>
        </is>
      </c>
      <c r="G2072" t="inlineStr">
        <is>
          <t>Germany</t>
        </is>
      </c>
      <c r="H2072" t="inlineStr">
        <is>
          <t>Mobile App</t>
        </is>
      </c>
      <c r="I2072" t="n">
        <v>3</v>
      </c>
      <c r="J2072" s="3" t="n">
        <v>380.52</v>
      </c>
      <c r="K2072" s="3" t="n">
        <v>0</v>
      </c>
      <c r="L2072" s="3" t="n">
        <v>380.52</v>
      </c>
      <c r="M2072" s="3" t="n">
        <v>275.16</v>
      </c>
      <c r="N2072" s="3" t="n">
        <v>105.36</v>
      </c>
      <c r="O2072">
        <f>TEXT(A2072,"yyyy-mm")</f>
        <v/>
      </c>
    </row>
    <row r="2073">
      <c r="A2073" s="2" t="n">
        <v>45857</v>
      </c>
      <c r="B2073" t="n">
        <v>2025</v>
      </c>
      <c r="C2073" t="inlineStr">
        <is>
          <t>July</t>
        </is>
      </c>
      <c r="D2073" t="inlineStr">
        <is>
          <t>Classic Coffee Beans</t>
        </is>
      </c>
      <c r="E2073" t="inlineStr">
        <is>
          <t>Grocery</t>
        </is>
      </c>
      <c r="F2073" t="inlineStr">
        <is>
          <t>Laura Conti</t>
        </is>
      </c>
      <c r="G2073" t="inlineStr">
        <is>
          <t>United Kingdom</t>
        </is>
      </c>
      <c r="H2073" t="inlineStr">
        <is>
          <t>Marketplace</t>
        </is>
      </c>
      <c r="I2073" t="n">
        <v>3</v>
      </c>
      <c r="J2073" s="3" t="n">
        <v>1006.17</v>
      </c>
      <c r="K2073" s="3" t="n">
        <v>0</v>
      </c>
      <c r="L2073" s="3" t="n">
        <v>1006.17</v>
      </c>
      <c r="M2073" s="3" t="n">
        <v>584.28</v>
      </c>
      <c r="N2073" s="3" t="n">
        <v>421.89</v>
      </c>
      <c r="O2073">
        <f>TEXT(A2073,"yyyy-mm")</f>
        <v/>
      </c>
    </row>
    <row r="2074">
      <c r="A2074" s="2" t="n">
        <v>45857</v>
      </c>
      <c r="B2074" t="n">
        <v>2025</v>
      </c>
      <c r="C2074" t="inlineStr">
        <is>
          <t>July</t>
        </is>
      </c>
      <c r="D2074" t="inlineStr">
        <is>
          <t>Deluxe Cookbook</t>
        </is>
      </c>
      <c r="E2074" t="inlineStr">
        <is>
          <t>Books</t>
        </is>
      </c>
      <c r="F2074" t="inlineStr">
        <is>
          <t>Laura Conti</t>
        </is>
      </c>
      <c r="G2074" t="inlineStr">
        <is>
          <t>United Kingdom</t>
        </is>
      </c>
      <c r="H2074" t="inlineStr">
        <is>
          <t>Marketplace</t>
        </is>
      </c>
      <c r="I2074" t="n">
        <v>5</v>
      </c>
      <c r="J2074" s="3" t="n">
        <v>708.85</v>
      </c>
      <c r="K2074" s="3" t="n">
        <v>70.89</v>
      </c>
      <c r="L2074" s="3" t="n">
        <v>637.96</v>
      </c>
      <c r="M2074" s="3" t="n">
        <v>426.35</v>
      </c>
      <c r="N2074" s="3" t="n">
        <v>211.62</v>
      </c>
      <c r="O2074">
        <f>TEXT(A2074,"yyyy-mm")</f>
        <v/>
      </c>
    </row>
    <row r="2075">
      <c r="A2075" s="2" t="n">
        <v>45857</v>
      </c>
      <c r="B2075" t="n">
        <v>2025</v>
      </c>
      <c r="C2075" t="inlineStr">
        <is>
          <t>July</t>
        </is>
      </c>
      <c r="D2075" t="inlineStr">
        <is>
          <t>Premium Cookbook</t>
        </is>
      </c>
      <c r="E2075" t="inlineStr">
        <is>
          <t>Books</t>
        </is>
      </c>
      <c r="F2075" t="inlineStr">
        <is>
          <t>Laura Conti</t>
        </is>
      </c>
      <c r="G2075" t="inlineStr">
        <is>
          <t>United Kingdom</t>
        </is>
      </c>
      <c r="H2075" t="inlineStr">
        <is>
          <t>Marketplace</t>
        </is>
      </c>
      <c r="I2075" t="n">
        <v>4</v>
      </c>
      <c r="J2075" s="3" t="n">
        <v>519.4</v>
      </c>
      <c r="K2075" s="3" t="n">
        <v>77.91</v>
      </c>
      <c r="L2075" s="3" t="n">
        <v>441.49</v>
      </c>
      <c r="M2075" s="3" t="n">
        <v>379.92</v>
      </c>
      <c r="N2075" s="3" t="n">
        <v>61.57</v>
      </c>
      <c r="O2075">
        <f>TEXT(A2075,"yyyy-mm")</f>
        <v/>
      </c>
    </row>
    <row r="2076">
      <c r="A2076" s="2" t="n">
        <v>45857</v>
      </c>
      <c r="B2076" t="n">
        <v>2025</v>
      </c>
      <c r="C2076" t="inlineStr">
        <is>
          <t>July</t>
        </is>
      </c>
      <c r="D2076" t="inlineStr">
        <is>
          <t>Eco Backpack</t>
        </is>
      </c>
      <c r="E2076" t="inlineStr">
        <is>
          <t>Sports &amp; Outdoors</t>
        </is>
      </c>
      <c r="F2076" t="inlineStr">
        <is>
          <t>David Moreau</t>
        </is>
      </c>
      <c r="G2076" t="inlineStr">
        <is>
          <t>Poland</t>
        </is>
      </c>
      <c r="H2076" t="inlineStr">
        <is>
          <t>Marketplace</t>
        </is>
      </c>
      <c r="I2076" t="n">
        <v>1</v>
      </c>
      <c r="J2076" s="3" t="n">
        <v>262.94</v>
      </c>
      <c r="K2076" s="3" t="n">
        <v>26.29</v>
      </c>
      <c r="L2076" s="3" t="n">
        <v>236.65</v>
      </c>
      <c r="M2076" s="3" t="n">
        <v>146.58</v>
      </c>
      <c r="N2076" s="3" t="n">
        <v>90.06999999999999</v>
      </c>
      <c r="O2076">
        <f>TEXT(A2076,"yyyy-mm")</f>
        <v/>
      </c>
    </row>
    <row r="2077">
      <c r="A2077" s="2" t="n">
        <v>45857</v>
      </c>
      <c r="B2077" t="n">
        <v>2025</v>
      </c>
      <c r="C2077" t="inlineStr">
        <is>
          <t>July</t>
        </is>
      </c>
      <c r="D2077" t="inlineStr">
        <is>
          <t>Portable Speaker</t>
        </is>
      </c>
      <c r="E2077" t="inlineStr">
        <is>
          <t>Electronics</t>
        </is>
      </c>
      <c r="F2077" t="inlineStr">
        <is>
          <t>David Moreau</t>
        </is>
      </c>
      <c r="G2077" t="inlineStr">
        <is>
          <t>Poland</t>
        </is>
      </c>
      <c r="H2077" t="inlineStr">
        <is>
          <t>Marketplace</t>
        </is>
      </c>
      <c r="I2077" t="n">
        <v>2</v>
      </c>
      <c r="J2077" s="3" t="n">
        <v>674.1</v>
      </c>
      <c r="K2077" s="3" t="n">
        <v>0</v>
      </c>
      <c r="L2077" s="3" t="n">
        <v>674.1</v>
      </c>
      <c r="M2077" s="3" t="n">
        <v>349.66</v>
      </c>
      <c r="N2077" s="3" t="n">
        <v>324.44</v>
      </c>
      <c r="O2077">
        <f>TEXT(A2077,"yyyy-mm")</f>
        <v/>
      </c>
    </row>
    <row r="2078">
      <c r="A2078" s="2" t="n">
        <v>45857</v>
      </c>
      <c r="B2078" t="n">
        <v>2025</v>
      </c>
      <c r="C2078" t="inlineStr">
        <is>
          <t>July</t>
        </is>
      </c>
      <c r="D2078" t="inlineStr">
        <is>
          <t>Deluxe Smartwatch</t>
        </is>
      </c>
      <c r="E2078" t="inlineStr">
        <is>
          <t>Electronics</t>
        </is>
      </c>
      <c r="F2078" t="inlineStr">
        <is>
          <t>David Moreau</t>
        </is>
      </c>
      <c r="G2078" t="inlineStr">
        <is>
          <t>Poland</t>
        </is>
      </c>
      <c r="H2078" t="inlineStr">
        <is>
          <t>Marketplace</t>
        </is>
      </c>
      <c r="I2078" t="n">
        <v>3</v>
      </c>
      <c r="J2078" s="3" t="n">
        <v>491.79</v>
      </c>
      <c r="K2078" s="3" t="n">
        <v>0</v>
      </c>
      <c r="L2078" s="3" t="n">
        <v>491.79</v>
      </c>
      <c r="M2078" s="3" t="n">
        <v>368.16</v>
      </c>
      <c r="N2078" s="3" t="n">
        <v>123.63</v>
      </c>
      <c r="O2078">
        <f>TEXT(A2078,"yyyy-mm")</f>
        <v/>
      </c>
    </row>
    <row r="2079">
      <c r="A2079" s="2" t="n">
        <v>45857</v>
      </c>
      <c r="B2079" t="n">
        <v>2025</v>
      </c>
      <c r="C2079" t="inlineStr">
        <is>
          <t>July</t>
        </is>
      </c>
      <c r="D2079" t="inlineStr">
        <is>
          <t>Deluxe Smartwatch</t>
        </is>
      </c>
      <c r="E2079" t="inlineStr">
        <is>
          <t>Electronics</t>
        </is>
      </c>
      <c r="F2079" t="inlineStr">
        <is>
          <t>James Dubois</t>
        </is>
      </c>
      <c r="G2079" t="inlineStr">
        <is>
          <t>Poland</t>
        </is>
      </c>
      <c r="H2079" t="inlineStr">
        <is>
          <t>Mobile App</t>
        </is>
      </c>
      <c r="I2079" t="n">
        <v>2</v>
      </c>
      <c r="J2079" s="3" t="n">
        <v>309.48</v>
      </c>
      <c r="K2079" s="3" t="n">
        <v>61.9</v>
      </c>
      <c r="L2079" s="3" t="n">
        <v>247.58</v>
      </c>
      <c r="M2079" s="3" t="n">
        <v>245.44</v>
      </c>
      <c r="N2079" s="3" t="n">
        <v>2.14</v>
      </c>
      <c r="O2079">
        <f>TEXT(A2079,"yyyy-mm")</f>
        <v/>
      </c>
    </row>
    <row r="2080">
      <c r="A2080" s="2" t="n">
        <v>45857</v>
      </c>
      <c r="B2080" t="n">
        <v>2025</v>
      </c>
      <c r="C2080" t="inlineStr">
        <is>
          <t>July</t>
        </is>
      </c>
      <c r="D2080" t="inlineStr">
        <is>
          <t>Essential Rug</t>
        </is>
      </c>
      <c r="E2080" t="inlineStr">
        <is>
          <t>Home &amp; Garden</t>
        </is>
      </c>
      <c r="F2080" t="inlineStr">
        <is>
          <t>James Dubois</t>
        </is>
      </c>
      <c r="G2080" t="inlineStr">
        <is>
          <t>Poland</t>
        </is>
      </c>
      <c r="H2080" t="inlineStr">
        <is>
          <t>Mobile App</t>
        </is>
      </c>
      <c r="I2080" t="n">
        <v>2</v>
      </c>
      <c r="J2080" s="3" t="n">
        <v>273.6</v>
      </c>
      <c r="K2080" s="3" t="n">
        <v>27.36</v>
      </c>
      <c r="L2080" s="3" t="n">
        <v>246.24</v>
      </c>
      <c r="M2080" s="3" t="n">
        <v>152.66</v>
      </c>
      <c r="N2080" s="3" t="n">
        <v>93.58</v>
      </c>
      <c r="O2080">
        <f>TEXT(A2080,"yyyy-mm")</f>
        <v/>
      </c>
    </row>
    <row r="2081">
      <c r="A2081" s="2" t="n">
        <v>45857</v>
      </c>
      <c r="B2081" t="n">
        <v>2025</v>
      </c>
      <c r="C2081" t="inlineStr">
        <is>
          <t>July</t>
        </is>
      </c>
      <c r="D2081" t="inlineStr">
        <is>
          <t>Smart Face Cream</t>
        </is>
      </c>
      <c r="E2081" t="inlineStr">
        <is>
          <t>Beauty &amp; Health</t>
        </is>
      </c>
      <c r="F2081" t="inlineStr">
        <is>
          <t>James Dubois</t>
        </is>
      </c>
      <c r="G2081" t="inlineStr">
        <is>
          <t>Poland</t>
        </is>
      </c>
      <c r="H2081" t="inlineStr">
        <is>
          <t>Mobile App</t>
        </is>
      </c>
      <c r="I2081" t="n">
        <v>5</v>
      </c>
      <c r="J2081" s="3" t="n">
        <v>1325.45</v>
      </c>
      <c r="K2081" s="3" t="n">
        <v>66.27</v>
      </c>
      <c r="L2081" s="3" t="n">
        <v>1259.18</v>
      </c>
      <c r="M2081" s="3" t="n">
        <v>965.7</v>
      </c>
      <c r="N2081" s="3" t="n">
        <v>293.48</v>
      </c>
      <c r="O2081">
        <f>TEXT(A2081,"yyyy-mm")</f>
        <v/>
      </c>
    </row>
    <row r="2082">
      <c r="A2082" s="2" t="n">
        <v>45857</v>
      </c>
      <c r="B2082" t="n">
        <v>2025</v>
      </c>
      <c r="C2082" t="inlineStr">
        <is>
          <t>July</t>
        </is>
      </c>
      <c r="D2082" t="inlineStr">
        <is>
          <t>Smart Olive Oil</t>
        </is>
      </c>
      <c r="E2082" t="inlineStr">
        <is>
          <t>Grocery</t>
        </is>
      </c>
      <c r="F2082" t="inlineStr">
        <is>
          <t>James Dubois</t>
        </is>
      </c>
      <c r="G2082" t="inlineStr">
        <is>
          <t>Poland</t>
        </is>
      </c>
      <c r="H2082" t="inlineStr">
        <is>
          <t>Mobile App</t>
        </is>
      </c>
      <c r="I2082" t="n">
        <v>5</v>
      </c>
      <c r="J2082" s="3" t="n">
        <v>863.05</v>
      </c>
      <c r="K2082" s="3" t="n">
        <v>0</v>
      </c>
      <c r="L2082" s="3" t="n">
        <v>863.05</v>
      </c>
      <c r="M2082" s="3" t="n">
        <v>550.1</v>
      </c>
      <c r="N2082" s="3" t="n">
        <v>312.95</v>
      </c>
      <c r="O2082">
        <f>TEXT(A2082,"yyyy-mm")</f>
        <v/>
      </c>
    </row>
    <row r="2083">
      <c r="A2083" s="2" t="n">
        <v>45857</v>
      </c>
      <c r="B2083" t="n">
        <v>2025</v>
      </c>
      <c r="C2083" t="inlineStr">
        <is>
          <t>July</t>
        </is>
      </c>
      <c r="D2083" t="inlineStr">
        <is>
          <t>Portable Toolset</t>
        </is>
      </c>
      <c r="E2083" t="inlineStr">
        <is>
          <t>Home &amp; Garden</t>
        </is>
      </c>
      <c r="F2083" t="inlineStr">
        <is>
          <t>David Moreau</t>
        </is>
      </c>
      <c r="G2083" t="inlineStr">
        <is>
          <t>Poland</t>
        </is>
      </c>
      <c r="H2083" t="inlineStr">
        <is>
          <t>Marketplace</t>
        </is>
      </c>
      <c r="I2083" t="n">
        <v>4</v>
      </c>
      <c r="J2083" s="3" t="n">
        <v>361.88</v>
      </c>
      <c r="K2083" s="3" t="n">
        <v>0</v>
      </c>
      <c r="L2083" s="3" t="n">
        <v>361.88</v>
      </c>
      <c r="M2083" s="3" t="n">
        <v>202.16</v>
      </c>
      <c r="N2083" s="3" t="n">
        <v>159.72</v>
      </c>
      <c r="O2083">
        <f>TEXT(A2083,"yyyy-mm")</f>
        <v/>
      </c>
    </row>
    <row r="2084">
      <c r="A2084" s="2" t="n">
        <v>45858</v>
      </c>
      <c r="B2084" t="n">
        <v>2025</v>
      </c>
      <c r="C2084" t="inlineStr">
        <is>
          <t>July</t>
        </is>
      </c>
      <c r="D2084" t="inlineStr">
        <is>
          <t>Premium Tent</t>
        </is>
      </c>
      <c r="E2084" t="inlineStr">
        <is>
          <t>Sports &amp; Outdoors</t>
        </is>
      </c>
      <c r="F2084" t="inlineStr">
        <is>
          <t>John Conti</t>
        </is>
      </c>
      <c r="G2084" t="inlineStr">
        <is>
          <t>Germany</t>
        </is>
      </c>
      <c r="H2084" t="inlineStr">
        <is>
          <t>Mobile App</t>
        </is>
      </c>
      <c r="I2084" t="n">
        <v>4</v>
      </c>
      <c r="J2084" s="3" t="n">
        <v>1038.84</v>
      </c>
      <c r="K2084" s="3" t="n">
        <v>0</v>
      </c>
      <c r="L2084" s="3" t="n">
        <v>1038.84</v>
      </c>
      <c r="M2084" s="3" t="n">
        <v>661.24</v>
      </c>
      <c r="N2084" s="3" t="n">
        <v>377.6</v>
      </c>
      <c r="O2084">
        <f>TEXT(A2084,"yyyy-mm")</f>
        <v/>
      </c>
    </row>
    <row r="2085">
      <c r="A2085" s="2" t="n">
        <v>45859</v>
      </c>
      <c r="B2085" t="n">
        <v>2025</v>
      </c>
      <c r="C2085" t="inlineStr">
        <is>
          <t>July</t>
        </is>
      </c>
      <c r="D2085" t="inlineStr">
        <is>
          <t>Eco Planter</t>
        </is>
      </c>
      <c r="E2085" t="inlineStr">
        <is>
          <t>Home &amp; Garden</t>
        </is>
      </c>
      <c r="F2085" t="inlineStr">
        <is>
          <t>Robert Rossi</t>
        </is>
      </c>
      <c r="G2085" t="inlineStr">
        <is>
          <t>Italy</t>
        </is>
      </c>
      <c r="H2085" t="inlineStr">
        <is>
          <t>Web Store</t>
        </is>
      </c>
      <c r="I2085" t="n">
        <v>3</v>
      </c>
      <c r="J2085" s="3" t="n">
        <v>531.63</v>
      </c>
      <c r="K2085" s="3" t="n">
        <v>0</v>
      </c>
      <c r="L2085" s="3" t="n">
        <v>531.63</v>
      </c>
      <c r="M2085" s="3" t="n">
        <v>337.23</v>
      </c>
      <c r="N2085" s="3" t="n">
        <v>194.4</v>
      </c>
      <c r="O2085">
        <f>TEXT(A2085,"yyyy-mm")</f>
        <v/>
      </c>
    </row>
    <row r="2086">
      <c r="A2086" s="2" t="n">
        <v>45859</v>
      </c>
      <c r="B2086" t="n">
        <v>2025</v>
      </c>
      <c r="C2086" t="inlineStr">
        <is>
          <t>July</t>
        </is>
      </c>
      <c r="D2086" t="inlineStr">
        <is>
          <t>Classic Coffee Beans</t>
        </is>
      </c>
      <c r="E2086" t="inlineStr">
        <is>
          <t>Grocery</t>
        </is>
      </c>
      <c r="F2086" t="inlineStr">
        <is>
          <t>Robert Rossi</t>
        </is>
      </c>
      <c r="G2086" t="inlineStr">
        <is>
          <t>Italy</t>
        </is>
      </c>
      <c r="H2086" t="inlineStr">
        <is>
          <t>Web Store</t>
        </is>
      </c>
      <c r="I2086" t="n">
        <v>2</v>
      </c>
      <c r="J2086" s="3" t="n">
        <v>676.98</v>
      </c>
      <c r="K2086" s="3" t="n">
        <v>0</v>
      </c>
      <c r="L2086" s="3" t="n">
        <v>676.98</v>
      </c>
      <c r="M2086" s="3" t="n">
        <v>389.52</v>
      </c>
      <c r="N2086" s="3" t="n">
        <v>287.46</v>
      </c>
      <c r="O2086">
        <f>TEXT(A2086,"yyyy-mm")</f>
        <v/>
      </c>
    </row>
    <row r="2087">
      <c r="A2087" s="2" t="n">
        <v>45859</v>
      </c>
      <c r="B2087" t="n">
        <v>2025</v>
      </c>
      <c r="C2087" t="inlineStr">
        <is>
          <t>July</t>
        </is>
      </c>
      <c r="D2087" t="inlineStr">
        <is>
          <t>Smart Charger</t>
        </is>
      </c>
      <c r="E2087" t="inlineStr">
        <is>
          <t>Electronics</t>
        </is>
      </c>
      <c r="F2087" t="inlineStr">
        <is>
          <t>Peter Schmidt</t>
        </is>
      </c>
      <c r="G2087" t="inlineStr">
        <is>
          <t>United Kingdom</t>
        </is>
      </c>
      <c r="H2087" t="inlineStr">
        <is>
          <t>Marketplace</t>
        </is>
      </c>
      <c r="I2087" t="n">
        <v>4</v>
      </c>
      <c r="J2087" s="3" t="n">
        <v>154.2</v>
      </c>
      <c r="K2087" s="3" t="n">
        <v>15.42</v>
      </c>
      <c r="L2087" s="3" t="n">
        <v>138.78</v>
      </c>
      <c r="M2087" s="3" t="n">
        <v>110.56</v>
      </c>
      <c r="N2087" s="3" t="n">
        <v>28.22</v>
      </c>
      <c r="O2087">
        <f>TEXT(A2087,"yyyy-mm")</f>
        <v/>
      </c>
    </row>
    <row r="2088">
      <c r="A2088" s="2" t="n">
        <v>45859</v>
      </c>
      <c r="B2088" t="n">
        <v>2025</v>
      </c>
      <c r="C2088" t="inlineStr">
        <is>
          <t>July</t>
        </is>
      </c>
      <c r="D2088" t="inlineStr">
        <is>
          <t>Wireless Backpack</t>
        </is>
      </c>
      <c r="E2088" t="inlineStr">
        <is>
          <t>Sports &amp; Outdoors</t>
        </is>
      </c>
      <c r="F2088" t="inlineStr">
        <is>
          <t>Peter Schmidt</t>
        </is>
      </c>
      <c r="G2088" t="inlineStr">
        <is>
          <t>United Kingdom</t>
        </is>
      </c>
      <c r="H2088" t="inlineStr">
        <is>
          <t>Marketplace</t>
        </is>
      </c>
      <c r="I2088" t="n">
        <v>1</v>
      </c>
      <c r="J2088" s="3" t="n">
        <v>50.13</v>
      </c>
      <c r="K2088" s="3" t="n">
        <v>0</v>
      </c>
      <c r="L2088" s="3" t="n">
        <v>50.13</v>
      </c>
      <c r="M2088" s="3" t="n">
        <v>28.1</v>
      </c>
      <c r="N2088" s="3" t="n">
        <v>22.03</v>
      </c>
      <c r="O2088">
        <f>TEXT(A2088,"yyyy-mm")</f>
        <v/>
      </c>
    </row>
    <row r="2089">
      <c r="A2089" s="2" t="n">
        <v>45859</v>
      </c>
      <c r="B2089" t="n">
        <v>2025</v>
      </c>
      <c r="C2089" t="inlineStr">
        <is>
          <t>July</t>
        </is>
      </c>
      <c r="D2089" t="inlineStr">
        <is>
          <t>Smart Camera</t>
        </is>
      </c>
      <c r="E2089" t="inlineStr">
        <is>
          <t>Electronics</t>
        </is>
      </c>
      <c r="F2089" t="inlineStr">
        <is>
          <t>Maria Moreau</t>
        </is>
      </c>
      <c r="G2089" t="inlineStr">
        <is>
          <t>Germany</t>
        </is>
      </c>
      <c r="H2089" t="inlineStr">
        <is>
          <t>Retail Store</t>
        </is>
      </c>
      <c r="I2089" t="n">
        <v>1</v>
      </c>
      <c r="J2089" s="3" t="n">
        <v>118.86</v>
      </c>
      <c r="K2089" s="3" t="n">
        <v>0</v>
      </c>
      <c r="L2089" s="3" t="n">
        <v>118.86</v>
      </c>
      <c r="M2089" s="3" t="n">
        <v>85.58</v>
      </c>
      <c r="N2089" s="3" t="n">
        <v>33.28</v>
      </c>
      <c r="O2089">
        <f>TEXT(A2089,"yyyy-mm")</f>
        <v/>
      </c>
    </row>
    <row r="2090">
      <c r="A2090" s="2" t="n">
        <v>45859</v>
      </c>
      <c r="B2090" t="n">
        <v>2025</v>
      </c>
      <c r="C2090" t="inlineStr">
        <is>
          <t>July</t>
        </is>
      </c>
      <c r="D2090" t="inlineStr">
        <is>
          <t>Smart Drone</t>
        </is>
      </c>
      <c r="E2090" t="inlineStr">
        <is>
          <t>Toys &amp; Games</t>
        </is>
      </c>
      <c r="F2090" t="inlineStr">
        <is>
          <t>Maria Moreau</t>
        </is>
      </c>
      <c r="G2090" t="inlineStr">
        <is>
          <t>Germany</t>
        </is>
      </c>
      <c r="H2090" t="inlineStr">
        <is>
          <t>Retail Store</t>
        </is>
      </c>
      <c r="I2090" t="n">
        <v>3</v>
      </c>
      <c r="J2090" s="3" t="n">
        <v>664.71</v>
      </c>
      <c r="K2090" s="3" t="n">
        <v>0</v>
      </c>
      <c r="L2090" s="3" t="n">
        <v>664.71</v>
      </c>
      <c r="M2090" s="3" t="n">
        <v>380.85</v>
      </c>
      <c r="N2090" s="3" t="n">
        <v>283.86</v>
      </c>
      <c r="O2090">
        <f>TEXT(A2090,"yyyy-mm")</f>
        <v/>
      </c>
    </row>
    <row r="2091">
      <c r="A2091" s="2" t="n">
        <v>45859</v>
      </c>
      <c r="B2091" t="n">
        <v>2025</v>
      </c>
      <c r="C2091" t="inlineStr">
        <is>
          <t>July</t>
        </is>
      </c>
      <c r="D2091" t="inlineStr">
        <is>
          <t>Ultra Toolset</t>
        </is>
      </c>
      <c r="E2091" t="inlineStr">
        <is>
          <t>Home &amp; Garden</t>
        </is>
      </c>
      <c r="F2091" t="inlineStr">
        <is>
          <t>Maria Moreau</t>
        </is>
      </c>
      <c r="G2091" t="inlineStr">
        <is>
          <t>Germany</t>
        </is>
      </c>
      <c r="H2091" t="inlineStr">
        <is>
          <t>Retail Store</t>
        </is>
      </c>
      <c r="I2091" t="n">
        <v>3</v>
      </c>
      <c r="J2091" s="3" t="n">
        <v>1085.01</v>
      </c>
      <c r="K2091" s="3" t="n">
        <v>54.25</v>
      </c>
      <c r="L2091" s="3" t="n">
        <v>1030.76</v>
      </c>
      <c r="M2091" s="3" t="n">
        <v>571.2</v>
      </c>
      <c r="N2091" s="3" t="n">
        <v>459.56</v>
      </c>
      <c r="O2091">
        <f>TEXT(A2091,"yyyy-mm")</f>
        <v/>
      </c>
    </row>
    <row r="2092">
      <c r="A2092" s="2" t="n">
        <v>45859</v>
      </c>
      <c r="B2092" t="n">
        <v>2025</v>
      </c>
      <c r="C2092" t="inlineStr">
        <is>
          <t>July</t>
        </is>
      </c>
      <c r="D2092" t="inlineStr">
        <is>
          <t>Wireless Coffee Beans</t>
        </is>
      </c>
      <c r="E2092" t="inlineStr">
        <is>
          <t>Grocery</t>
        </is>
      </c>
      <c r="F2092" t="inlineStr">
        <is>
          <t>Maria Moreau</t>
        </is>
      </c>
      <c r="G2092" t="inlineStr">
        <is>
          <t>Germany</t>
        </is>
      </c>
      <c r="H2092" t="inlineStr">
        <is>
          <t>Retail Store</t>
        </is>
      </c>
      <c r="I2092" t="n">
        <v>4</v>
      </c>
      <c r="J2092" s="3" t="n">
        <v>846.2</v>
      </c>
      <c r="K2092" s="3" t="n">
        <v>0</v>
      </c>
      <c r="L2092" s="3" t="n">
        <v>846.2</v>
      </c>
      <c r="M2092" s="3" t="n">
        <v>520.52</v>
      </c>
      <c r="N2092" s="3" t="n">
        <v>325.68</v>
      </c>
      <c r="O2092">
        <f>TEXT(A2092,"yyyy-mm")</f>
        <v/>
      </c>
    </row>
    <row r="2093">
      <c r="A2093" s="2" t="n">
        <v>45859</v>
      </c>
      <c r="B2093" t="n">
        <v>2025</v>
      </c>
      <c r="C2093" t="inlineStr">
        <is>
          <t>July</t>
        </is>
      </c>
      <c r="D2093" t="inlineStr">
        <is>
          <t>Eco Tent</t>
        </is>
      </c>
      <c r="E2093" t="inlineStr">
        <is>
          <t>Sports &amp; Outdoors</t>
        </is>
      </c>
      <c r="F2093" t="inlineStr">
        <is>
          <t>Maria Martin</t>
        </is>
      </c>
      <c r="G2093" t="inlineStr">
        <is>
          <t>United Kingdom</t>
        </is>
      </c>
      <c r="H2093" t="inlineStr">
        <is>
          <t>Mobile App</t>
        </is>
      </c>
      <c r="I2093" t="n">
        <v>1</v>
      </c>
      <c r="J2093" s="3" t="n">
        <v>64.01000000000001</v>
      </c>
      <c r="K2093" s="3" t="n">
        <v>0</v>
      </c>
      <c r="L2093" s="3" t="n">
        <v>64.01000000000001</v>
      </c>
      <c r="M2093" s="3" t="n">
        <v>43.85</v>
      </c>
      <c r="N2093" s="3" t="n">
        <v>20.16</v>
      </c>
      <c r="O2093">
        <f>TEXT(A2093,"yyyy-mm")</f>
        <v/>
      </c>
    </row>
    <row r="2094">
      <c r="A2094" s="2" t="n">
        <v>45859</v>
      </c>
      <c r="B2094" t="n">
        <v>2025</v>
      </c>
      <c r="C2094" t="inlineStr">
        <is>
          <t>July</t>
        </is>
      </c>
      <c r="D2094" t="inlineStr">
        <is>
          <t>Deluxe Puzzle</t>
        </is>
      </c>
      <c r="E2094" t="inlineStr">
        <is>
          <t>Toys &amp; Games</t>
        </is>
      </c>
      <c r="F2094" t="inlineStr">
        <is>
          <t>Maria Martin</t>
        </is>
      </c>
      <c r="G2094" t="inlineStr">
        <is>
          <t>United Kingdom</t>
        </is>
      </c>
      <c r="H2094" t="inlineStr">
        <is>
          <t>Mobile App</t>
        </is>
      </c>
      <c r="I2094" t="n">
        <v>1</v>
      </c>
      <c r="J2094" s="3" t="n">
        <v>208.85</v>
      </c>
      <c r="K2094" s="3" t="n">
        <v>41.77</v>
      </c>
      <c r="L2094" s="3" t="n">
        <v>167.08</v>
      </c>
      <c r="M2094" s="3" t="n">
        <v>111.17</v>
      </c>
      <c r="N2094" s="3" t="n">
        <v>55.91</v>
      </c>
      <c r="O2094">
        <f>TEXT(A2094,"yyyy-mm")</f>
        <v/>
      </c>
    </row>
    <row r="2095">
      <c r="A2095" s="2" t="n">
        <v>45859</v>
      </c>
      <c r="B2095" t="n">
        <v>2025</v>
      </c>
      <c r="C2095" t="inlineStr">
        <is>
          <t>July</t>
        </is>
      </c>
      <c r="D2095" t="inlineStr">
        <is>
          <t>Eco Biography</t>
        </is>
      </c>
      <c r="E2095" t="inlineStr">
        <is>
          <t>Books</t>
        </is>
      </c>
      <c r="F2095" t="inlineStr">
        <is>
          <t>Maria Martin</t>
        </is>
      </c>
      <c r="G2095" t="inlineStr">
        <is>
          <t>United Kingdom</t>
        </is>
      </c>
      <c r="H2095" t="inlineStr">
        <is>
          <t>Mobile App</t>
        </is>
      </c>
      <c r="I2095" t="n">
        <v>4</v>
      </c>
      <c r="J2095" s="3" t="n">
        <v>507.64</v>
      </c>
      <c r="K2095" s="3" t="n">
        <v>0</v>
      </c>
      <c r="L2095" s="3" t="n">
        <v>507.64</v>
      </c>
      <c r="M2095" s="3" t="n">
        <v>284.08</v>
      </c>
      <c r="N2095" s="3" t="n">
        <v>223.56</v>
      </c>
      <c r="O2095">
        <f>TEXT(A2095,"yyyy-mm")</f>
        <v/>
      </c>
    </row>
    <row r="2096">
      <c r="A2096" s="2" t="n">
        <v>45859</v>
      </c>
      <c r="B2096" t="n">
        <v>2025</v>
      </c>
      <c r="C2096" t="inlineStr">
        <is>
          <t>July</t>
        </is>
      </c>
      <c r="D2096" t="inlineStr">
        <is>
          <t>Ultra Backpack</t>
        </is>
      </c>
      <c r="E2096" t="inlineStr">
        <is>
          <t>Sports &amp; Outdoors</t>
        </is>
      </c>
      <c r="F2096" t="inlineStr">
        <is>
          <t>Peter Schmidt</t>
        </is>
      </c>
      <c r="G2096" t="inlineStr">
        <is>
          <t>United Kingdom</t>
        </is>
      </c>
      <c r="H2096" t="inlineStr">
        <is>
          <t>Marketplace</t>
        </is>
      </c>
      <c r="I2096" t="n">
        <v>5</v>
      </c>
      <c r="J2096" s="3" t="n">
        <v>1573.9</v>
      </c>
      <c r="K2096" s="3" t="n">
        <v>0</v>
      </c>
      <c r="L2096" s="3" t="n">
        <v>1573.9</v>
      </c>
      <c r="M2096" s="3" t="n">
        <v>868.45</v>
      </c>
      <c r="N2096" s="3" t="n">
        <v>705.45</v>
      </c>
      <c r="O2096">
        <f>TEXT(A2096,"yyyy-mm")</f>
        <v/>
      </c>
    </row>
    <row r="2097">
      <c r="A2097" s="2" t="n">
        <v>45859</v>
      </c>
      <c r="B2097" t="n">
        <v>2025</v>
      </c>
      <c r="C2097" t="inlineStr">
        <is>
          <t>July</t>
        </is>
      </c>
      <c r="D2097" t="inlineStr">
        <is>
          <t>Essential Notebook</t>
        </is>
      </c>
      <c r="E2097" t="inlineStr">
        <is>
          <t>Books</t>
        </is>
      </c>
      <c r="F2097" t="inlineStr">
        <is>
          <t>Peter Schmidt</t>
        </is>
      </c>
      <c r="G2097" t="inlineStr">
        <is>
          <t>United Kingdom</t>
        </is>
      </c>
      <c r="H2097" t="inlineStr">
        <is>
          <t>Marketplace</t>
        </is>
      </c>
      <c r="I2097" t="n">
        <v>5</v>
      </c>
      <c r="J2097" s="3" t="n">
        <v>563.15</v>
      </c>
      <c r="K2097" s="3" t="n">
        <v>84.47</v>
      </c>
      <c r="L2097" s="3" t="n">
        <v>478.68</v>
      </c>
      <c r="M2097" s="3" t="n">
        <v>395.5</v>
      </c>
      <c r="N2097" s="3" t="n">
        <v>83.18000000000001</v>
      </c>
      <c r="O2097">
        <f>TEXT(A2097,"yyyy-mm")</f>
        <v/>
      </c>
    </row>
    <row r="2098">
      <c r="A2098" s="2" t="n">
        <v>45860</v>
      </c>
      <c r="B2098" t="n">
        <v>2025</v>
      </c>
      <c r="C2098" t="inlineStr">
        <is>
          <t>July</t>
        </is>
      </c>
      <c r="D2098" t="inlineStr">
        <is>
          <t>Essential Charger</t>
        </is>
      </c>
      <c r="E2098" t="inlineStr">
        <is>
          <t>Electronics</t>
        </is>
      </c>
      <c r="F2098" t="inlineStr">
        <is>
          <t>Maria Dubois</t>
        </is>
      </c>
      <c r="G2098" t="inlineStr">
        <is>
          <t>Spain</t>
        </is>
      </c>
      <c r="H2098" t="inlineStr">
        <is>
          <t>Mobile App</t>
        </is>
      </c>
      <c r="I2098" t="n">
        <v>4</v>
      </c>
      <c r="J2098" s="3" t="n">
        <v>172.72</v>
      </c>
      <c r="K2098" s="3" t="n">
        <v>34.54</v>
      </c>
      <c r="L2098" s="3" t="n">
        <v>138.18</v>
      </c>
      <c r="M2098" s="3" t="n">
        <v>116.4</v>
      </c>
      <c r="N2098" s="3" t="n">
        <v>21.78</v>
      </c>
      <c r="O2098">
        <f>TEXT(A2098,"yyyy-mm")</f>
        <v/>
      </c>
    </row>
    <row r="2099">
      <c r="A2099" s="2" t="n">
        <v>45860</v>
      </c>
      <c r="B2099" t="n">
        <v>2025</v>
      </c>
      <c r="C2099" t="inlineStr">
        <is>
          <t>July</t>
        </is>
      </c>
      <c r="D2099" t="inlineStr">
        <is>
          <t>Essential Pasta</t>
        </is>
      </c>
      <c r="E2099" t="inlineStr">
        <is>
          <t>Grocery</t>
        </is>
      </c>
      <c r="F2099" t="inlineStr">
        <is>
          <t>Maria Dubois</t>
        </is>
      </c>
      <c r="G2099" t="inlineStr">
        <is>
          <t>Spain</t>
        </is>
      </c>
      <c r="H2099" t="inlineStr">
        <is>
          <t>Mobile App</t>
        </is>
      </c>
      <c r="I2099" t="n">
        <v>2</v>
      </c>
      <c r="J2099" s="3" t="n">
        <v>109.68</v>
      </c>
      <c r="K2099" s="3" t="n">
        <v>21.94</v>
      </c>
      <c r="L2099" s="3" t="n">
        <v>87.73999999999999</v>
      </c>
      <c r="M2099" s="3" t="n">
        <v>71.62</v>
      </c>
      <c r="N2099" s="3" t="n">
        <v>16.12</v>
      </c>
      <c r="O2099">
        <f>TEXT(A2099,"yyyy-mm")</f>
        <v/>
      </c>
    </row>
    <row r="2100">
      <c r="A2100" s="2" t="n">
        <v>45860</v>
      </c>
      <c r="B2100" t="n">
        <v>2025</v>
      </c>
      <c r="C2100" t="inlineStr">
        <is>
          <t>July</t>
        </is>
      </c>
      <c r="D2100" t="inlineStr">
        <is>
          <t>Portable Pasta</t>
        </is>
      </c>
      <c r="E2100" t="inlineStr">
        <is>
          <t>Grocery</t>
        </is>
      </c>
      <c r="F2100" t="inlineStr">
        <is>
          <t>Maria Dubois</t>
        </is>
      </c>
      <c r="G2100" t="inlineStr">
        <is>
          <t>Spain</t>
        </is>
      </c>
      <c r="H2100" t="inlineStr">
        <is>
          <t>Mobile App</t>
        </is>
      </c>
      <c r="I2100" t="n">
        <v>1</v>
      </c>
      <c r="J2100" s="3" t="n">
        <v>38.18</v>
      </c>
      <c r="K2100" s="3" t="n">
        <v>0</v>
      </c>
      <c r="L2100" s="3" t="n">
        <v>38.18</v>
      </c>
      <c r="M2100" s="3" t="n">
        <v>27.75</v>
      </c>
      <c r="N2100" s="3" t="n">
        <v>10.43</v>
      </c>
      <c r="O2100">
        <f>TEXT(A2100,"yyyy-mm")</f>
        <v/>
      </c>
    </row>
    <row r="2101">
      <c r="A2101" s="2" t="n">
        <v>45860</v>
      </c>
      <c r="B2101" t="n">
        <v>2025</v>
      </c>
      <c r="C2101" t="inlineStr">
        <is>
          <t>July</t>
        </is>
      </c>
      <c r="D2101" t="inlineStr">
        <is>
          <t>Eco Tent</t>
        </is>
      </c>
      <c r="E2101" t="inlineStr">
        <is>
          <t>Sports &amp; Outdoors</t>
        </is>
      </c>
      <c r="F2101" t="inlineStr">
        <is>
          <t>Julia Nowak</t>
        </is>
      </c>
      <c r="G2101" t="inlineStr">
        <is>
          <t>Poland</t>
        </is>
      </c>
      <c r="H2101" t="inlineStr">
        <is>
          <t>Web Store</t>
        </is>
      </c>
      <c r="I2101" t="n">
        <v>1</v>
      </c>
      <c r="J2101" s="3" t="n">
        <v>67.59999999999999</v>
      </c>
      <c r="K2101" s="3" t="n">
        <v>6.76</v>
      </c>
      <c r="L2101" s="3" t="n">
        <v>60.84</v>
      </c>
      <c r="M2101" s="3" t="n">
        <v>43.85</v>
      </c>
      <c r="N2101" s="3" t="n">
        <v>16.99</v>
      </c>
      <c r="O2101">
        <f>TEXT(A2101,"yyyy-mm")</f>
        <v/>
      </c>
    </row>
    <row r="2102">
      <c r="A2102" s="2" t="n">
        <v>45860</v>
      </c>
      <c r="B2102" t="n">
        <v>2025</v>
      </c>
      <c r="C2102" t="inlineStr">
        <is>
          <t>July</t>
        </is>
      </c>
      <c r="D2102" t="inlineStr">
        <is>
          <t>Deluxe Smartwatch</t>
        </is>
      </c>
      <c r="E2102" t="inlineStr">
        <is>
          <t>Electronics</t>
        </is>
      </c>
      <c r="F2102" t="inlineStr">
        <is>
          <t>Julia Nowak</t>
        </is>
      </c>
      <c r="G2102" t="inlineStr">
        <is>
          <t>Poland</t>
        </is>
      </c>
      <c r="H2102" t="inlineStr">
        <is>
          <t>Web Store</t>
        </is>
      </c>
      <c r="I2102" t="n">
        <v>1</v>
      </c>
      <c r="J2102" s="3" t="n">
        <v>161.02</v>
      </c>
      <c r="K2102" s="3" t="n">
        <v>0</v>
      </c>
      <c r="L2102" s="3" t="n">
        <v>161.02</v>
      </c>
      <c r="M2102" s="3" t="n">
        <v>122.72</v>
      </c>
      <c r="N2102" s="3" t="n">
        <v>38.3</v>
      </c>
      <c r="O2102">
        <f>TEXT(A2102,"yyyy-mm")</f>
        <v/>
      </c>
    </row>
    <row r="2103">
      <c r="A2103" s="2" t="n">
        <v>45860</v>
      </c>
      <c r="B2103" t="n">
        <v>2025</v>
      </c>
      <c r="C2103" t="inlineStr">
        <is>
          <t>July</t>
        </is>
      </c>
      <c r="D2103" t="inlineStr">
        <is>
          <t>Smart Puzzle</t>
        </is>
      </c>
      <c r="E2103" t="inlineStr">
        <is>
          <t>Toys &amp; Games</t>
        </is>
      </c>
      <c r="F2103" t="inlineStr">
        <is>
          <t>Julia Nowak</t>
        </is>
      </c>
      <c r="G2103" t="inlineStr">
        <is>
          <t>Poland</t>
        </is>
      </c>
      <c r="H2103" t="inlineStr">
        <is>
          <t>Web Store</t>
        </is>
      </c>
      <c r="I2103" t="n">
        <v>4</v>
      </c>
      <c r="J2103" s="3" t="n">
        <v>1041.52</v>
      </c>
      <c r="K2103" s="3" t="n">
        <v>0</v>
      </c>
      <c r="L2103" s="3" t="n">
        <v>1041.52</v>
      </c>
      <c r="M2103" s="3" t="n">
        <v>771.04</v>
      </c>
      <c r="N2103" s="3" t="n">
        <v>270.48</v>
      </c>
      <c r="O2103">
        <f>TEXT(A2103,"yyyy-mm")</f>
        <v/>
      </c>
    </row>
    <row r="2104">
      <c r="A2104" s="2" t="n">
        <v>45860</v>
      </c>
      <c r="B2104" t="n">
        <v>2025</v>
      </c>
      <c r="C2104" t="inlineStr">
        <is>
          <t>July</t>
        </is>
      </c>
      <c r="D2104" t="inlineStr">
        <is>
          <t>Wireless Drone</t>
        </is>
      </c>
      <c r="E2104" t="inlineStr">
        <is>
          <t>Toys &amp; Games</t>
        </is>
      </c>
      <c r="F2104" t="inlineStr">
        <is>
          <t>Robert Rossi</t>
        </is>
      </c>
      <c r="G2104" t="inlineStr">
        <is>
          <t>United States</t>
        </is>
      </c>
      <c r="H2104" t="inlineStr">
        <is>
          <t>Retail Store</t>
        </is>
      </c>
      <c r="I2104" t="n">
        <v>4</v>
      </c>
      <c r="J2104" s="3" t="n">
        <v>874.64</v>
      </c>
      <c r="K2104" s="3" t="n">
        <v>43.73</v>
      </c>
      <c r="L2104" s="3" t="n">
        <v>830.91</v>
      </c>
      <c r="M2104" s="3" t="n">
        <v>525.16</v>
      </c>
      <c r="N2104" s="3" t="n">
        <v>305.75</v>
      </c>
      <c r="O2104">
        <f>TEXT(A2104,"yyyy-mm")</f>
        <v/>
      </c>
    </row>
    <row r="2105">
      <c r="A2105" s="2" t="n">
        <v>45860</v>
      </c>
      <c r="B2105" t="n">
        <v>2025</v>
      </c>
      <c r="C2105" t="inlineStr">
        <is>
          <t>July</t>
        </is>
      </c>
      <c r="D2105" t="inlineStr">
        <is>
          <t>Smart Charger</t>
        </is>
      </c>
      <c r="E2105" t="inlineStr">
        <is>
          <t>Electronics</t>
        </is>
      </c>
      <c r="F2105" t="inlineStr">
        <is>
          <t>Robert Rossi</t>
        </is>
      </c>
      <c r="G2105" t="inlineStr">
        <is>
          <t>United States</t>
        </is>
      </c>
      <c r="H2105" t="inlineStr">
        <is>
          <t>Retail Store</t>
        </is>
      </c>
      <c r="I2105" t="n">
        <v>5</v>
      </c>
      <c r="J2105" s="3" t="n">
        <v>1220.55</v>
      </c>
      <c r="K2105" s="3" t="n">
        <v>122.06</v>
      </c>
      <c r="L2105" s="3" t="n">
        <v>1098.5</v>
      </c>
      <c r="M2105" s="3" t="n">
        <v>712.6</v>
      </c>
      <c r="N2105" s="3" t="n">
        <v>385.9</v>
      </c>
      <c r="O2105">
        <f>TEXT(A2105,"yyyy-mm")</f>
        <v/>
      </c>
    </row>
    <row r="2106">
      <c r="A2106" s="2" t="n">
        <v>45860</v>
      </c>
      <c r="B2106" t="n">
        <v>2025</v>
      </c>
      <c r="C2106" t="inlineStr">
        <is>
          <t>July</t>
        </is>
      </c>
      <c r="D2106" t="inlineStr">
        <is>
          <t>Wireless Coffee Beans</t>
        </is>
      </c>
      <c r="E2106" t="inlineStr">
        <is>
          <t>Grocery</t>
        </is>
      </c>
      <c r="F2106" t="inlineStr">
        <is>
          <t>Robert Dubois</t>
        </is>
      </c>
      <c r="G2106" t="inlineStr">
        <is>
          <t>France</t>
        </is>
      </c>
      <c r="H2106" t="inlineStr">
        <is>
          <t>Marketplace</t>
        </is>
      </c>
      <c r="I2106" t="n">
        <v>2</v>
      </c>
      <c r="J2106" s="3" t="n">
        <v>438.6</v>
      </c>
      <c r="K2106" s="3" t="n">
        <v>43.86</v>
      </c>
      <c r="L2106" s="3" t="n">
        <v>394.74</v>
      </c>
      <c r="M2106" s="3" t="n">
        <v>260.26</v>
      </c>
      <c r="N2106" s="3" t="n">
        <v>134.48</v>
      </c>
      <c r="O2106">
        <f>TEXT(A2106,"yyyy-mm")</f>
        <v/>
      </c>
    </row>
    <row r="2107">
      <c r="A2107" s="2" t="n">
        <v>45860</v>
      </c>
      <c r="B2107" t="n">
        <v>2025</v>
      </c>
      <c r="C2107" t="inlineStr">
        <is>
          <t>July</t>
        </is>
      </c>
      <c r="D2107" t="inlineStr">
        <is>
          <t>Smart Puzzle</t>
        </is>
      </c>
      <c r="E2107" t="inlineStr">
        <is>
          <t>Toys &amp; Games</t>
        </is>
      </c>
      <c r="F2107" t="inlineStr">
        <is>
          <t>David Johnson</t>
        </is>
      </c>
      <c r="G2107" t="inlineStr">
        <is>
          <t>Poland</t>
        </is>
      </c>
      <c r="H2107" t="inlineStr">
        <is>
          <t>Retail Store</t>
        </is>
      </c>
      <c r="I2107" t="n">
        <v>1</v>
      </c>
      <c r="J2107" s="3" t="n">
        <v>45.97</v>
      </c>
      <c r="K2107" s="3" t="n">
        <v>2.3</v>
      </c>
      <c r="L2107" s="3" t="n">
        <v>43.67</v>
      </c>
      <c r="M2107" s="3" t="n">
        <v>24.44</v>
      </c>
      <c r="N2107" s="3" t="n">
        <v>19.23</v>
      </c>
      <c r="O2107">
        <f>TEXT(A2107,"yyyy-mm")</f>
        <v/>
      </c>
    </row>
    <row r="2108">
      <c r="A2108" s="2" t="n">
        <v>45861</v>
      </c>
      <c r="B2108" t="n">
        <v>2025</v>
      </c>
      <c r="C2108" t="inlineStr">
        <is>
          <t>July</t>
        </is>
      </c>
      <c r="D2108" t="inlineStr">
        <is>
          <t>Smart Jeans</t>
        </is>
      </c>
      <c r="E2108" t="inlineStr">
        <is>
          <t>Clothing</t>
        </is>
      </c>
      <c r="F2108" t="inlineStr">
        <is>
          <t>Nina Weber</t>
        </is>
      </c>
      <c r="G2108" t="inlineStr">
        <is>
          <t>Italy</t>
        </is>
      </c>
      <c r="H2108" t="inlineStr">
        <is>
          <t>Retail Store</t>
        </is>
      </c>
      <c r="I2108" t="n">
        <v>5</v>
      </c>
      <c r="J2108" s="3" t="n">
        <v>1389.05</v>
      </c>
      <c r="K2108" s="3" t="n">
        <v>69.45</v>
      </c>
      <c r="L2108" s="3" t="n">
        <v>1319.6</v>
      </c>
      <c r="M2108" s="3" t="n">
        <v>968.2</v>
      </c>
      <c r="N2108" s="3" t="n">
        <v>351.4</v>
      </c>
      <c r="O2108">
        <f>TEXT(A2108,"yyyy-mm")</f>
        <v/>
      </c>
    </row>
    <row r="2109">
      <c r="A2109" s="2" t="n">
        <v>45861</v>
      </c>
      <c r="B2109" t="n">
        <v>2025</v>
      </c>
      <c r="C2109" t="inlineStr">
        <is>
          <t>July</t>
        </is>
      </c>
      <c r="D2109" t="inlineStr">
        <is>
          <t>Premium Tent</t>
        </is>
      </c>
      <c r="E2109" t="inlineStr">
        <is>
          <t>Sports &amp; Outdoors</t>
        </is>
      </c>
      <c r="F2109" t="inlineStr">
        <is>
          <t>Nina Weber</t>
        </is>
      </c>
      <c r="G2109" t="inlineStr">
        <is>
          <t>Italy</t>
        </is>
      </c>
      <c r="H2109" t="inlineStr">
        <is>
          <t>Retail Store</t>
        </is>
      </c>
      <c r="I2109" t="n">
        <v>4</v>
      </c>
      <c r="J2109" s="3" t="n">
        <v>1067.32</v>
      </c>
      <c r="K2109" s="3" t="n">
        <v>0</v>
      </c>
      <c r="L2109" s="3" t="n">
        <v>1067.32</v>
      </c>
      <c r="M2109" s="3" t="n">
        <v>556.16</v>
      </c>
      <c r="N2109" s="3" t="n">
        <v>511.16</v>
      </c>
      <c r="O2109">
        <f>TEXT(A2109,"yyyy-mm")</f>
        <v/>
      </c>
    </row>
    <row r="2110">
      <c r="A2110" s="2" t="n">
        <v>45862</v>
      </c>
      <c r="B2110" t="n">
        <v>2025</v>
      </c>
      <c r="C2110" t="inlineStr">
        <is>
          <t>July</t>
        </is>
      </c>
      <c r="D2110" t="inlineStr">
        <is>
          <t>Deluxe Toothbrush</t>
        </is>
      </c>
      <c r="E2110" t="inlineStr">
        <is>
          <t>Beauty &amp; Health</t>
        </is>
      </c>
      <c r="F2110" t="inlineStr">
        <is>
          <t>Paul Brown</t>
        </is>
      </c>
      <c r="G2110" t="inlineStr">
        <is>
          <t>United Kingdom</t>
        </is>
      </c>
      <c r="H2110" t="inlineStr">
        <is>
          <t>Retail Store</t>
        </is>
      </c>
      <c r="I2110" t="n">
        <v>2</v>
      </c>
      <c r="J2110" s="3" t="n">
        <v>677.8</v>
      </c>
      <c r="K2110" s="3" t="n">
        <v>67.78</v>
      </c>
      <c r="L2110" s="3" t="n">
        <v>610.02</v>
      </c>
      <c r="M2110" s="3" t="n">
        <v>349.14</v>
      </c>
      <c r="N2110" s="3" t="n">
        <v>260.88</v>
      </c>
      <c r="O2110">
        <f>TEXT(A2110,"yyyy-mm")</f>
        <v/>
      </c>
    </row>
    <row r="2111">
      <c r="A2111" s="2" t="n">
        <v>45862</v>
      </c>
      <c r="B2111" t="n">
        <v>2025</v>
      </c>
      <c r="C2111" t="inlineStr">
        <is>
          <t>July</t>
        </is>
      </c>
      <c r="D2111" t="inlineStr">
        <is>
          <t>Wireless Honey</t>
        </is>
      </c>
      <c r="E2111" t="inlineStr">
        <is>
          <t>Grocery</t>
        </is>
      </c>
      <c r="F2111" t="inlineStr">
        <is>
          <t>Paul Brown</t>
        </is>
      </c>
      <c r="G2111" t="inlineStr">
        <is>
          <t>United Kingdom</t>
        </is>
      </c>
      <c r="H2111" t="inlineStr">
        <is>
          <t>Retail Store</t>
        </is>
      </c>
      <c r="I2111" t="n">
        <v>1</v>
      </c>
      <c r="J2111" s="3" t="n">
        <v>125.95</v>
      </c>
      <c r="K2111" s="3" t="n">
        <v>0</v>
      </c>
      <c r="L2111" s="3" t="n">
        <v>125.95</v>
      </c>
      <c r="M2111" s="3" t="n">
        <v>94.06999999999999</v>
      </c>
      <c r="N2111" s="3" t="n">
        <v>31.88</v>
      </c>
      <c r="O2111">
        <f>TEXT(A2111,"yyyy-mm")</f>
        <v/>
      </c>
    </row>
    <row r="2112">
      <c r="A2112" s="2" t="n">
        <v>45862</v>
      </c>
      <c r="B2112" t="n">
        <v>2025</v>
      </c>
      <c r="C2112" t="inlineStr">
        <is>
          <t>July</t>
        </is>
      </c>
      <c r="D2112" t="inlineStr">
        <is>
          <t>Premium Tent</t>
        </is>
      </c>
      <c r="E2112" t="inlineStr">
        <is>
          <t>Sports &amp; Outdoors</t>
        </is>
      </c>
      <c r="F2112" t="inlineStr">
        <is>
          <t>Paul Brown</t>
        </is>
      </c>
      <c r="G2112" t="inlineStr">
        <is>
          <t>United Kingdom</t>
        </is>
      </c>
      <c r="H2112" t="inlineStr">
        <is>
          <t>Retail Store</t>
        </is>
      </c>
      <c r="I2112" t="n">
        <v>4</v>
      </c>
      <c r="J2112" s="3" t="n">
        <v>1027.8</v>
      </c>
      <c r="K2112" s="3" t="n">
        <v>51.39</v>
      </c>
      <c r="L2112" s="3" t="n">
        <v>976.41</v>
      </c>
      <c r="M2112" s="3" t="n">
        <v>556.16</v>
      </c>
      <c r="N2112" s="3" t="n">
        <v>420.25</v>
      </c>
      <c r="O2112">
        <f>TEXT(A2112,"yyyy-mm")</f>
        <v/>
      </c>
    </row>
    <row r="2113">
      <c r="A2113" s="2" t="n">
        <v>45862</v>
      </c>
      <c r="B2113" t="n">
        <v>2025</v>
      </c>
      <c r="C2113" t="inlineStr">
        <is>
          <t>July</t>
        </is>
      </c>
      <c r="D2113" t="inlineStr">
        <is>
          <t>Classic Coffee Beans</t>
        </is>
      </c>
      <c r="E2113" t="inlineStr">
        <is>
          <t>Grocery</t>
        </is>
      </c>
      <c r="F2113" t="inlineStr">
        <is>
          <t>Paul Brown</t>
        </is>
      </c>
      <c r="G2113" t="inlineStr">
        <is>
          <t>United Kingdom</t>
        </is>
      </c>
      <c r="H2113" t="inlineStr">
        <is>
          <t>Retail Store</t>
        </is>
      </c>
      <c r="I2113" t="n">
        <v>1</v>
      </c>
      <c r="J2113" s="3" t="n">
        <v>325.51</v>
      </c>
      <c r="K2113" s="3" t="n">
        <v>65.09999999999999</v>
      </c>
      <c r="L2113" s="3" t="n">
        <v>260.41</v>
      </c>
      <c r="M2113" s="3" t="n">
        <v>194.76</v>
      </c>
      <c r="N2113" s="3" t="n">
        <v>65.65000000000001</v>
      </c>
      <c r="O2113">
        <f>TEXT(A2113,"yyyy-mm")</f>
        <v/>
      </c>
    </row>
    <row r="2114">
      <c r="A2114" s="2" t="n">
        <v>45862</v>
      </c>
      <c r="B2114" t="n">
        <v>2025</v>
      </c>
      <c r="C2114" t="inlineStr">
        <is>
          <t>July</t>
        </is>
      </c>
      <c r="D2114" t="inlineStr">
        <is>
          <t>Smart Tea Set</t>
        </is>
      </c>
      <c r="E2114" t="inlineStr">
        <is>
          <t>Grocery</t>
        </is>
      </c>
      <c r="F2114" t="inlineStr">
        <is>
          <t>Paul Smith</t>
        </is>
      </c>
      <c r="G2114" t="inlineStr">
        <is>
          <t>Italy</t>
        </is>
      </c>
      <c r="H2114" t="inlineStr">
        <is>
          <t>Marketplace</t>
        </is>
      </c>
      <c r="I2114" t="n">
        <v>1</v>
      </c>
      <c r="J2114" s="3" t="n">
        <v>86.66</v>
      </c>
      <c r="K2114" s="3" t="n">
        <v>8.67</v>
      </c>
      <c r="L2114" s="3" t="n">
        <v>77.98999999999999</v>
      </c>
      <c r="M2114" s="3" t="n">
        <v>61.8</v>
      </c>
      <c r="N2114" s="3" t="n">
        <v>16.19</v>
      </c>
      <c r="O2114">
        <f>TEXT(A2114,"yyyy-mm")</f>
        <v/>
      </c>
    </row>
    <row r="2115">
      <c r="A2115" s="2" t="n">
        <v>45862</v>
      </c>
      <c r="B2115" t="n">
        <v>2025</v>
      </c>
      <c r="C2115" t="inlineStr">
        <is>
          <t>July</t>
        </is>
      </c>
      <c r="D2115" t="inlineStr">
        <is>
          <t>Deluxe Scarf</t>
        </is>
      </c>
      <c r="E2115" t="inlineStr">
        <is>
          <t>Clothing</t>
        </is>
      </c>
      <c r="F2115" t="inlineStr">
        <is>
          <t>Paul Smith</t>
        </is>
      </c>
      <c r="G2115" t="inlineStr">
        <is>
          <t>Italy</t>
        </is>
      </c>
      <c r="H2115" t="inlineStr">
        <is>
          <t>Marketplace</t>
        </is>
      </c>
      <c r="I2115" t="n">
        <v>2</v>
      </c>
      <c r="J2115" s="3" t="n">
        <v>393.26</v>
      </c>
      <c r="K2115" s="3" t="n">
        <v>19.66</v>
      </c>
      <c r="L2115" s="3" t="n">
        <v>373.6</v>
      </c>
      <c r="M2115" s="3" t="n">
        <v>217.04</v>
      </c>
      <c r="N2115" s="3" t="n">
        <v>156.56</v>
      </c>
      <c r="O2115">
        <f>TEXT(A2115,"yyyy-mm")</f>
        <v/>
      </c>
    </row>
    <row r="2116">
      <c r="A2116" s="2" t="n">
        <v>45862</v>
      </c>
      <c r="B2116" t="n">
        <v>2025</v>
      </c>
      <c r="C2116" t="inlineStr">
        <is>
          <t>July</t>
        </is>
      </c>
      <c r="D2116" t="inlineStr">
        <is>
          <t>Portable Bike Helmet</t>
        </is>
      </c>
      <c r="E2116" t="inlineStr">
        <is>
          <t>Sports &amp; Outdoors</t>
        </is>
      </c>
      <c r="F2116" t="inlineStr">
        <is>
          <t>Robert Wilson</t>
        </is>
      </c>
      <c r="G2116" t="inlineStr">
        <is>
          <t>Germany</t>
        </is>
      </c>
      <c r="H2116" t="inlineStr">
        <is>
          <t>Mobile App</t>
        </is>
      </c>
      <c r="I2116" t="n">
        <v>4</v>
      </c>
      <c r="J2116" s="3" t="n">
        <v>1251.36</v>
      </c>
      <c r="K2116" s="3" t="n">
        <v>0</v>
      </c>
      <c r="L2116" s="3" t="n">
        <v>1251.36</v>
      </c>
      <c r="M2116" s="3" t="n">
        <v>661.48</v>
      </c>
      <c r="N2116" s="3" t="n">
        <v>589.88</v>
      </c>
      <c r="O2116">
        <f>TEXT(A2116,"yyyy-mm")</f>
        <v/>
      </c>
    </row>
    <row r="2117">
      <c r="A2117" s="2" t="n">
        <v>45862</v>
      </c>
      <c r="B2117" t="n">
        <v>2025</v>
      </c>
      <c r="C2117" t="inlineStr">
        <is>
          <t>July</t>
        </is>
      </c>
      <c r="D2117" t="inlineStr">
        <is>
          <t>Compact Sunscreen</t>
        </is>
      </c>
      <c r="E2117" t="inlineStr">
        <is>
          <t>Beauty &amp; Health</t>
        </is>
      </c>
      <c r="F2117" t="inlineStr">
        <is>
          <t>Maria Martin</t>
        </is>
      </c>
      <c r="G2117" t="inlineStr">
        <is>
          <t>Poland</t>
        </is>
      </c>
      <c r="H2117" t="inlineStr">
        <is>
          <t>Mobile App</t>
        </is>
      </c>
      <c r="I2117" t="n">
        <v>1</v>
      </c>
      <c r="J2117" s="3" t="n">
        <v>314.26</v>
      </c>
      <c r="K2117" s="3" t="n">
        <v>0</v>
      </c>
      <c r="L2117" s="3" t="n">
        <v>314.26</v>
      </c>
      <c r="M2117" s="3" t="n">
        <v>177.66</v>
      </c>
      <c r="N2117" s="3" t="n">
        <v>136.6</v>
      </c>
      <c r="O2117">
        <f>TEXT(A2117,"yyyy-mm")</f>
        <v/>
      </c>
    </row>
    <row r="2118">
      <c r="A2118" s="2" t="n">
        <v>45862</v>
      </c>
      <c r="B2118" t="n">
        <v>2025</v>
      </c>
      <c r="C2118" t="inlineStr">
        <is>
          <t>July</t>
        </is>
      </c>
      <c r="D2118" t="inlineStr">
        <is>
          <t>Portable Puzzle</t>
        </is>
      </c>
      <c r="E2118" t="inlineStr">
        <is>
          <t>Toys &amp; Games</t>
        </is>
      </c>
      <c r="F2118" t="inlineStr">
        <is>
          <t>David Moreau</t>
        </is>
      </c>
      <c r="G2118" t="inlineStr">
        <is>
          <t>Poland</t>
        </is>
      </c>
      <c r="H2118" t="inlineStr">
        <is>
          <t>Retail Store</t>
        </is>
      </c>
      <c r="I2118" t="n">
        <v>3</v>
      </c>
      <c r="J2118" s="3" t="n">
        <v>329.52</v>
      </c>
      <c r="K2118" s="3" t="n">
        <v>0</v>
      </c>
      <c r="L2118" s="3" t="n">
        <v>329.52</v>
      </c>
      <c r="M2118" s="3" t="n">
        <v>176.4</v>
      </c>
      <c r="N2118" s="3" t="n">
        <v>153.12</v>
      </c>
      <c r="O2118">
        <f>TEXT(A2118,"yyyy-mm")</f>
        <v/>
      </c>
    </row>
    <row r="2119">
      <c r="A2119" s="2" t="n">
        <v>45862</v>
      </c>
      <c r="B2119" t="n">
        <v>2025</v>
      </c>
      <c r="C2119" t="inlineStr">
        <is>
          <t>July</t>
        </is>
      </c>
      <c r="D2119" t="inlineStr">
        <is>
          <t>Eco Biography</t>
        </is>
      </c>
      <c r="E2119" t="inlineStr">
        <is>
          <t>Books</t>
        </is>
      </c>
      <c r="F2119" t="inlineStr">
        <is>
          <t>Daniel Garcia</t>
        </is>
      </c>
      <c r="G2119" t="inlineStr">
        <is>
          <t>France</t>
        </is>
      </c>
      <c r="H2119" t="inlineStr">
        <is>
          <t>Web Store</t>
        </is>
      </c>
      <c r="I2119" t="n">
        <v>5</v>
      </c>
      <c r="J2119" s="3" t="n">
        <v>614.9</v>
      </c>
      <c r="K2119" s="3" t="n">
        <v>0</v>
      </c>
      <c r="L2119" s="3" t="n">
        <v>614.9</v>
      </c>
      <c r="M2119" s="3" t="n">
        <v>355.1</v>
      </c>
      <c r="N2119" s="3" t="n">
        <v>259.8</v>
      </c>
      <c r="O2119">
        <f>TEXT(A2119,"yyyy-mm")</f>
        <v/>
      </c>
    </row>
    <row r="2120">
      <c r="A2120" s="2" t="n">
        <v>45862</v>
      </c>
      <c r="B2120" t="n">
        <v>2025</v>
      </c>
      <c r="C2120" t="inlineStr">
        <is>
          <t>July</t>
        </is>
      </c>
      <c r="D2120" t="inlineStr">
        <is>
          <t>Eco Drone</t>
        </is>
      </c>
      <c r="E2120" t="inlineStr">
        <is>
          <t>Toys &amp; Games</t>
        </is>
      </c>
      <c r="F2120" t="inlineStr">
        <is>
          <t>David Moreau</t>
        </is>
      </c>
      <c r="G2120" t="inlineStr">
        <is>
          <t>Poland</t>
        </is>
      </c>
      <c r="H2120" t="inlineStr">
        <is>
          <t>Retail Store</t>
        </is>
      </c>
      <c r="I2120" t="n">
        <v>3</v>
      </c>
      <c r="J2120" s="3" t="n">
        <v>577.95</v>
      </c>
      <c r="K2120" s="3" t="n">
        <v>0</v>
      </c>
      <c r="L2120" s="3" t="n">
        <v>577.95</v>
      </c>
      <c r="M2120" s="3" t="n">
        <v>388.77</v>
      </c>
      <c r="N2120" s="3" t="n">
        <v>189.18</v>
      </c>
      <c r="O2120">
        <f>TEXT(A2120,"yyyy-mm")</f>
        <v/>
      </c>
    </row>
    <row r="2121">
      <c r="A2121" s="2" t="n">
        <v>45862</v>
      </c>
      <c r="B2121" t="n">
        <v>2025</v>
      </c>
      <c r="C2121" t="inlineStr">
        <is>
          <t>July</t>
        </is>
      </c>
      <c r="D2121" t="inlineStr">
        <is>
          <t>Smart Charger</t>
        </is>
      </c>
      <c r="E2121" t="inlineStr">
        <is>
          <t>Electronics</t>
        </is>
      </c>
      <c r="F2121" t="inlineStr">
        <is>
          <t>Paul Smith</t>
        </is>
      </c>
      <c r="G2121" t="inlineStr">
        <is>
          <t>Italy</t>
        </is>
      </c>
      <c r="H2121" t="inlineStr">
        <is>
          <t>Marketplace</t>
        </is>
      </c>
      <c r="I2121" t="n">
        <v>1</v>
      </c>
      <c r="J2121" s="3" t="n">
        <v>39.46</v>
      </c>
      <c r="K2121" s="3" t="n">
        <v>0</v>
      </c>
      <c r="L2121" s="3" t="n">
        <v>39.46</v>
      </c>
      <c r="M2121" s="3" t="n">
        <v>27.64</v>
      </c>
      <c r="N2121" s="3" t="n">
        <v>11.82</v>
      </c>
      <c r="O2121">
        <f>TEXT(A2121,"yyyy-mm")</f>
        <v/>
      </c>
    </row>
    <row r="2122">
      <c r="A2122" s="2" t="n">
        <v>45862</v>
      </c>
      <c r="B2122" t="n">
        <v>2025</v>
      </c>
      <c r="C2122" t="inlineStr">
        <is>
          <t>July</t>
        </is>
      </c>
      <c r="D2122" t="inlineStr">
        <is>
          <t>Deluxe Cookbook</t>
        </is>
      </c>
      <c r="E2122" t="inlineStr">
        <is>
          <t>Books</t>
        </is>
      </c>
      <c r="F2122" t="inlineStr">
        <is>
          <t>David Moreau</t>
        </is>
      </c>
      <c r="G2122" t="inlineStr">
        <is>
          <t>Poland</t>
        </is>
      </c>
      <c r="H2122" t="inlineStr">
        <is>
          <t>Retail Store</t>
        </is>
      </c>
      <c r="I2122" t="n">
        <v>4</v>
      </c>
      <c r="J2122" s="3" t="n">
        <v>552.88</v>
      </c>
      <c r="K2122" s="3" t="n">
        <v>0</v>
      </c>
      <c r="L2122" s="3" t="n">
        <v>552.88</v>
      </c>
      <c r="M2122" s="3" t="n">
        <v>341.08</v>
      </c>
      <c r="N2122" s="3" t="n">
        <v>211.8</v>
      </c>
      <c r="O2122">
        <f>TEXT(A2122,"yyyy-mm")</f>
        <v/>
      </c>
    </row>
    <row r="2123">
      <c r="A2123" s="2" t="n">
        <v>45862</v>
      </c>
      <c r="B2123" t="n">
        <v>2025</v>
      </c>
      <c r="C2123" t="inlineStr">
        <is>
          <t>July</t>
        </is>
      </c>
      <c r="D2123" t="inlineStr">
        <is>
          <t>Deluxe Headphones</t>
        </is>
      </c>
      <c r="E2123" t="inlineStr">
        <is>
          <t>Electronics</t>
        </is>
      </c>
      <c r="F2123" t="inlineStr">
        <is>
          <t>Daniel Garcia</t>
        </is>
      </c>
      <c r="G2123" t="inlineStr">
        <is>
          <t>France</t>
        </is>
      </c>
      <c r="H2123" t="inlineStr">
        <is>
          <t>Web Store</t>
        </is>
      </c>
      <c r="I2123" t="n">
        <v>1</v>
      </c>
      <c r="J2123" s="3" t="n">
        <v>73.19</v>
      </c>
      <c r="K2123" s="3" t="n">
        <v>0</v>
      </c>
      <c r="L2123" s="3" t="n">
        <v>73.19</v>
      </c>
      <c r="M2123" s="3" t="n">
        <v>52.5</v>
      </c>
      <c r="N2123" s="3" t="n">
        <v>20.69</v>
      </c>
      <c r="O2123">
        <f>TEXT(A2123,"yyyy-mm")</f>
        <v/>
      </c>
    </row>
    <row r="2124">
      <c r="A2124" s="2" t="n">
        <v>45862</v>
      </c>
      <c r="B2124" t="n">
        <v>2025</v>
      </c>
      <c r="C2124" t="inlineStr">
        <is>
          <t>July</t>
        </is>
      </c>
      <c r="D2124" t="inlineStr">
        <is>
          <t>Deluxe Toothbrush</t>
        </is>
      </c>
      <c r="E2124" t="inlineStr">
        <is>
          <t>Beauty &amp; Health</t>
        </is>
      </c>
      <c r="F2124" t="inlineStr">
        <is>
          <t>Daniel Garcia</t>
        </is>
      </c>
      <c r="G2124" t="inlineStr">
        <is>
          <t>France</t>
        </is>
      </c>
      <c r="H2124" t="inlineStr">
        <is>
          <t>Web Store</t>
        </is>
      </c>
      <c r="I2124" t="n">
        <v>2</v>
      </c>
      <c r="J2124" s="3" t="n">
        <v>658.04</v>
      </c>
      <c r="K2124" s="3" t="n">
        <v>98.70999999999999</v>
      </c>
      <c r="L2124" s="3" t="n">
        <v>559.33</v>
      </c>
      <c r="M2124" s="3" t="n">
        <v>349.14</v>
      </c>
      <c r="N2124" s="3" t="n">
        <v>210.19</v>
      </c>
      <c r="O2124">
        <f>TEXT(A2124,"yyyy-mm")</f>
        <v/>
      </c>
    </row>
    <row r="2125">
      <c r="A2125" s="2" t="n">
        <v>45862</v>
      </c>
      <c r="B2125" t="n">
        <v>2025</v>
      </c>
      <c r="C2125" t="inlineStr">
        <is>
          <t>July</t>
        </is>
      </c>
      <c r="D2125" t="inlineStr">
        <is>
          <t>Smart Drone</t>
        </is>
      </c>
      <c r="E2125" t="inlineStr">
        <is>
          <t>Toys &amp; Games</t>
        </is>
      </c>
      <c r="F2125" t="inlineStr">
        <is>
          <t>Daniel Garcia</t>
        </is>
      </c>
      <c r="G2125" t="inlineStr">
        <is>
          <t>France</t>
        </is>
      </c>
      <c r="H2125" t="inlineStr">
        <is>
          <t>Web Store</t>
        </is>
      </c>
      <c r="I2125" t="n">
        <v>4</v>
      </c>
      <c r="J2125" s="3" t="n">
        <v>885.6799999999999</v>
      </c>
      <c r="K2125" s="3" t="n">
        <v>132.85</v>
      </c>
      <c r="L2125" s="3" t="n">
        <v>752.83</v>
      </c>
      <c r="M2125" s="3" t="n">
        <v>507.8</v>
      </c>
      <c r="N2125" s="3" t="n">
        <v>245.03</v>
      </c>
      <c r="O2125">
        <f>TEXT(A2125,"yyyy-mm")</f>
        <v/>
      </c>
    </row>
    <row r="2126">
      <c r="A2126" s="2" t="n">
        <v>45862</v>
      </c>
      <c r="B2126" t="n">
        <v>2025</v>
      </c>
      <c r="C2126" t="inlineStr">
        <is>
          <t>July</t>
        </is>
      </c>
      <c r="D2126" t="inlineStr">
        <is>
          <t>Portable Notebook</t>
        </is>
      </c>
      <c r="E2126" t="inlineStr">
        <is>
          <t>Books</t>
        </is>
      </c>
      <c r="F2126" t="inlineStr">
        <is>
          <t>David Moreau</t>
        </is>
      </c>
      <c r="G2126" t="inlineStr">
        <is>
          <t>Poland</t>
        </is>
      </c>
      <c r="H2126" t="inlineStr">
        <is>
          <t>Retail Store</t>
        </is>
      </c>
      <c r="I2126" t="n">
        <v>4</v>
      </c>
      <c r="J2126" s="3" t="n">
        <v>520.5599999999999</v>
      </c>
      <c r="K2126" s="3" t="n">
        <v>52.06</v>
      </c>
      <c r="L2126" s="3" t="n">
        <v>468.5</v>
      </c>
      <c r="M2126" s="3" t="n">
        <v>285.12</v>
      </c>
      <c r="N2126" s="3" t="n">
        <v>183.38</v>
      </c>
      <c r="O2126">
        <f>TEXT(A2126,"yyyy-mm")</f>
        <v/>
      </c>
    </row>
    <row r="2127">
      <c r="A2127" s="2" t="n">
        <v>45862</v>
      </c>
      <c r="B2127" t="n">
        <v>2025</v>
      </c>
      <c r="C2127" t="inlineStr">
        <is>
          <t>July</t>
        </is>
      </c>
      <c r="D2127" t="inlineStr">
        <is>
          <t>Eco Tent</t>
        </is>
      </c>
      <c r="E2127" t="inlineStr">
        <is>
          <t>Sports &amp; Outdoors</t>
        </is>
      </c>
      <c r="F2127" t="inlineStr">
        <is>
          <t>Paul Smith</t>
        </is>
      </c>
      <c r="G2127" t="inlineStr">
        <is>
          <t>Italy</t>
        </is>
      </c>
      <c r="H2127" t="inlineStr">
        <is>
          <t>Marketplace</t>
        </is>
      </c>
      <c r="I2127" t="n">
        <v>1</v>
      </c>
      <c r="J2127" s="3" t="n">
        <v>65.58</v>
      </c>
      <c r="K2127" s="3" t="n">
        <v>6.56</v>
      </c>
      <c r="L2127" s="3" t="n">
        <v>59.02</v>
      </c>
      <c r="M2127" s="3" t="n">
        <v>43.85</v>
      </c>
      <c r="N2127" s="3" t="n">
        <v>15.17</v>
      </c>
      <c r="O2127">
        <f>TEXT(A2127,"yyyy-mm")</f>
        <v/>
      </c>
    </row>
    <row r="2128">
      <c r="A2128" s="2" t="n">
        <v>45863</v>
      </c>
      <c r="B2128" t="n">
        <v>2025</v>
      </c>
      <c r="C2128" t="inlineStr">
        <is>
          <t>July</t>
        </is>
      </c>
      <c r="D2128" t="inlineStr">
        <is>
          <t>Premium Tent</t>
        </is>
      </c>
      <c r="E2128" t="inlineStr">
        <is>
          <t>Sports &amp; Outdoors</t>
        </is>
      </c>
      <c r="F2128" t="inlineStr">
        <is>
          <t>Paul Nowak</t>
        </is>
      </c>
      <c r="G2128" t="inlineStr">
        <is>
          <t>France</t>
        </is>
      </c>
      <c r="H2128" t="inlineStr">
        <is>
          <t>Web Store</t>
        </is>
      </c>
      <c r="I2128" t="n">
        <v>1</v>
      </c>
      <c r="J2128" s="3" t="n">
        <v>262.87</v>
      </c>
      <c r="K2128" s="3" t="n">
        <v>26.29</v>
      </c>
      <c r="L2128" s="3" t="n">
        <v>236.58</v>
      </c>
      <c r="M2128" s="3" t="n">
        <v>139.04</v>
      </c>
      <c r="N2128" s="3" t="n">
        <v>97.54000000000001</v>
      </c>
      <c r="O2128">
        <f>TEXT(A2128,"yyyy-mm")</f>
        <v/>
      </c>
    </row>
    <row r="2129">
      <c r="A2129" s="2" t="n">
        <v>45863</v>
      </c>
      <c r="B2129" t="n">
        <v>2025</v>
      </c>
      <c r="C2129" t="inlineStr">
        <is>
          <t>July</t>
        </is>
      </c>
      <c r="D2129" t="inlineStr">
        <is>
          <t>Classic Yoga Mat</t>
        </is>
      </c>
      <c r="E2129" t="inlineStr">
        <is>
          <t>Sports &amp; Outdoors</t>
        </is>
      </c>
      <c r="F2129" t="inlineStr">
        <is>
          <t>Paul Nowak</t>
        </is>
      </c>
      <c r="G2129" t="inlineStr">
        <is>
          <t>France</t>
        </is>
      </c>
      <c r="H2129" t="inlineStr">
        <is>
          <t>Web Store</t>
        </is>
      </c>
      <c r="I2129" t="n">
        <v>1</v>
      </c>
      <c r="J2129" s="3" t="n">
        <v>331.22</v>
      </c>
      <c r="K2129" s="3" t="n">
        <v>33.12</v>
      </c>
      <c r="L2129" s="3" t="n">
        <v>298.1</v>
      </c>
      <c r="M2129" s="3" t="n">
        <v>195.7</v>
      </c>
      <c r="N2129" s="3" t="n">
        <v>102.4</v>
      </c>
      <c r="O2129">
        <f>TEXT(A2129,"yyyy-mm")</f>
        <v/>
      </c>
    </row>
    <row r="2130">
      <c r="A2130" s="2" t="n">
        <v>45863</v>
      </c>
      <c r="B2130" t="n">
        <v>2025</v>
      </c>
      <c r="C2130" t="inlineStr">
        <is>
          <t>July</t>
        </is>
      </c>
      <c r="D2130" t="inlineStr">
        <is>
          <t>Deluxe Scarf</t>
        </is>
      </c>
      <c r="E2130" t="inlineStr">
        <is>
          <t>Clothing</t>
        </is>
      </c>
      <c r="F2130" t="inlineStr">
        <is>
          <t>Olivia Bianchi</t>
        </is>
      </c>
      <c r="G2130" t="inlineStr">
        <is>
          <t>Poland</t>
        </is>
      </c>
      <c r="H2130" t="inlineStr">
        <is>
          <t>Marketplace</t>
        </is>
      </c>
      <c r="I2130" t="n">
        <v>4</v>
      </c>
      <c r="J2130" s="3" t="n">
        <v>778</v>
      </c>
      <c r="K2130" s="3" t="n">
        <v>155.6</v>
      </c>
      <c r="L2130" s="3" t="n">
        <v>622.4</v>
      </c>
      <c r="M2130" s="3" t="n">
        <v>434.08</v>
      </c>
      <c r="N2130" s="3" t="n">
        <v>188.32</v>
      </c>
      <c r="O2130">
        <f>TEXT(A2130,"yyyy-mm")</f>
        <v/>
      </c>
    </row>
    <row r="2131">
      <c r="A2131" s="2" t="n">
        <v>45863</v>
      </c>
      <c r="B2131" t="n">
        <v>2025</v>
      </c>
      <c r="C2131" t="inlineStr">
        <is>
          <t>July</t>
        </is>
      </c>
      <c r="D2131" t="inlineStr">
        <is>
          <t>Essential Rug</t>
        </is>
      </c>
      <c r="E2131" t="inlineStr">
        <is>
          <t>Home &amp; Garden</t>
        </is>
      </c>
      <c r="F2131" t="inlineStr">
        <is>
          <t>Thomas Brown</t>
        </is>
      </c>
      <c r="G2131" t="inlineStr">
        <is>
          <t>France</t>
        </is>
      </c>
      <c r="H2131" t="inlineStr">
        <is>
          <t>Mobile App</t>
        </is>
      </c>
      <c r="I2131" t="n">
        <v>4</v>
      </c>
      <c r="J2131" s="3" t="n">
        <v>563.12</v>
      </c>
      <c r="K2131" s="3" t="n">
        <v>56.31</v>
      </c>
      <c r="L2131" s="3" t="n">
        <v>506.81</v>
      </c>
      <c r="M2131" s="3" t="n">
        <v>305.32</v>
      </c>
      <c r="N2131" s="3" t="n">
        <v>201.49</v>
      </c>
      <c r="O2131">
        <f>TEXT(A2131,"yyyy-mm")</f>
        <v/>
      </c>
    </row>
    <row r="2132">
      <c r="A2132" s="2" t="n">
        <v>45863</v>
      </c>
      <c r="B2132" t="n">
        <v>2025</v>
      </c>
      <c r="C2132" t="inlineStr">
        <is>
          <t>July</t>
        </is>
      </c>
      <c r="D2132" t="inlineStr">
        <is>
          <t>Eco Planter</t>
        </is>
      </c>
      <c r="E2132" t="inlineStr">
        <is>
          <t>Home &amp; Garden</t>
        </is>
      </c>
      <c r="F2132" t="inlineStr">
        <is>
          <t>Thomas Brown</t>
        </is>
      </c>
      <c r="G2132" t="inlineStr">
        <is>
          <t>France</t>
        </is>
      </c>
      <c r="H2132" t="inlineStr">
        <is>
          <t>Mobile App</t>
        </is>
      </c>
      <c r="I2132" t="n">
        <v>2</v>
      </c>
      <c r="J2132" s="3" t="n">
        <v>352.38</v>
      </c>
      <c r="K2132" s="3" t="n">
        <v>35.24</v>
      </c>
      <c r="L2132" s="3" t="n">
        <v>317.14</v>
      </c>
      <c r="M2132" s="3" t="n">
        <v>224.82</v>
      </c>
      <c r="N2132" s="3" t="n">
        <v>92.31999999999999</v>
      </c>
      <c r="O2132">
        <f>TEXT(A2132,"yyyy-mm")</f>
        <v/>
      </c>
    </row>
    <row r="2133">
      <c r="A2133" s="2" t="n">
        <v>45863</v>
      </c>
      <c r="B2133" t="n">
        <v>2025</v>
      </c>
      <c r="C2133" t="inlineStr">
        <is>
          <t>July</t>
        </is>
      </c>
      <c r="D2133" t="inlineStr">
        <is>
          <t>Essential Rug</t>
        </is>
      </c>
      <c r="E2133" t="inlineStr">
        <is>
          <t>Home &amp; Garden</t>
        </is>
      </c>
      <c r="F2133" t="inlineStr">
        <is>
          <t>Olivia Bianchi</t>
        </is>
      </c>
      <c r="G2133" t="inlineStr">
        <is>
          <t>Poland</t>
        </is>
      </c>
      <c r="H2133" t="inlineStr">
        <is>
          <t>Marketplace</t>
        </is>
      </c>
      <c r="I2133" t="n">
        <v>5</v>
      </c>
      <c r="J2133" s="3" t="n">
        <v>647.5</v>
      </c>
      <c r="K2133" s="3" t="n">
        <v>32.38</v>
      </c>
      <c r="L2133" s="3" t="n">
        <v>615.12</v>
      </c>
      <c r="M2133" s="3" t="n">
        <v>381.65</v>
      </c>
      <c r="N2133" s="3" t="n">
        <v>233.48</v>
      </c>
      <c r="O2133">
        <f>TEXT(A2133,"yyyy-mm")</f>
        <v/>
      </c>
    </row>
    <row r="2134">
      <c r="A2134" s="2" t="n">
        <v>45863</v>
      </c>
      <c r="B2134" t="n">
        <v>2025</v>
      </c>
      <c r="C2134" t="inlineStr">
        <is>
          <t>July</t>
        </is>
      </c>
      <c r="D2134" t="inlineStr">
        <is>
          <t>Classic Charger</t>
        </is>
      </c>
      <c r="E2134" t="inlineStr">
        <is>
          <t>Electronics</t>
        </is>
      </c>
      <c r="F2134" t="inlineStr">
        <is>
          <t>Thomas Brown</t>
        </is>
      </c>
      <c r="G2134" t="inlineStr">
        <is>
          <t>France</t>
        </is>
      </c>
      <c r="H2134" t="inlineStr">
        <is>
          <t>Mobile App</t>
        </is>
      </c>
      <c r="I2134" t="n">
        <v>4</v>
      </c>
      <c r="J2134" s="3" t="n">
        <v>378.36</v>
      </c>
      <c r="K2134" s="3" t="n">
        <v>0</v>
      </c>
      <c r="L2134" s="3" t="n">
        <v>378.36</v>
      </c>
      <c r="M2134" s="3" t="n">
        <v>248.84</v>
      </c>
      <c r="N2134" s="3" t="n">
        <v>129.52</v>
      </c>
      <c r="O2134">
        <f>TEXT(A2134,"yyyy-mm")</f>
        <v/>
      </c>
    </row>
    <row r="2135">
      <c r="A2135" s="2" t="n">
        <v>45864</v>
      </c>
      <c r="B2135" t="n">
        <v>2025</v>
      </c>
      <c r="C2135" t="inlineStr">
        <is>
          <t>July</t>
        </is>
      </c>
      <c r="D2135" t="inlineStr">
        <is>
          <t>Premium Tent</t>
        </is>
      </c>
      <c r="E2135" t="inlineStr">
        <is>
          <t>Sports &amp; Outdoors</t>
        </is>
      </c>
      <c r="F2135" t="inlineStr">
        <is>
          <t>Paul Brown</t>
        </is>
      </c>
      <c r="G2135" t="inlineStr">
        <is>
          <t>United Kingdom</t>
        </is>
      </c>
      <c r="H2135" t="inlineStr">
        <is>
          <t>Web Store</t>
        </is>
      </c>
      <c r="I2135" t="n">
        <v>2</v>
      </c>
      <c r="J2135" s="3" t="n">
        <v>295.78</v>
      </c>
      <c r="K2135" s="3" t="n">
        <v>29.58</v>
      </c>
      <c r="L2135" s="3" t="n">
        <v>266.2</v>
      </c>
      <c r="M2135" s="3" t="n">
        <v>192.8</v>
      </c>
      <c r="N2135" s="3" t="n">
        <v>73.40000000000001</v>
      </c>
      <c r="O2135">
        <f>TEXT(A2135,"yyyy-mm")</f>
        <v/>
      </c>
    </row>
    <row r="2136">
      <c r="A2136" s="2" t="n">
        <v>45864</v>
      </c>
      <c r="B2136" t="n">
        <v>2025</v>
      </c>
      <c r="C2136" t="inlineStr">
        <is>
          <t>July</t>
        </is>
      </c>
      <c r="D2136" t="inlineStr">
        <is>
          <t>Ultra Backpack</t>
        </is>
      </c>
      <c r="E2136" t="inlineStr">
        <is>
          <t>Sports &amp; Outdoors</t>
        </is>
      </c>
      <c r="F2136" t="inlineStr">
        <is>
          <t>Sophie Muller</t>
        </is>
      </c>
      <c r="G2136" t="inlineStr">
        <is>
          <t>United States</t>
        </is>
      </c>
      <c r="H2136" t="inlineStr">
        <is>
          <t>Retail Store</t>
        </is>
      </c>
      <c r="I2136" t="n">
        <v>2</v>
      </c>
      <c r="J2136" s="3" t="n">
        <v>592.4</v>
      </c>
      <c r="K2136" s="3" t="n">
        <v>0</v>
      </c>
      <c r="L2136" s="3" t="n">
        <v>592.4</v>
      </c>
      <c r="M2136" s="3" t="n">
        <v>347.38</v>
      </c>
      <c r="N2136" s="3" t="n">
        <v>245.02</v>
      </c>
      <c r="O2136">
        <f>TEXT(A2136,"yyyy-mm")</f>
        <v/>
      </c>
    </row>
    <row r="2137">
      <c r="A2137" s="2" t="n">
        <v>45864</v>
      </c>
      <c r="B2137" t="n">
        <v>2025</v>
      </c>
      <c r="C2137" t="inlineStr">
        <is>
          <t>July</t>
        </is>
      </c>
      <c r="D2137" t="inlineStr">
        <is>
          <t>Classic Tea Set</t>
        </is>
      </c>
      <c r="E2137" t="inlineStr">
        <is>
          <t>Grocery</t>
        </is>
      </c>
      <c r="F2137" t="inlineStr">
        <is>
          <t>Sophie Muller</t>
        </is>
      </c>
      <c r="G2137" t="inlineStr">
        <is>
          <t>United States</t>
        </is>
      </c>
      <c r="H2137" t="inlineStr">
        <is>
          <t>Retail Store</t>
        </is>
      </c>
      <c r="I2137" t="n">
        <v>2</v>
      </c>
      <c r="J2137" s="3" t="n">
        <v>373.9</v>
      </c>
      <c r="K2137" s="3" t="n">
        <v>74.78</v>
      </c>
      <c r="L2137" s="3" t="n">
        <v>299.12</v>
      </c>
      <c r="M2137" s="3" t="n">
        <v>250.8</v>
      </c>
      <c r="N2137" s="3" t="n">
        <v>48.32</v>
      </c>
      <c r="O2137">
        <f>TEXT(A2137,"yyyy-mm")</f>
        <v/>
      </c>
    </row>
    <row r="2138">
      <c r="A2138" s="2" t="n">
        <v>45864</v>
      </c>
      <c r="B2138" t="n">
        <v>2025</v>
      </c>
      <c r="C2138" t="inlineStr">
        <is>
          <t>July</t>
        </is>
      </c>
      <c r="D2138" t="inlineStr">
        <is>
          <t>Smart Drone</t>
        </is>
      </c>
      <c r="E2138" t="inlineStr">
        <is>
          <t>Toys &amp; Games</t>
        </is>
      </c>
      <c r="F2138" t="inlineStr">
        <is>
          <t>Mark Martin</t>
        </is>
      </c>
      <c r="G2138" t="inlineStr">
        <is>
          <t>Spain</t>
        </is>
      </c>
      <c r="H2138" t="inlineStr">
        <is>
          <t>Retail Store</t>
        </is>
      </c>
      <c r="I2138" t="n">
        <v>1</v>
      </c>
      <c r="J2138" s="3" t="n">
        <v>211.79</v>
      </c>
      <c r="K2138" s="3" t="n">
        <v>31.77</v>
      </c>
      <c r="L2138" s="3" t="n">
        <v>180.02</v>
      </c>
      <c r="M2138" s="3" t="n">
        <v>126.95</v>
      </c>
      <c r="N2138" s="3" t="n">
        <v>53.07</v>
      </c>
      <c r="O2138">
        <f>TEXT(A2138,"yyyy-mm")</f>
        <v/>
      </c>
    </row>
    <row r="2139">
      <c r="A2139" s="2" t="n">
        <v>45864</v>
      </c>
      <c r="B2139" t="n">
        <v>2025</v>
      </c>
      <c r="C2139" t="inlineStr">
        <is>
          <t>July</t>
        </is>
      </c>
      <c r="D2139" t="inlineStr">
        <is>
          <t>Smart Cookbook</t>
        </is>
      </c>
      <c r="E2139" t="inlineStr">
        <is>
          <t>Books</t>
        </is>
      </c>
      <c r="F2139" t="inlineStr">
        <is>
          <t>Robert Dubois</t>
        </is>
      </c>
      <c r="G2139" t="inlineStr">
        <is>
          <t>France</t>
        </is>
      </c>
      <c r="H2139" t="inlineStr">
        <is>
          <t>Retail Store</t>
        </is>
      </c>
      <c r="I2139" t="n">
        <v>3</v>
      </c>
      <c r="J2139" s="3" t="n">
        <v>54.27</v>
      </c>
      <c r="K2139" s="3" t="n">
        <v>0</v>
      </c>
      <c r="L2139" s="3" t="n">
        <v>54.27</v>
      </c>
      <c r="M2139" s="3" t="n">
        <v>29.64</v>
      </c>
      <c r="N2139" s="3" t="n">
        <v>24.63</v>
      </c>
      <c r="O2139">
        <f>TEXT(A2139,"yyyy-mm")</f>
        <v/>
      </c>
    </row>
    <row r="2140">
      <c r="A2140" s="2" t="n">
        <v>45864</v>
      </c>
      <c r="B2140" t="n">
        <v>2025</v>
      </c>
      <c r="C2140" t="inlineStr">
        <is>
          <t>July</t>
        </is>
      </c>
      <c r="D2140" t="inlineStr">
        <is>
          <t>Classic Atlas</t>
        </is>
      </c>
      <c r="E2140" t="inlineStr">
        <is>
          <t>Books</t>
        </is>
      </c>
      <c r="F2140" t="inlineStr">
        <is>
          <t>Paul Brown</t>
        </is>
      </c>
      <c r="G2140" t="inlineStr">
        <is>
          <t>United Kingdom</t>
        </is>
      </c>
      <c r="H2140" t="inlineStr">
        <is>
          <t>Web Store</t>
        </is>
      </c>
      <c r="I2140" t="n">
        <v>4</v>
      </c>
      <c r="J2140" s="3" t="n">
        <v>245.32</v>
      </c>
      <c r="K2140" s="3" t="n">
        <v>0</v>
      </c>
      <c r="L2140" s="3" t="n">
        <v>245.32</v>
      </c>
      <c r="M2140" s="3" t="n">
        <v>138.36</v>
      </c>
      <c r="N2140" s="3" t="n">
        <v>106.96</v>
      </c>
      <c r="O2140">
        <f>TEXT(A2140,"yyyy-mm")</f>
        <v/>
      </c>
    </row>
    <row r="2141">
      <c r="A2141" s="2" t="n">
        <v>45865</v>
      </c>
      <c r="B2141" t="n">
        <v>2025</v>
      </c>
      <c r="C2141" t="inlineStr">
        <is>
          <t>July</t>
        </is>
      </c>
      <c r="D2141" t="inlineStr">
        <is>
          <t>Smart Sweater</t>
        </is>
      </c>
      <c r="E2141" t="inlineStr">
        <is>
          <t>Clothing</t>
        </is>
      </c>
      <c r="F2141" t="inlineStr">
        <is>
          <t>Paul Nowak</t>
        </is>
      </c>
      <c r="G2141" t="inlineStr">
        <is>
          <t>France</t>
        </is>
      </c>
      <c r="H2141" t="inlineStr">
        <is>
          <t>Mobile App</t>
        </is>
      </c>
      <c r="I2141" t="n">
        <v>3</v>
      </c>
      <c r="J2141" s="3" t="n">
        <v>451.92</v>
      </c>
      <c r="K2141" s="3" t="n">
        <v>22.6</v>
      </c>
      <c r="L2141" s="3" t="n">
        <v>429.32</v>
      </c>
      <c r="M2141" s="3" t="n">
        <v>232.05</v>
      </c>
      <c r="N2141" s="3" t="n">
        <v>197.27</v>
      </c>
      <c r="O2141">
        <f>TEXT(A2141,"yyyy-mm")</f>
        <v/>
      </c>
    </row>
    <row r="2142">
      <c r="A2142" s="2" t="n">
        <v>45865</v>
      </c>
      <c r="B2142" t="n">
        <v>2025</v>
      </c>
      <c r="C2142" t="inlineStr">
        <is>
          <t>July</t>
        </is>
      </c>
      <c r="D2142" t="inlineStr">
        <is>
          <t>Smart Camera</t>
        </is>
      </c>
      <c r="E2142" t="inlineStr">
        <is>
          <t>Electronics</t>
        </is>
      </c>
      <c r="F2142" t="inlineStr">
        <is>
          <t>Emily Brown</t>
        </is>
      </c>
      <c r="G2142" t="inlineStr">
        <is>
          <t>United States</t>
        </is>
      </c>
      <c r="H2142" t="inlineStr">
        <is>
          <t>Mobile App</t>
        </is>
      </c>
      <c r="I2142" t="n">
        <v>1</v>
      </c>
      <c r="J2142" s="3" t="n">
        <v>319.36</v>
      </c>
      <c r="K2142" s="3" t="n">
        <v>0</v>
      </c>
      <c r="L2142" s="3" t="n">
        <v>319.36</v>
      </c>
      <c r="M2142" s="3" t="n">
        <v>167.4</v>
      </c>
      <c r="N2142" s="3" t="n">
        <v>151.96</v>
      </c>
      <c r="O2142">
        <f>TEXT(A2142,"yyyy-mm")</f>
        <v/>
      </c>
    </row>
    <row r="2143">
      <c r="A2143" s="2" t="n">
        <v>45865</v>
      </c>
      <c r="B2143" t="n">
        <v>2025</v>
      </c>
      <c r="C2143" t="inlineStr">
        <is>
          <t>July</t>
        </is>
      </c>
      <c r="D2143" t="inlineStr">
        <is>
          <t>Smart Sweater</t>
        </is>
      </c>
      <c r="E2143" t="inlineStr">
        <is>
          <t>Clothing</t>
        </is>
      </c>
      <c r="F2143" t="inlineStr">
        <is>
          <t>Emily Brown</t>
        </is>
      </c>
      <c r="G2143" t="inlineStr">
        <is>
          <t>United States</t>
        </is>
      </c>
      <c r="H2143" t="inlineStr">
        <is>
          <t>Mobile App</t>
        </is>
      </c>
      <c r="I2143" t="n">
        <v>2</v>
      </c>
      <c r="J2143" s="3" t="n">
        <v>281.54</v>
      </c>
      <c r="K2143" s="3" t="n">
        <v>14.08</v>
      </c>
      <c r="L2143" s="3" t="n">
        <v>267.46</v>
      </c>
      <c r="M2143" s="3" t="n">
        <v>154.7</v>
      </c>
      <c r="N2143" s="3" t="n">
        <v>112.76</v>
      </c>
      <c r="O2143">
        <f>TEXT(A2143,"yyyy-mm")</f>
        <v/>
      </c>
    </row>
    <row r="2144">
      <c r="A2144" s="2" t="n">
        <v>45865</v>
      </c>
      <c r="B2144" t="n">
        <v>2025</v>
      </c>
      <c r="C2144" t="inlineStr">
        <is>
          <t>July</t>
        </is>
      </c>
      <c r="D2144" t="inlineStr">
        <is>
          <t>Essential Charger</t>
        </is>
      </c>
      <c r="E2144" t="inlineStr">
        <is>
          <t>Electronics</t>
        </is>
      </c>
      <c r="F2144" t="inlineStr">
        <is>
          <t>Paul Nowak</t>
        </is>
      </c>
      <c r="G2144" t="inlineStr">
        <is>
          <t>France</t>
        </is>
      </c>
      <c r="H2144" t="inlineStr">
        <is>
          <t>Mobile App</t>
        </is>
      </c>
      <c r="I2144" t="n">
        <v>1</v>
      </c>
      <c r="J2144" s="3" t="n">
        <v>43.39</v>
      </c>
      <c r="K2144" s="3" t="n">
        <v>0</v>
      </c>
      <c r="L2144" s="3" t="n">
        <v>43.39</v>
      </c>
      <c r="M2144" s="3" t="n">
        <v>29.1</v>
      </c>
      <c r="N2144" s="3" t="n">
        <v>14.29</v>
      </c>
      <c r="O2144">
        <f>TEXT(A2144,"yyyy-mm")</f>
        <v/>
      </c>
    </row>
    <row r="2145">
      <c r="A2145" s="2" t="n">
        <v>45865</v>
      </c>
      <c r="B2145" t="n">
        <v>2025</v>
      </c>
      <c r="C2145" t="inlineStr">
        <is>
          <t>July</t>
        </is>
      </c>
      <c r="D2145" t="inlineStr">
        <is>
          <t>Classic Tent</t>
        </is>
      </c>
      <c r="E2145" t="inlineStr">
        <is>
          <t>Sports &amp; Outdoors</t>
        </is>
      </c>
      <c r="F2145" t="inlineStr">
        <is>
          <t>Paul Nowak</t>
        </is>
      </c>
      <c r="G2145" t="inlineStr">
        <is>
          <t>France</t>
        </is>
      </c>
      <c r="H2145" t="inlineStr">
        <is>
          <t>Mobile App</t>
        </is>
      </c>
      <c r="I2145" t="n">
        <v>3</v>
      </c>
      <c r="J2145" s="3" t="n">
        <v>617.4299999999999</v>
      </c>
      <c r="K2145" s="3" t="n">
        <v>0</v>
      </c>
      <c r="L2145" s="3" t="n">
        <v>617.4299999999999</v>
      </c>
      <c r="M2145" s="3" t="n">
        <v>354.06</v>
      </c>
      <c r="N2145" s="3" t="n">
        <v>263.37</v>
      </c>
      <c r="O2145">
        <f>TEXT(A2145,"yyyy-mm")</f>
        <v/>
      </c>
    </row>
    <row r="2146">
      <c r="A2146" s="2" t="n">
        <v>45865</v>
      </c>
      <c r="B2146" t="n">
        <v>2025</v>
      </c>
      <c r="C2146" t="inlineStr">
        <is>
          <t>July</t>
        </is>
      </c>
      <c r="D2146" t="inlineStr">
        <is>
          <t>Eco Drone</t>
        </is>
      </c>
      <c r="E2146" t="inlineStr">
        <is>
          <t>Toys &amp; Games</t>
        </is>
      </c>
      <c r="F2146" t="inlineStr">
        <is>
          <t>Paul Nowak</t>
        </is>
      </c>
      <c r="G2146" t="inlineStr">
        <is>
          <t>France</t>
        </is>
      </c>
      <c r="H2146" t="inlineStr">
        <is>
          <t>Mobile App</t>
        </is>
      </c>
      <c r="I2146" t="n">
        <v>4</v>
      </c>
      <c r="J2146" s="3" t="n">
        <v>801.88</v>
      </c>
      <c r="K2146" s="3" t="n">
        <v>0</v>
      </c>
      <c r="L2146" s="3" t="n">
        <v>801.88</v>
      </c>
      <c r="M2146" s="3" t="n">
        <v>518.36</v>
      </c>
      <c r="N2146" s="3" t="n">
        <v>283.52</v>
      </c>
      <c r="O2146">
        <f>TEXT(A2146,"yyyy-mm")</f>
        <v/>
      </c>
    </row>
    <row r="2147">
      <c r="A2147" s="2" t="n">
        <v>45865</v>
      </c>
      <c r="B2147" t="n">
        <v>2025</v>
      </c>
      <c r="C2147" t="inlineStr">
        <is>
          <t>July</t>
        </is>
      </c>
      <c r="D2147" t="inlineStr">
        <is>
          <t>Premium Tent</t>
        </is>
      </c>
      <c r="E2147" t="inlineStr">
        <is>
          <t>Sports &amp; Outdoors</t>
        </is>
      </c>
      <c r="F2147" t="inlineStr">
        <is>
          <t>Emily Brown</t>
        </is>
      </c>
      <c r="G2147" t="inlineStr">
        <is>
          <t>United States</t>
        </is>
      </c>
      <c r="H2147" t="inlineStr">
        <is>
          <t>Mobile App</t>
        </is>
      </c>
      <c r="I2147" t="n">
        <v>1</v>
      </c>
      <c r="J2147" s="3" t="n">
        <v>148.79</v>
      </c>
      <c r="K2147" s="3" t="n">
        <v>0</v>
      </c>
      <c r="L2147" s="3" t="n">
        <v>148.79</v>
      </c>
      <c r="M2147" s="3" t="n">
        <v>96.40000000000001</v>
      </c>
      <c r="N2147" s="3" t="n">
        <v>52.39</v>
      </c>
      <c r="O2147">
        <f>TEXT(A2147,"yyyy-mm")</f>
        <v/>
      </c>
    </row>
    <row r="2148">
      <c r="A2148" s="2" t="n">
        <v>45865</v>
      </c>
      <c r="B2148" t="n">
        <v>2025</v>
      </c>
      <c r="C2148" t="inlineStr">
        <is>
          <t>July</t>
        </is>
      </c>
      <c r="D2148" t="inlineStr">
        <is>
          <t>Eco Planter</t>
        </is>
      </c>
      <c r="E2148" t="inlineStr">
        <is>
          <t>Home &amp; Garden</t>
        </is>
      </c>
      <c r="F2148" t="inlineStr">
        <is>
          <t>Emily Brown</t>
        </is>
      </c>
      <c r="G2148" t="inlineStr">
        <is>
          <t>United States</t>
        </is>
      </c>
      <c r="H2148" t="inlineStr">
        <is>
          <t>Mobile App</t>
        </is>
      </c>
      <c r="I2148" t="n">
        <v>4</v>
      </c>
      <c r="J2148" s="3" t="n">
        <v>732.72</v>
      </c>
      <c r="K2148" s="3" t="n">
        <v>0</v>
      </c>
      <c r="L2148" s="3" t="n">
        <v>732.72</v>
      </c>
      <c r="M2148" s="3" t="n">
        <v>449.64</v>
      </c>
      <c r="N2148" s="3" t="n">
        <v>283.08</v>
      </c>
      <c r="O2148">
        <f>TEXT(A2148,"yyyy-mm")</f>
        <v/>
      </c>
    </row>
    <row r="2149">
      <c r="A2149" s="2" t="n">
        <v>45866</v>
      </c>
      <c r="B2149" t="n">
        <v>2025</v>
      </c>
      <c r="C2149" t="inlineStr">
        <is>
          <t>July</t>
        </is>
      </c>
      <c r="D2149" t="inlineStr">
        <is>
          <t>Ultra Rug</t>
        </is>
      </c>
      <c r="E2149" t="inlineStr">
        <is>
          <t>Home &amp; Garden</t>
        </is>
      </c>
      <c r="F2149" t="inlineStr">
        <is>
          <t>Laura Rossi</t>
        </is>
      </c>
      <c r="G2149" t="inlineStr">
        <is>
          <t>United States</t>
        </is>
      </c>
      <c r="H2149" t="inlineStr">
        <is>
          <t>Marketplace</t>
        </is>
      </c>
      <c r="I2149" t="n">
        <v>2</v>
      </c>
      <c r="J2149" s="3" t="n">
        <v>105</v>
      </c>
      <c r="K2149" s="3" t="n">
        <v>5.25</v>
      </c>
      <c r="L2149" s="3" t="n">
        <v>99.75</v>
      </c>
      <c r="M2149" s="3" t="n">
        <v>65.81999999999999</v>
      </c>
      <c r="N2149" s="3" t="n">
        <v>33.93</v>
      </c>
      <c r="O2149">
        <f>TEXT(A2149,"yyyy-mm")</f>
        <v/>
      </c>
    </row>
    <row r="2150">
      <c r="A2150" s="2" t="n">
        <v>45866</v>
      </c>
      <c r="B2150" t="n">
        <v>2025</v>
      </c>
      <c r="C2150" t="inlineStr">
        <is>
          <t>July</t>
        </is>
      </c>
      <c r="D2150" t="inlineStr">
        <is>
          <t>Essential Notebook</t>
        </is>
      </c>
      <c r="E2150" t="inlineStr">
        <is>
          <t>Books</t>
        </is>
      </c>
      <c r="F2150" t="inlineStr">
        <is>
          <t>Laura Rossi</t>
        </is>
      </c>
      <c r="G2150" t="inlineStr">
        <is>
          <t>United States</t>
        </is>
      </c>
      <c r="H2150" t="inlineStr">
        <is>
          <t>Marketplace</t>
        </is>
      </c>
      <c r="I2150" t="n">
        <v>3</v>
      </c>
      <c r="J2150" s="3" t="n">
        <v>339.69</v>
      </c>
      <c r="K2150" s="3" t="n">
        <v>0</v>
      </c>
      <c r="L2150" s="3" t="n">
        <v>339.69</v>
      </c>
      <c r="M2150" s="3" t="n">
        <v>237.3</v>
      </c>
      <c r="N2150" s="3" t="n">
        <v>102.39</v>
      </c>
      <c r="O2150">
        <f>TEXT(A2150,"yyyy-mm")</f>
        <v/>
      </c>
    </row>
    <row r="2151">
      <c r="A2151" s="2" t="n">
        <v>45866</v>
      </c>
      <c r="B2151" t="n">
        <v>2025</v>
      </c>
      <c r="C2151" t="inlineStr">
        <is>
          <t>July</t>
        </is>
      </c>
      <c r="D2151" t="inlineStr">
        <is>
          <t>Smart Sweater</t>
        </is>
      </c>
      <c r="E2151" t="inlineStr">
        <is>
          <t>Clothing</t>
        </is>
      </c>
      <c r="F2151" t="inlineStr">
        <is>
          <t>Laura Rossi</t>
        </is>
      </c>
      <c r="G2151" t="inlineStr">
        <is>
          <t>United States</t>
        </is>
      </c>
      <c r="H2151" t="inlineStr">
        <is>
          <t>Marketplace</t>
        </is>
      </c>
      <c r="I2151" t="n">
        <v>2</v>
      </c>
      <c r="J2151" s="3" t="n">
        <v>284.2</v>
      </c>
      <c r="K2151" s="3" t="n">
        <v>14.21</v>
      </c>
      <c r="L2151" s="3" t="n">
        <v>269.99</v>
      </c>
      <c r="M2151" s="3" t="n">
        <v>154.7</v>
      </c>
      <c r="N2151" s="3" t="n">
        <v>115.29</v>
      </c>
      <c r="O2151">
        <f>TEXT(A2151,"yyyy-mm")</f>
        <v/>
      </c>
    </row>
    <row r="2152">
      <c r="A2152" s="2" t="n">
        <v>45866</v>
      </c>
      <c r="B2152" t="n">
        <v>2025</v>
      </c>
      <c r="C2152" t="inlineStr">
        <is>
          <t>July</t>
        </is>
      </c>
      <c r="D2152" t="inlineStr">
        <is>
          <t>Classic Coffee Beans</t>
        </is>
      </c>
      <c r="E2152" t="inlineStr">
        <is>
          <t>Grocery</t>
        </is>
      </c>
      <c r="F2152" t="inlineStr">
        <is>
          <t>Laura Rossi</t>
        </is>
      </c>
      <c r="G2152" t="inlineStr">
        <is>
          <t>United States</t>
        </is>
      </c>
      <c r="H2152" t="inlineStr">
        <is>
          <t>Marketplace</t>
        </is>
      </c>
      <c r="I2152" t="n">
        <v>5</v>
      </c>
      <c r="J2152" s="3" t="n">
        <v>1616.8</v>
      </c>
      <c r="K2152" s="3" t="n">
        <v>0</v>
      </c>
      <c r="L2152" s="3" t="n">
        <v>1616.8</v>
      </c>
      <c r="M2152" s="3" t="n">
        <v>973.8</v>
      </c>
      <c r="N2152" s="3" t="n">
        <v>643</v>
      </c>
      <c r="O2152">
        <f>TEXT(A2152,"yyyy-mm")</f>
        <v/>
      </c>
    </row>
    <row r="2153">
      <c r="A2153" s="2" t="n">
        <v>45866</v>
      </c>
      <c r="B2153" t="n">
        <v>2025</v>
      </c>
      <c r="C2153" t="inlineStr">
        <is>
          <t>July</t>
        </is>
      </c>
      <c r="D2153" t="inlineStr">
        <is>
          <t>Wireless Coffee Beans</t>
        </is>
      </c>
      <c r="E2153" t="inlineStr">
        <is>
          <t>Grocery</t>
        </is>
      </c>
      <c r="F2153" t="inlineStr">
        <is>
          <t>David Moreau</t>
        </is>
      </c>
      <c r="G2153" t="inlineStr">
        <is>
          <t>Poland</t>
        </is>
      </c>
      <c r="H2153" t="inlineStr">
        <is>
          <t>Mobile App</t>
        </is>
      </c>
      <c r="I2153" t="n">
        <v>3</v>
      </c>
      <c r="J2153" s="3" t="n">
        <v>616.5599999999999</v>
      </c>
      <c r="K2153" s="3" t="n">
        <v>0</v>
      </c>
      <c r="L2153" s="3" t="n">
        <v>616.5599999999999</v>
      </c>
      <c r="M2153" s="3" t="n">
        <v>390.39</v>
      </c>
      <c r="N2153" s="3" t="n">
        <v>226.17</v>
      </c>
      <c r="O2153">
        <f>TEXT(A2153,"yyyy-mm")</f>
        <v/>
      </c>
    </row>
    <row r="2154">
      <c r="A2154" s="2" t="n">
        <v>45866</v>
      </c>
      <c r="B2154" t="n">
        <v>2025</v>
      </c>
      <c r="C2154" t="inlineStr">
        <is>
          <t>July</t>
        </is>
      </c>
      <c r="D2154" t="inlineStr">
        <is>
          <t>Essential Planter</t>
        </is>
      </c>
      <c r="E2154" t="inlineStr">
        <is>
          <t>Home &amp; Garden</t>
        </is>
      </c>
      <c r="F2154" t="inlineStr">
        <is>
          <t>David Moreau</t>
        </is>
      </c>
      <c r="G2154" t="inlineStr">
        <is>
          <t>Poland</t>
        </is>
      </c>
      <c r="H2154" t="inlineStr">
        <is>
          <t>Mobile App</t>
        </is>
      </c>
      <c r="I2154" t="n">
        <v>4</v>
      </c>
      <c r="J2154" s="3" t="n">
        <v>107.2</v>
      </c>
      <c r="K2154" s="3" t="n">
        <v>0</v>
      </c>
      <c r="L2154" s="3" t="n">
        <v>107.2</v>
      </c>
      <c r="M2154" s="3" t="n">
        <v>78.56</v>
      </c>
      <c r="N2154" s="3" t="n">
        <v>28.64</v>
      </c>
      <c r="O2154">
        <f>TEXT(A2154,"yyyy-mm")</f>
        <v/>
      </c>
    </row>
    <row r="2155">
      <c r="A2155" s="2" t="n">
        <v>45866</v>
      </c>
      <c r="B2155" t="n">
        <v>2025</v>
      </c>
      <c r="C2155" t="inlineStr">
        <is>
          <t>July</t>
        </is>
      </c>
      <c r="D2155" t="inlineStr">
        <is>
          <t>Deluxe Toothbrush</t>
        </is>
      </c>
      <c r="E2155" t="inlineStr">
        <is>
          <t>Beauty &amp; Health</t>
        </is>
      </c>
      <c r="F2155" t="inlineStr">
        <is>
          <t>Sophie Wilson</t>
        </is>
      </c>
      <c r="G2155" t="inlineStr">
        <is>
          <t>Germany</t>
        </is>
      </c>
      <c r="H2155" t="inlineStr">
        <is>
          <t>Mobile App</t>
        </is>
      </c>
      <c r="I2155" t="n">
        <v>3</v>
      </c>
      <c r="J2155" s="3" t="n">
        <v>1021.86</v>
      </c>
      <c r="K2155" s="3" t="n">
        <v>204.37</v>
      </c>
      <c r="L2155" s="3" t="n">
        <v>817.49</v>
      </c>
      <c r="M2155" s="3" t="n">
        <v>523.71</v>
      </c>
      <c r="N2155" s="3" t="n">
        <v>293.78</v>
      </c>
      <c r="O2155">
        <f>TEXT(A2155,"yyyy-mm")</f>
        <v/>
      </c>
    </row>
    <row r="2156">
      <c r="A2156" s="2" t="n">
        <v>45866</v>
      </c>
      <c r="B2156" t="n">
        <v>2025</v>
      </c>
      <c r="C2156" t="inlineStr">
        <is>
          <t>July</t>
        </is>
      </c>
      <c r="D2156" t="inlineStr">
        <is>
          <t>Smart Camera</t>
        </is>
      </c>
      <c r="E2156" t="inlineStr">
        <is>
          <t>Electronics</t>
        </is>
      </c>
      <c r="F2156" t="inlineStr">
        <is>
          <t>Sophie Wilson</t>
        </is>
      </c>
      <c r="G2156" t="inlineStr">
        <is>
          <t>Germany</t>
        </is>
      </c>
      <c r="H2156" t="inlineStr">
        <is>
          <t>Mobile App</t>
        </is>
      </c>
      <c r="I2156" t="n">
        <v>2</v>
      </c>
      <c r="J2156" s="3" t="n">
        <v>605.6799999999999</v>
      </c>
      <c r="K2156" s="3" t="n">
        <v>0</v>
      </c>
      <c r="L2156" s="3" t="n">
        <v>605.6799999999999</v>
      </c>
      <c r="M2156" s="3" t="n">
        <v>334.8</v>
      </c>
      <c r="N2156" s="3" t="n">
        <v>270.88</v>
      </c>
      <c r="O2156">
        <f>TEXT(A2156,"yyyy-mm")</f>
        <v/>
      </c>
    </row>
    <row r="2157">
      <c r="A2157" s="2" t="n">
        <v>45866</v>
      </c>
      <c r="B2157" t="n">
        <v>2025</v>
      </c>
      <c r="C2157" t="inlineStr">
        <is>
          <t>July</t>
        </is>
      </c>
      <c r="D2157" t="inlineStr">
        <is>
          <t>Essential Vitamins</t>
        </is>
      </c>
      <c r="E2157" t="inlineStr">
        <is>
          <t>Beauty &amp; Health</t>
        </is>
      </c>
      <c r="F2157" t="inlineStr">
        <is>
          <t>Sophie Wilson</t>
        </is>
      </c>
      <c r="G2157" t="inlineStr">
        <is>
          <t>Germany</t>
        </is>
      </c>
      <c r="H2157" t="inlineStr">
        <is>
          <t>Mobile App</t>
        </is>
      </c>
      <c r="I2157" t="n">
        <v>1</v>
      </c>
      <c r="J2157" s="3" t="n">
        <v>178.11</v>
      </c>
      <c r="K2157" s="3" t="n">
        <v>26.72</v>
      </c>
      <c r="L2157" s="3" t="n">
        <v>151.39</v>
      </c>
      <c r="M2157" s="3" t="n">
        <v>110.3</v>
      </c>
      <c r="N2157" s="3" t="n">
        <v>41.09</v>
      </c>
      <c r="O2157">
        <f>TEXT(A2157,"yyyy-mm")</f>
        <v/>
      </c>
    </row>
    <row r="2158">
      <c r="A2158" s="2" t="n">
        <v>45867</v>
      </c>
      <c r="B2158" t="n">
        <v>2025</v>
      </c>
      <c r="C2158" t="inlineStr">
        <is>
          <t>July</t>
        </is>
      </c>
      <c r="D2158" t="inlineStr">
        <is>
          <t>Premium Water Bottle</t>
        </is>
      </c>
      <c r="E2158" t="inlineStr">
        <is>
          <t>Sports &amp; Outdoors</t>
        </is>
      </c>
      <c r="F2158" t="inlineStr">
        <is>
          <t>Paul Muller</t>
        </is>
      </c>
      <c r="G2158" t="inlineStr">
        <is>
          <t>United States</t>
        </is>
      </c>
      <c r="H2158" t="inlineStr">
        <is>
          <t>Retail Store</t>
        </is>
      </c>
      <c r="I2158" t="n">
        <v>2</v>
      </c>
      <c r="J2158" s="3" t="n">
        <v>245.22</v>
      </c>
      <c r="K2158" s="3" t="n">
        <v>12.26</v>
      </c>
      <c r="L2158" s="3" t="n">
        <v>232.96</v>
      </c>
      <c r="M2158" s="3" t="n">
        <v>179.24</v>
      </c>
      <c r="N2158" s="3" t="n">
        <v>53.72</v>
      </c>
      <c r="O2158">
        <f>TEXT(A2158,"yyyy-mm")</f>
        <v/>
      </c>
    </row>
    <row r="2159">
      <c r="A2159" s="2" t="n">
        <v>45867</v>
      </c>
      <c r="B2159" t="n">
        <v>2025</v>
      </c>
      <c r="C2159" t="inlineStr">
        <is>
          <t>July</t>
        </is>
      </c>
      <c r="D2159" t="inlineStr">
        <is>
          <t>Smart Charger</t>
        </is>
      </c>
      <c r="E2159" t="inlineStr">
        <is>
          <t>Electronics</t>
        </is>
      </c>
      <c r="F2159" t="inlineStr">
        <is>
          <t>Paul Muller</t>
        </is>
      </c>
      <c r="G2159" t="inlineStr">
        <is>
          <t>United States</t>
        </is>
      </c>
      <c r="H2159" t="inlineStr">
        <is>
          <t>Retail Store</t>
        </is>
      </c>
      <c r="I2159" t="n">
        <v>3</v>
      </c>
      <c r="J2159" s="3" t="n">
        <v>124.2</v>
      </c>
      <c r="K2159" s="3" t="n">
        <v>24.84</v>
      </c>
      <c r="L2159" s="3" t="n">
        <v>99.36</v>
      </c>
      <c r="M2159" s="3" t="n">
        <v>82.92</v>
      </c>
      <c r="N2159" s="3" t="n">
        <v>16.44</v>
      </c>
      <c r="O2159">
        <f>TEXT(A2159,"yyyy-mm")</f>
        <v/>
      </c>
    </row>
    <row r="2160">
      <c r="A2160" s="2" t="n">
        <v>45867</v>
      </c>
      <c r="B2160" t="n">
        <v>2025</v>
      </c>
      <c r="C2160" t="inlineStr">
        <is>
          <t>July</t>
        </is>
      </c>
      <c r="D2160" t="inlineStr">
        <is>
          <t>Portable Tea Set</t>
        </is>
      </c>
      <c r="E2160" t="inlineStr">
        <is>
          <t>Grocery</t>
        </is>
      </c>
      <c r="F2160" t="inlineStr">
        <is>
          <t>Paul Muller</t>
        </is>
      </c>
      <c r="G2160" t="inlineStr">
        <is>
          <t>United States</t>
        </is>
      </c>
      <c r="H2160" t="inlineStr">
        <is>
          <t>Retail Store</t>
        </is>
      </c>
      <c r="I2160" t="n">
        <v>1</v>
      </c>
      <c r="J2160" s="3" t="n">
        <v>263.59</v>
      </c>
      <c r="K2160" s="3" t="n">
        <v>39.54</v>
      </c>
      <c r="L2160" s="3" t="n">
        <v>224.05</v>
      </c>
      <c r="M2160" s="3" t="n">
        <v>188.12</v>
      </c>
      <c r="N2160" s="3" t="n">
        <v>35.93</v>
      </c>
      <c r="O2160">
        <f>TEXT(A2160,"yyyy-mm")</f>
        <v/>
      </c>
    </row>
    <row r="2161">
      <c r="A2161" s="2" t="n">
        <v>45867</v>
      </c>
      <c r="B2161" t="n">
        <v>2025</v>
      </c>
      <c r="C2161" t="inlineStr">
        <is>
          <t>July</t>
        </is>
      </c>
      <c r="D2161" t="inlineStr">
        <is>
          <t>Essential Lamp</t>
        </is>
      </c>
      <c r="E2161" t="inlineStr">
        <is>
          <t>Home &amp; Garden</t>
        </is>
      </c>
      <c r="F2161" t="inlineStr">
        <is>
          <t>David Nowak</t>
        </is>
      </c>
      <c r="G2161" t="inlineStr">
        <is>
          <t>Spain</t>
        </is>
      </c>
      <c r="H2161" t="inlineStr">
        <is>
          <t>Web Store</t>
        </is>
      </c>
      <c r="I2161" t="n">
        <v>5</v>
      </c>
      <c r="J2161" s="3" t="n">
        <v>321.1</v>
      </c>
      <c r="K2161" s="3" t="n">
        <v>16.06</v>
      </c>
      <c r="L2161" s="3" t="n">
        <v>305.04</v>
      </c>
      <c r="M2161" s="3" t="n">
        <v>227</v>
      </c>
      <c r="N2161" s="3" t="n">
        <v>78.05</v>
      </c>
      <c r="O2161">
        <f>TEXT(A2161,"yyyy-mm")</f>
        <v/>
      </c>
    </row>
    <row r="2162">
      <c r="A2162" s="2" t="n">
        <v>45867</v>
      </c>
      <c r="B2162" t="n">
        <v>2025</v>
      </c>
      <c r="C2162" t="inlineStr">
        <is>
          <t>July</t>
        </is>
      </c>
      <c r="D2162" t="inlineStr">
        <is>
          <t>Eco Planter</t>
        </is>
      </c>
      <c r="E2162" t="inlineStr">
        <is>
          <t>Home &amp; Garden</t>
        </is>
      </c>
      <c r="F2162" t="inlineStr">
        <is>
          <t>David Nowak</t>
        </is>
      </c>
      <c r="G2162" t="inlineStr">
        <is>
          <t>Spain</t>
        </is>
      </c>
      <c r="H2162" t="inlineStr">
        <is>
          <t>Web Store</t>
        </is>
      </c>
      <c r="I2162" t="n">
        <v>1</v>
      </c>
      <c r="J2162" s="3" t="n">
        <v>178.47</v>
      </c>
      <c r="K2162" s="3" t="n">
        <v>0</v>
      </c>
      <c r="L2162" s="3" t="n">
        <v>178.47</v>
      </c>
      <c r="M2162" s="3" t="n">
        <v>112.41</v>
      </c>
      <c r="N2162" s="3" t="n">
        <v>66.06</v>
      </c>
      <c r="O2162">
        <f>TEXT(A2162,"yyyy-mm")</f>
        <v/>
      </c>
    </row>
    <row r="2163">
      <c r="A2163" s="2" t="n">
        <v>45867</v>
      </c>
      <c r="B2163" t="n">
        <v>2025</v>
      </c>
      <c r="C2163" t="inlineStr">
        <is>
          <t>July</t>
        </is>
      </c>
      <c r="D2163" t="inlineStr">
        <is>
          <t>Eco Biography</t>
        </is>
      </c>
      <c r="E2163" t="inlineStr">
        <is>
          <t>Books</t>
        </is>
      </c>
      <c r="F2163" t="inlineStr">
        <is>
          <t>Emma Rossi</t>
        </is>
      </c>
      <c r="G2163" t="inlineStr">
        <is>
          <t>France</t>
        </is>
      </c>
      <c r="H2163" t="inlineStr">
        <is>
          <t>Retail Store</t>
        </is>
      </c>
      <c r="I2163" t="n">
        <v>2</v>
      </c>
      <c r="J2163" s="3" t="n">
        <v>241.98</v>
      </c>
      <c r="K2163" s="3" t="n">
        <v>0</v>
      </c>
      <c r="L2163" s="3" t="n">
        <v>241.98</v>
      </c>
      <c r="M2163" s="3" t="n">
        <v>142.04</v>
      </c>
      <c r="N2163" s="3" t="n">
        <v>99.94</v>
      </c>
      <c r="O2163">
        <f>TEXT(A2163,"yyyy-mm")</f>
        <v/>
      </c>
    </row>
    <row r="2164">
      <c r="A2164" s="2" t="n">
        <v>45867</v>
      </c>
      <c r="B2164" t="n">
        <v>2025</v>
      </c>
      <c r="C2164" t="inlineStr">
        <is>
          <t>July</t>
        </is>
      </c>
      <c r="D2164" t="inlineStr">
        <is>
          <t>Smart Camera</t>
        </is>
      </c>
      <c r="E2164" t="inlineStr">
        <is>
          <t>Electronics</t>
        </is>
      </c>
      <c r="F2164" t="inlineStr">
        <is>
          <t>Emma Rossi</t>
        </is>
      </c>
      <c r="G2164" t="inlineStr">
        <is>
          <t>France</t>
        </is>
      </c>
      <c r="H2164" t="inlineStr">
        <is>
          <t>Retail Store</t>
        </is>
      </c>
      <c r="I2164" t="n">
        <v>5</v>
      </c>
      <c r="J2164" s="3" t="n">
        <v>627.4</v>
      </c>
      <c r="K2164" s="3" t="n">
        <v>0</v>
      </c>
      <c r="L2164" s="3" t="n">
        <v>627.4</v>
      </c>
      <c r="M2164" s="3" t="n">
        <v>427.9</v>
      </c>
      <c r="N2164" s="3" t="n">
        <v>199.5</v>
      </c>
      <c r="O2164">
        <f>TEXT(A2164,"yyyy-mm")</f>
        <v/>
      </c>
    </row>
    <row r="2165">
      <c r="A2165" s="2" t="n">
        <v>45867</v>
      </c>
      <c r="B2165" t="n">
        <v>2025</v>
      </c>
      <c r="C2165" t="inlineStr">
        <is>
          <t>July</t>
        </is>
      </c>
      <c r="D2165" t="inlineStr">
        <is>
          <t>Smart Coffee Beans</t>
        </is>
      </c>
      <c r="E2165" t="inlineStr">
        <is>
          <t>Grocery</t>
        </is>
      </c>
      <c r="F2165" t="inlineStr">
        <is>
          <t>Emma Rossi</t>
        </is>
      </c>
      <c r="G2165" t="inlineStr">
        <is>
          <t>France</t>
        </is>
      </c>
      <c r="H2165" t="inlineStr">
        <is>
          <t>Retail Store</t>
        </is>
      </c>
      <c r="I2165" t="n">
        <v>1</v>
      </c>
      <c r="J2165" s="3" t="n">
        <v>107.6</v>
      </c>
      <c r="K2165" s="3" t="n">
        <v>0</v>
      </c>
      <c r="L2165" s="3" t="n">
        <v>107.6</v>
      </c>
      <c r="M2165" s="3" t="n">
        <v>72.84999999999999</v>
      </c>
      <c r="N2165" s="3" t="n">
        <v>34.75</v>
      </c>
      <c r="O2165">
        <f>TEXT(A2165,"yyyy-mm")</f>
        <v/>
      </c>
    </row>
    <row r="2166">
      <c r="A2166" s="2" t="n">
        <v>45867</v>
      </c>
      <c r="B2166" t="n">
        <v>2025</v>
      </c>
      <c r="C2166" t="inlineStr">
        <is>
          <t>July</t>
        </is>
      </c>
      <c r="D2166" t="inlineStr">
        <is>
          <t>Ultra Vitamins</t>
        </is>
      </c>
      <c r="E2166" t="inlineStr">
        <is>
          <t>Beauty &amp; Health</t>
        </is>
      </c>
      <c r="F2166" t="inlineStr">
        <is>
          <t>Emma Rossi</t>
        </is>
      </c>
      <c r="G2166" t="inlineStr">
        <is>
          <t>France</t>
        </is>
      </c>
      <c r="H2166" t="inlineStr">
        <is>
          <t>Retail Store</t>
        </is>
      </c>
      <c r="I2166" t="n">
        <v>1</v>
      </c>
      <c r="J2166" s="3" t="n">
        <v>205.59</v>
      </c>
      <c r="K2166" s="3" t="n">
        <v>10.28</v>
      </c>
      <c r="L2166" s="3" t="n">
        <v>195.31</v>
      </c>
      <c r="M2166" s="3" t="n">
        <v>126.1</v>
      </c>
      <c r="N2166" s="3" t="n">
        <v>69.20999999999999</v>
      </c>
      <c r="O2166">
        <f>TEXT(A2166,"yyyy-mm")</f>
        <v/>
      </c>
    </row>
    <row r="2167">
      <c r="A2167" s="2" t="n">
        <v>45867</v>
      </c>
      <c r="B2167" t="n">
        <v>2025</v>
      </c>
      <c r="C2167" t="inlineStr">
        <is>
          <t>July</t>
        </is>
      </c>
      <c r="D2167" t="inlineStr">
        <is>
          <t>Essential Lamp</t>
        </is>
      </c>
      <c r="E2167" t="inlineStr">
        <is>
          <t>Home &amp; Garden</t>
        </is>
      </c>
      <c r="F2167" t="inlineStr">
        <is>
          <t>Sophie Garcia</t>
        </is>
      </c>
      <c r="G2167" t="inlineStr">
        <is>
          <t>France</t>
        </is>
      </c>
      <c r="H2167" t="inlineStr">
        <is>
          <t>Retail Store</t>
        </is>
      </c>
      <c r="I2167" t="n">
        <v>4</v>
      </c>
      <c r="J2167" s="3" t="n">
        <v>256.36</v>
      </c>
      <c r="K2167" s="3" t="n">
        <v>38.45</v>
      </c>
      <c r="L2167" s="3" t="n">
        <v>217.91</v>
      </c>
      <c r="M2167" s="3" t="n">
        <v>181.6</v>
      </c>
      <c r="N2167" s="3" t="n">
        <v>36.31</v>
      </c>
      <c r="O2167">
        <f>TEXT(A2167,"yyyy-mm")</f>
        <v/>
      </c>
    </row>
    <row r="2168">
      <c r="A2168" s="2" t="n">
        <v>45867</v>
      </c>
      <c r="B2168" t="n">
        <v>2025</v>
      </c>
      <c r="C2168" t="inlineStr">
        <is>
          <t>July</t>
        </is>
      </c>
      <c r="D2168" t="inlineStr">
        <is>
          <t>Smart Cookbook</t>
        </is>
      </c>
      <c r="E2168" t="inlineStr">
        <is>
          <t>Books</t>
        </is>
      </c>
      <c r="F2168" t="inlineStr">
        <is>
          <t>Sophie Garcia</t>
        </is>
      </c>
      <c r="G2168" t="inlineStr">
        <is>
          <t>France</t>
        </is>
      </c>
      <c r="H2168" t="inlineStr">
        <is>
          <t>Retail Store</t>
        </is>
      </c>
      <c r="I2168" t="n">
        <v>5</v>
      </c>
      <c r="J2168" s="3" t="n">
        <v>93.25</v>
      </c>
      <c r="K2168" s="3" t="n">
        <v>0</v>
      </c>
      <c r="L2168" s="3" t="n">
        <v>93.25</v>
      </c>
      <c r="M2168" s="3" t="n">
        <v>49.4</v>
      </c>
      <c r="N2168" s="3" t="n">
        <v>43.85</v>
      </c>
      <c r="O2168">
        <f>TEXT(A2168,"yyyy-mm")</f>
        <v/>
      </c>
    </row>
    <row r="2169">
      <c r="A2169" s="2" t="n">
        <v>45868</v>
      </c>
      <c r="B2169" t="n">
        <v>2025</v>
      </c>
      <c r="C2169" t="inlineStr">
        <is>
          <t>July</t>
        </is>
      </c>
      <c r="D2169" t="inlineStr">
        <is>
          <t>Classic Tent</t>
        </is>
      </c>
      <c r="E2169" t="inlineStr">
        <is>
          <t>Sports &amp; Outdoors</t>
        </is>
      </c>
      <c r="F2169" t="inlineStr">
        <is>
          <t>John Lopez</t>
        </is>
      </c>
      <c r="G2169" t="inlineStr">
        <is>
          <t>Germany</t>
        </is>
      </c>
      <c r="H2169" t="inlineStr">
        <is>
          <t>Web Store</t>
        </is>
      </c>
      <c r="I2169" t="n">
        <v>5</v>
      </c>
      <c r="J2169" s="3" t="n">
        <v>1061.2</v>
      </c>
      <c r="K2169" s="3" t="n">
        <v>106.12</v>
      </c>
      <c r="L2169" s="3" t="n">
        <v>955.08</v>
      </c>
      <c r="M2169" s="3" t="n">
        <v>590.1</v>
      </c>
      <c r="N2169" s="3" t="n">
        <v>364.98</v>
      </c>
      <c r="O2169">
        <f>TEXT(A2169,"yyyy-mm")</f>
        <v/>
      </c>
    </row>
    <row r="2170">
      <c r="A2170" s="2" t="n">
        <v>45868</v>
      </c>
      <c r="B2170" t="n">
        <v>2025</v>
      </c>
      <c r="C2170" t="inlineStr">
        <is>
          <t>July</t>
        </is>
      </c>
      <c r="D2170" t="inlineStr">
        <is>
          <t>Essential Lamp</t>
        </is>
      </c>
      <c r="E2170" t="inlineStr">
        <is>
          <t>Home &amp; Garden</t>
        </is>
      </c>
      <c r="F2170" t="inlineStr">
        <is>
          <t>John Lopez</t>
        </is>
      </c>
      <c r="G2170" t="inlineStr">
        <is>
          <t>Germany</t>
        </is>
      </c>
      <c r="H2170" t="inlineStr">
        <is>
          <t>Web Store</t>
        </is>
      </c>
      <c r="I2170" t="n">
        <v>2</v>
      </c>
      <c r="J2170" s="3" t="n">
        <v>128.94</v>
      </c>
      <c r="K2170" s="3" t="n">
        <v>12.89</v>
      </c>
      <c r="L2170" s="3" t="n">
        <v>116.05</v>
      </c>
      <c r="M2170" s="3" t="n">
        <v>90.8</v>
      </c>
      <c r="N2170" s="3" t="n">
        <v>25.25</v>
      </c>
      <c r="O2170">
        <f>TEXT(A2170,"yyyy-mm")</f>
        <v/>
      </c>
    </row>
    <row r="2171">
      <c r="A2171" s="2" t="n">
        <v>45868</v>
      </c>
      <c r="B2171" t="n">
        <v>2025</v>
      </c>
      <c r="C2171" t="inlineStr">
        <is>
          <t>July</t>
        </is>
      </c>
      <c r="D2171" t="inlineStr">
        <is>
          <t>Deluxe Scarf</t>
        </is>
      </c>
      <c r="E2171" t="inlineStr">
        <is>
          <t>Clothing</t>
        </is>
      </c>
      <c r="F2171" t="inlineStr">
        <is>
          <t>John Lopez</t>
        </is>
      </c>
      <c r="G2171" t="inlineStr">
        <is>
          <t>Germany</t>
        </is>
      </c>
      <c r="H2171" t="inlineStr">
        <is>
          <t>Web Store</t>
        </is>
      </c>
      <c r="I2171" t="n">
        <v>4</v>
      </c>
      <c r="J2171" s="3" t="n">
        <v>792.6</v>
      </c>
      <c r="K2171" s="3" t="n">
        <v>0</v>
      </c>
      <c r="L2171" s="3" t="n">
        <v>792.6</v>
      </c>
      <c r="M2171" s="3" t="n">
        <v>434.08</v>
      </c>
      <c r="N2171" s="3" t="n">
        <v>358.52</v>
      </c>
      <c r="O2171">
        <f>TEXT(A2171,"yyyy-mm")</f>
        <v/>
      </c>
    </row>
    <row r="2172">
      <c r="A2172" s="2" t="n">
        <v>45869</v>
      </c>
      <c r="B2172" t="n">
        <v>2025</v>
      </c>
      <c r="C2172" t="inlineStr">
        <is>
          <t>July</t>
        </is>
      </c>
      <c r="D2172" t="inlineStr">
        <is>
          <t>Wireless Honey</t>
        </is>
      </c>
      <c r="E2172" t="inlineStr">
        <is>
          <t>Grocery</t>
        </is>
      </c>
      <c r="F2172" t="inlineStr">
        <is>
          <t>Anna Moreau</t>
        </is>
      </c>
      <c r="G2172" t="inlineStr">
        <is>
          <t>Germany</t>
        </is>
      </c>
      <c r="H2172" t="inlineStr">
        <is>
          <t>Retail Store</t>
        </is>
      </c>
      <c r="I2172" t="n">
        <v>4</v>
      </c>
      <c r="J2172" s="3" t="n">
        <v>499.92</v>
      </c>
      <c r="K2172" s="3" t="n">
        <v>49.99</v>
      </c>
      <c r="L2172" s="3" t="n">
        <v>449.93</v>
      </c>
      <c r="M2172" s="3" t="n">
        <v>376.28</v>
      </c>
      <c r="N2172" s="3" t="n">
        <v>73.65000000000001</v>
      </c>
      <c r="O2172">
        <f>TEXT(A2172,"yyyy-mm")</f>
        <v/>
      </c>
    </row>
    <row r="2173">
      <c r="A2173" s="2" t="n">
        <v>45869</v>
      </c>
      <c r="B2173" t="n">
        <v>2025</v>
      </c>
      <c r="C2173" t="inlineStr">
        <is>
          <t>July</t>
        </is>
      </c>
      <c r="D2173" t="inlineStr">
        <is>
          <t>Premium Water Bottle</t>
        </is>
      </c>
      <c r="E2173" t="inlineStr">
        <is>
          <t>Sports &amp; Outdoors</t>
        </is>
      </c>
      <c r="F2173" t="inlineStr">
        <is>
          <t>Anna Moreau</t>
        </is>
      </c>
      <c r="G2173" t="inlineStr">
        <is>
          <t>Germany</t>
        </is>
      </c>
      <c r="H2173" t="inlineStr">
        <is>
          <t>Retail Store</t>
        </is>
      </c>
      <c r="I2173" t="n">
        <v>5</v>
      </c>
      <c r="J2173" s="3" t="n">
        <v>620.6</v>
      </c>
      <c r="K2173" s="3" t="n">
        <v>0</v>
      </c>
      <c r="L2173" s="3" t="n">
        <v>620.6</v>
      </c>
      <c r="M2173" s="3" t="n">
        <v>448.1</v>
      </c>
      <c r="N2173" s="3" t="n">
        <v>172.5</v>
      </c>
      <c r="O2173">
        <f>TEXT(A2173,"yyyy-mm")</f>
        <v/>
      </c>
    </row>
    <row r="2174">
      <c r="A2174" s="2" t="n">
        <v>45869</v>
      </c>
      <c r="B2174" t="n">
        <v>2025</v>
      </c>
      <c r="C2174" t="inlineStr">
        <is>
          <t>July</t>
        </is>
      </c>
      <c r="D2174" t="inlineStr">
        <is>
          <t>Classic Sunscreen</t>
        </is>
      </c>
      <c r="E2174" t="inlineStr">
        <is>
          <t>Beauty &amp; Health</t>
        </is>
      </c>
      <c r="F2174" t="inlineStr">
        <is>
          <t>Sophie Muller</t>
        </is>
      </c>
      <c r="G2174" t="inlineStr">
        <is>
          <t>United States</t>
        </is>
      </c>
      <c r="H2174" t="inlineStr">
        <is>
          <t>Retail Store</t>
        </is>
      </c>
      <c r="I2174" t="n">
        <v>4</v>
      </c>
      <c r="J2174" s="3" t="n">
        <v>572.04</v>
      </c>
      <c r="K2174" s="3" t="n">
        <v>114.41</v>
      </c>
      <c r="L2174" s="3" t="n">
        <v>457.63</v>
      </c>
      <c r="M2174" s="3" t="n">
        <v>374.76</v>
      </c>
      <c r="N2174" s="3" t="n">
        <v>82.87</v>
      </c>
      <c r="O2174">
        <f>TEXT(A2174,"yyyy-mm")</f>
        <v/>
      </c>
    </row>
    <row r="2175">
      <c r="A2175" s="2" t="n">
        <v>45869</v>
      </c>
      <c r="B2175" t="n">
        <v>2025</v>
      </c>
      <c r="C2175" t="inlineStr">
        <is>
          <t>July</t>
        </is>
      </c>
      <c r="D2175" t="inlineStr">
        <is>
          <t>Eco Planter</t>
        </is>
      </c>
      <c r="E2175" t="inlineStr">
        <is>
          <t>Home &amp; Garden</t>
        </is>
      </c>
      <c r="F2175" t="inlineStr">
        <is>
          <t>Sophie Muller</t>
        </is>
      </c>
      <c r="G2175" t="inlineStr">
        <is>
          <t>United States</t>
        </is>
      </c>
      <c r="H2175" t="inlineStr">
        <is>
          <t>Retail Store</t>
        </is>
      </c>
      <c r="I2175" t="n">
        <v>2</v>
      </c>
      <c r="J2175" s="3" t="n">
        <v>379.4</v>
      </c>
      <c r="K2175" s="3" t="n">
        <v>75.88</v>
      </c>
      <c r="L2175" s="3" t="n">
        <v>303.52</v>
      </c>
      <c r="M2175" s="3" t="n">
        <v>224.82</v>
      </c>
      <c r="N2175" s="3" t="n">
        <v>78.7</v>
      </c>
      <c r="O2175">
        <f>TEXT(A2175,"yyyy-mm")</f>
        <v/>
      </c>
    </row>
    <row r="2176">
      <c r="A2176" s="2" t="n">
        <v>45869</v>
      </c>
      <c r="B2176" t="n">
        <v>2025</v>
      </c>
      <c r="C2176" t="inlineStr">
        <is>
          <t>July</t>
        </is>
      </c>
      <c r="D2176" t="inlineStr">
        <is>
          <t>Smart Sweater</t>
        </is>
      </c>
      <c r="E2176" t="inlineStr">
        <is>
          <t>Clothing</t>
        </is>
      </c>
      <c r="F2176" t="inlineStr">
        <is>
          <t>Sophie Muller</t>
        </is>
      </c>
      <c r="G2176" t="inlineStr">
        <is>
          <t>United States</t>
        </is>
      </c>
      <c r="H2176" t="inlineStr">
        <is>
          <t>Retail Store</t>
        </is>
      </c>
      <c r="I2176" t="n">
        <v>1</v>
      </c>
      <c r="J2176" s="3" t="n">
        <v>142.22</v>
      </c>
      <c r="K2176" s="3" t="n">
        <v>14.22</v>
      </c>
      <c r="L2176" s="3" t="n">
        <v>128</v>
      </c>
      <c r="M2176" s="3" t="n">
        <v>77.34999999999999</v>
      </c>
      <c r="N2176" s="3" t="n">
        <v>50.65</v>
      </c>
      <c r="O2176">
        <f>TEXT(A2176,"yyyy-mm")</f>
        <v/>
      </c>
    </row>
    <row r="2177">
      <c r="A2177" s="2" t="n">
        <v>45869</v>
      </c>
      <c r="B2177" t="n">
        <v>2025</v>
      </c>
      <c r="C2177" t="inlineStr">
        <is>
          <t>July</t>
        </is>
      </c>
      <c r="D2177" t="inlineStr">
        <is>
          <t>Smart Olive Oil</t>
        </is>
      </c>
      <c r="E2177" t="inlineStr">
        <is>
          <t>Grocery</t>
        </is>
      </c>
      <c r="F2177" t="inlineStr">
        <is>
          <t>Sophie Muller</t>
        </is>
      </c>
      <c r="G2177" t="inlineStr">
        <is>
          <t>United States</t>
        </is>
      </c>
      <c r="H2177" t="inlineStr">
        <is>
          <t>Retail Store</t>
        </is>
      </c>
      <c r="I2177" t="n">
        <v>5</v>
      </c>
      <c r="J2177" s="3" t="n">
        <v>841.35</v>
      </c>
      <c r="K2177" s="3" t="n">
        <v>126.2</v>
      </c>
      <c r="L2177" s="3" t="n">
        <v>715.15</v>
      </c>
      <c r="M2177" s="3" t="n">
        <v>550.1</v>
      </c>
      <c r="N2177" s="3" t="n">
        <v>165.05</v>
      </c>
      <c r="O2177">
        <f>TEXT(A2177,"yyyy-mm")</f>
        <v/>
      </c>
    </row>
    <row r="2178">
      <c r="A2178" s="2" t="n">
        <v>45870</v>
      </c>
      <c r="B2178" t="n">
        <v>2025</v>
      </c>
      <c r="C2178" t="inlineStr">
        <is>
          <t>August</t>
        </is>
      </c>
      <c r="D2178" t="inlineStr">
        <is>
          <t>Smart Camera</t>
        </is>
      </c>
      <c r="E2178" t="inlineStr">
        <is>
          <t>Electronics</t>
        </is>
      </c>
      <c r="F2178" t="inlineStr">
        <is>
          <t>Sophie Wilson</t>
        </is>
      </c>
      <c r="G2178" t="inlineStr">
        <is>
          <t>Germany</t>
        </is>
      </c>
      <c r="H2178" t="inlineStr">
        <is>
          <t>Mobile App</t>
        </is>
      </c>
      <c r="I2178" t="n">
        <v>5</v>
      </c>
      <c r="J2178" s="3" t="n">
        <v>631.95</v>
      </c>
      <c r="K2178" s="3" t="n">
        <v>63.2</v>
      </c>
      <c r="L2178" s="3" t="n">
        <v>568.76</v>
      </c>
      <c r="M2178" s="3" t="n">
        <v>427.9</v>
      </c>
      <c r="N2178" s="3" t="n">
        <v>140.86</v>
      </c>
      <c r="O2178">
        <f>TEXT(A2178,"yyyy-mm")</f>
        <v/>
      </c>
    </row>
    <row r="2179">
      <c r="A2179" s="2" t="n">
        <v>45870</v>
      </c>
      <c r="B2179" t="n">
        <v>2025</v>
      </c>
      <c r="C2179" t="inlineStr">
        <is>
          <t>August</t>
        </is>
      </c>
      <c r="D2179" t="inlineStr">
        <is>
          <t>Deluxe Cookbook</t>
        </is>
      </c>
      <c r="E2179" t="inlineStr">
        <is>
          <t>Books</t>
        </is>
      </c>
      <c r="F2179" t="inlineStr">
        <is>
          <t>Sophie Wilson</t>
        </is>
      </c>
      <c r="G2179" t="inlineStr">
        <is>
          <t>Germany</t>
        </is>
      </c>
      <c r="H2179" t="inlineStr">
        <is>
          <t>Mobile App</t>
        </is>
      </c>
      <c r="I2179" t="n">
        <v>2</v>
      </c>
      <c r="J2179" s="3" t="n">
        <v>278.96</v>
      </c>
      <c r="K2179" s="3" t="n">
        <v>0</v>
      </c>
      <c r="L2179" s="3" t="n">
        <v>278.96</v>
      </c>
      <c r="M2179" s="3" t="n">
        <v>170.54</v>
      </c>
      <c r="N2179" s="3" t="n">
        <v>108.42</v>
      </c>
      <c r="O2179">
        <f>TEXT(A2179,"yyyy-mm")</f>
        <v/>
      </c>
    </row>
    <row r="2180">
      <c r="A2180" s="2" t="n">
        <v>45870</v>
      </c>
      <c r="B2180" t="n">
        <v>2025</v>
      </c>
      <c r="C2180" t="inlineStr">
        <is>
          <t>August</t>
        </is>
      </c>
      <c r="D2180" t="inlineStr">
        <is>
          <t>Premium Water Bottle</t>
        </is>
      </c>
      <c r="E2180" t="inlineStr">
        <is>
          <t>Sports &amp; Outdoors</t>
        </is>
      </c>
      <c r="F2180" t="inlineStr">
        <is>
          <t>Peter Schmidt</t>
        </is>
      </c>
      <c r="G2180" t="inlineStr">
        <is>
          <t>France</t>
        </is>
      </c>
      <c r="H2180" t="inlineStr">
        <is>
          <t>Marketplace</t>
        </is>
      </c>
      <c r="I2180" t="n">
        <v>4</v>
      </c>
      <c r="J2180" s="3" t="n">
        <v>1182.16</v>
      </c>
      <c r="K2180" s="3" t="n">
        <v>236.43</v>
      </c>
      <c r="L2180" s="3" t="n">
        <v>945.73</v>
      </c>
      <c r="M2180" s="3" t="n">
        <v>724.64</v>
      </c>
      <c r="N2180" s="3" t="n">
        <v>221.09</v>
      </c>
      <c r="O2180">
        <f>TEXT(A2180,"yyyy-mm")</f>
        <v/>
      </c>
    </row>
    <row r="2181">
      <c r="A2181" s="2" t="n">
        <v>45870</v>
      </c>
      <c r="B2181" t="n">
        <v>2025</v>
      </c>
      <c r="C2181" t="inlineStr">
        <is>
          <t>August</t>
        </is>
      </c>
      <c r="D2181" t="inlineStr">
        <is>
          <t>Deluxe Toolset</t>
        </is>
      </c>
      <c r="E2181" t="inlineStr">
        <is>
          <t>Home &amp; Garden</t>
        </is>
      </c>
      <c r="F2181" t="inlineStr">
        <is>
          <t>Peter Schmidt</t>
        </is>
      </c>
      <c r="G2181" t="inlineStr">
        <is>
          <t>France</t>
        </is>
      </c>
      <c r="H2181" t="inlineStr">
        <is>
          <t>Marketplace</t>
        </is>
      </c>
      <c r="I2181" t="n">
        <v>5</v>
      </c>
      <c r="J2181" s="3" t="n">
        <v>332.9</v>
      </c>
      <c r="K2181" s="3" t="n">
        <v>49.93</v>
      </c>
      <c r="L2181" s="3" t="n">
        <v>282.96</v>
      </c>
      <c r="M2181" s="3" t="n">
        <v>238.55</v>
      </c>
      <c r="N2181" s="3" t="n">
        <v>44.41</v>
      </c>
      <c r="O2181">
        <f>TEXT(A2181,"yyyy-mm")</f>
        <v/>
      </c>
    </row>
    <row r="2182">
      <c r="A2182" s="2" t="n">
        <v>45870</v>
      </c>
      <c r="B2182" t="n">
        <v>2025</v>
      </c>
      <c r="C2182" t="inlineStr">
        <is>
          <t>August</t>
        </is>
      </c>
      <c r="D2182" t="inlineStr">
        <is>
          <t>Classic Atlas</t>
        </is>
      </c>
      <c r="E2182" t="inlineStr">
        <is>
          <t>Books</t>
        </is>
      </c>
      <c r="F2182" t="inlineStr">
        <is>
          <t>Peter Schmidt</t>
        </is>
      </c>
      <c r="G2182" t="inlineStr">
        <is>
          <t>France</t>
        </is>
      </c>
      <c r="H2182" t="inlineStr">
        <is>
          <t>Marketplace</t>
        </is>
      </c>
      <c r="I2182" t="n">
        <v>4</v>
      </c>
      <c r="J2182" s="3" t="n">
        <v>236.6</v>
      </c>
      <c r="K2182" s="3" t="n">
        <v>0</v>
      </c>
      <c r="L2182" s="3" t="n">
        <v>236.6</v>
      </c>
      <c r="M2182" s="3" t="n">
        <v>138.36</v>
      </c>
      <c r="N2182" s="3" t="n">
        <v>98.23999999999999</v>
      </c>
      <c r="O2182">
        <f>TEXT(A2182,"yyyy-mm")</f>
        <v/>
      </c>
    </row>
    <row r="2183">
      <c r="A2183" s="2" t="n">
        <v>45870</v>
      </c>
      <c r="B2183" t="n">
        <v>2025</v>
      </c>
      <c r="C2183" t="inlineStr">
        <is>
          <t>August</t>
        </is>
      </c>
      <c r="D2183" t="inlineStr">
        <is>
          <t>Classic Bike Helmet</t>
        </is>
      </c>
      <c r="E2183" t="inlineStr">
        <is>
          <t>Sports &amp; Outdoors</t>
        </is>
      </c>
      <c r="F2183" t="inlineStr">
        <is>
          <t>Peter Schmidt</t>
        </is>
      </c>
      <c r="G2183" t="inlineStr">
        <is>
          <t>France</t>
        </is>
      </c>
      <c r="H2183" t="inlineStr">
        <is>
          <t>Marketplace</t>
        </is>
      </c>
      <c r="I2183" t="n">
        <v>4</v>
      </c>
      <c r="J2183" s="3" t="n">
        <v>852.88</v>
      </c>
      <c r="K2183" s="3" t="n">
        <v>42.64</v>
      </c>
      <c r="L2183" s="3" t="n">
        <v>810.24</v>
      </c>
      <c r="M2183" s="3" t="n">
        <v>615.24</v>
      </c>
      <c r="N2183" s="3" t="n">
        <v>195</v>
      </c>
      <c r="O2183">
        <f>TEXT(A2183,"yyyy-mm")</f>
        <v/>
      </c>
    </row>
    <row r="2184">
      <c r="A2184" s="2" t="n">
        <v>45871</v>
      </c>
      <c r="B2184" t="n">
        <v>2025</v>
      </c>
      <c r="C2184" t="inlineStr">
        <is>
          <t>August</t>
        </is>
      </c>
      <c r="D2184" t="inlineStr">
        <is>
          <t>Deluxe Notebook</t>
        </is>
      </c>
      <c r="E2184" t="inlineStr">
        <is>
          <t>Books</t>
        </is>
      </c>
      <c r="F2184" t="inlineStr">
        <is>
          <t>Robert Smith</t>
        </is>
      </c>
      <c r="G2184" t="inlineStr">
        <is>
          <t>Spain</t>
        </is>
      </c>
      <c r="H2184" t="inlineStr">
        <is>
          <t>Retail Store</t>
        </is>
      </c>
      <c r="I2184" t="n">
        <v>5</v>
      </c>
      <c r="J2184" s="3" t="n">
        <v>1040.65</v>
      </c>
      <c r="K2184" s="3" t="n">
        <v>104.07</v>
      </c>
      <c r="L2184" s="3" t="n">
        <v>936.58</v>
      </c>
      <c r="M2184" s="3" t="n">
        <v>753.8</v>
      </c>
      <c r="N2184" s="3" t="n">
        <v>182.79</v>
      </c>
      <c r="O2184">
        <f>TEXT(A2184,"yyyy-mm")</f>
        <v/>
      </c>
    </row>
    <row r="2185">
      <c r="A2185" s="2" t="n">
        <v>45871</v>
      </c>
      <c r="B2185" t="n">
        <v>2025</v>
      </c>
      <c r="C2185" t="inlineStr">
        <is>
          <t>August</t>
        </is>
      </c>
      <c r="D2185" t="inlineStr">
        <is>
          <t>Essential Pasta</t>
        </is>
      </c>
      <c r="E2185" t="inlineStr">
        <is>
          <t>Grocery</t>
        </is>
      </c>
      <c r="F2185" t="inlineStr">
        <is>
          <t>Robert Smith</t>
        </is>
      </c>
      <c r="G2185" t="inlineStr">
        <is>
          <t>Spain</t>
        </is>
      </c>
      <c r="H2185" t="inlineStr">
        <is>
          <t>Retail Store</t>
        </is>
      </c>
      <c r="I2185" t="n">
        <v>3</v>
      </c>
      <c r="J2185" s="3" t="n">
        <v>164.79</v>
      </c>
      <c r="K2185" s="3" t="n">
        <v>0</v>
      </c>
      <c r="L2185" s="3" t="n">
        <v>164.79</v>
      </c>
      <c r="M2185" s="3" t="n">
        <v>107.43</v>
      </c>
      <c r="N2185" s="3" t="n">
        <v>57.36</v>
      </c>
      <c r="O2185">
        <f>TEXT(A2185,"yyyy-mm")</f>
        <v/>
      </c>
    </row>
    <row r="2186">
      <c r="A2186" s="2" t="n">
        <v>45871</v>
      </c>
      <c r="B2186" t="n">
        <v>2025</v>
      </c>
      <c r="C2186" t="inlineStr">
        <is>
          <t>August</t>
        </is>
      </c>
      <c r="D2186" t="inlineStr">
        <is>
          <t>Portable Speaker</t>
        </is>
      </c>
      <c r="E2186" t="inlineStr">
        <is>
          <t>Electronics</t>
        </is>
      </c>
      <c r="F2186" t="inlineStr">
        <is>
          <t>Clara Johnson</t>
        </is>
      </c>
      <c r="G2186" t="inlineStr">
        <is>
          <t>France</t>
        </is>
      </c>
      <c r="H2186" t="inlineStr">
        <is>
          <t>Mobile App</t>
        </is>
      </c>
      <c r="I2186" t="n">
        <v>4</v>
      </c>
      <c r="J2186" s="3" t="n">
        <v>1354.6</v>
      </c>
      <c r="K2186" s="3" t="n">
        <v>135.46</v>
      </c>
      <c r="L2186" s="3" t="n">
        <v>1219.14</v>
      </c>
      <c r="M2186" s="3" t="n">
        <v>699.3200000000001</v>
      </c>
      <c r="N2186" s="3" t="n">
        <v>519.8200000000001</v>
      </c>
      <c r="O2186">
        <f>TEXT(A2186,"yyyy-mm")</f>
        <v/>
      </c>
    </row>
    <row r="2187">
      <c r="A2187" s="2" t="n">
        <v>45871</v>
      </c>
      <c r="B2187" t="n">
        <v>2025</v>
      </c>
      <c r="C2187" t="inlineStr">
        <is>
          <t>August</t>
        </is>
      </c>
      <c r="D2187" t="inlineStr">
        <is>
          <t>Eco Drone</t>
        </is>
      </c>
      <c r="E2187" t="inlineStr">
        <is>
          <t>Toys &amp; Games</t>
        </is>
      </c>
      <c r="F2187" t="inlineStr">
        <is>
          <t>Clara Johnson</t>
        </is>
      </c>
      <c r="G2187" t="inlineStr">
        <is>
          <t>France</t>
        </is>
      </c>
      <c r="H2187" t="inlineStr">
        <is>
          <t>Mobile App</t>
        </is>
      </c>
      <c r="I2187" t="n">
        <v>1</v>
      </c>
      <c r="J2187" s="3" t="n">
        <v>210.36</v>
      </c>
      <c r="K2187" s="3" t="n">
        <v>31.55</v>
      </c>
      <c r="L2187" s="3" t="n">
        <v>178.81</v>
      </c>
      <c r="M2187" s="3" t="n">
        <v>129.59</v>
      </c>
      <c r="N2187" s="3" t="n">
        <v>49.22</v>
      </c>
      <c r="O2187">
        <f>TEXT(A2187,"yyyy-mm")</f>
        <v/>
      </c>
    </row>
    <row r="2188">
      <c r="A2188" s="2" t="n">
        <v>45871</v>
      </c>
      <c r="B2188" t="n">
        <v>2025</v>
      </c>
      <c r="C2188" t="inlineStr">
        <is>
          <t>August</t>
        </is>
      </c>
      <c r="D2188" t="inlineStr">
        <is>
          <t>Wireless Coffee Beans</t>
        </is>
      </c>
      <c r="E2188" t="inlineStr">
        <is>
          <t>Grocery</t>
        </is>
      </c>
      <c r="F2188" t="inlineStr">
        <is>
          <t>Sophie Wilson</t>
        </is>
      </c>
      <c r="G2188" t="inlineStr">
        <is>
          <t>Poland</t>
        </is>
      </c>
      <c r="H2188" t="inlineStr">
        <is>
          <t>Web Store</t>
        </is>
      </c>
      <c r="I2188" t="n">
        <v>4</v>
      </c>
      <c r="J2188" s="3" t="n">
        <v>459.04</v>
      </c>
      <c r="K2188" s="3" t="n">
        <v>22.95</v>
      </c>
      <c r="L2188" s="3" t="n">
        <v>436.09</v>
      </c>
      <c r="M2188" s="3" t="n">
        <v>317.48</v>
      </c>
      <c r="N2188" s="3" t="n">
        <v>118.61</v>
      </c>
      <c r="O2188">
        <f>TEXT(A2188,"yyyy-mm")</f>
        <v/>
      </c>
    </row>
    <row r="2189">
      <c r="A2189" s="2" t="n">
        <v>45871</v>
      </c>
      <c r="B2189" t="n">
        <v>2025</v>
      </c>
      <c r="C2189" t="inlineStr">
        <is>
          <t>August</t>
        </is>
      </c>
      <c r="D2189" t="inlineStr">
        <is>
          <t>Ultra Backpack</t>
        </is>
      </c>
      <c r="E2189" t="inlineStr">
        <is>
          <t>Sports &amp; Outdoors</t>
        </is>
      </c>
      <c r="F2189" t="inlineStr">
        <is>
          <t>Clara Johnson</t>
        </is>
      </c>
      <c r="G2189" t="inlineStr">
        <is>
          <t>France</t>
        </is>
      </c>
      <c r="H2189" t="inlineStr">
        <is>
          <t>Mobile App</t>
        </is>
      </c>
      <c r="I2189" t="n">
        <v>2</v>
      </c>
      <c r="J2189" s="3" t="n">
        <v>595.16</v>
      </c>
      <c r="K2189" s="3" t="n">
        <v>0</v>
      </c>
      <c r="L2189" s="3" t="n">
        <v>595.16</v>
      </c>
      <c r="M2189" s="3" t="n">
        <v>347.38</v>
      </c>
      <c r="N2189" s="3" t="n">
        <v>247.78</v>
      </c>
      <c r="O2189">
        <f>TEXT(A2189,"yyyy-mm")</f>
        <v/>
      </c>
    </row>
    <row r="2190">
      <c r="A2190" s="2" t="n">
        <v>45871</v>
      </c>
      <c r="B2190" t="n">
        <v>2025</v>
      </c>
      <c r="C2190" t="inlineStr">
        <is>
          <t>August</t>
        </is>
      </c>
      <c r="D2190" t="inlineStr">
        <is>
          <t>Deluxe Toothbrush</t>
        </is>
      </c>
      <c r="E2190" t="inlineStr">
        <is>
          <t>Beauty &amp; Health</t>
        </is>
      </c>
      <c r="F2190" t="inlineStr">
        <is>
          <t>Sophie Wilson</t>
        </is>
      </c>
      <c r="G2190" t="inlineStr">
        <is>
          <t>Poland</t>
        </is>
      </c>
      <c r="H2190" t="inlineStr">
        <is>
          <t>Web Store</t>
        </is>
      </c>
      <c r="I2190" t="n">
        <v>3</v>
      </c>
      <c r="J2190" s="3" t="n">
        <v>963.8099999999999</v>
      </c>
      <c r="K2190" s="3" t="n">
        <v>0</v>
      </c>
      <c r="L2190" s="3" t="n">
        <v>963.8099999999999</v>
      </c>
      <c r="M2190" s="3" t="n">
        <v>523.71</v>
      </c>
      <c r="N2190" s="3" t="n">
        <v>440.1</v>
      </c>
      <c r="O2190">
        <f>TEXT(A2190,"yyyy-mm")</f>
        <v/>
      </c>
    </row>
    <row r="2191">
      <c r="A2191" s="2" t="n">
        <v>45871</v>
      </c>
      <c r="B2191" t="n">
        <v>2025</v>
      </c>
      <c r="C2191" t="inlineStr">
        <is>
          <t>August</t>
        </is>
      </c>
      <c r="D2191" t="inlineStr">
        <is>
          <t>Classic Atlas</t>
        </is>
      </c>
      <c r="E2191" t="inlineStr">
        <is>
          <t>Books</t>
        </is>
      </c>
      <c r="F2191" t="inlineStr">
        <is>
          <t>Sophie Wilson</t>
        </is>
      </c>
      <c r="G2191" t="inlineStr">
        <is>
          <t>Poland</t>
        </is>
      </c>
      <c r="H2191" t="inlineStr">
        <is>
          <t>Web Store</t>
        </is>
      </c>
      <c r="I2191" t="n">
        <v>4</v>
      </c>
      <c r="J2191" s="3" t="n">
        <v>256</v>
      </c>
      <c r="K2191" s="3" t="n">
        <v>38.4</v>
      </c>
      <c r="L2191" s="3" t="n">
        <v>217.6</v>
      </c>
      <c r="M2191" s="3" t="n">
        <v>138.36</v>
      </c>
      <c r="N2191" s="3" t="n">
        <v>79.23999999999999</v>
      </c>
      <c r="O2191">
        <f>TEXT(A2191,"yyyy-mm")</f>
        <v/>
      </c>
    </row>
    <row r="2192">
      <c r="A2192" s="2" t="n">
        <v>45872</v>
      </c>
      <c r="B2192" t="n">
        <v>2025</v>
      </c>
      <c r="C2192" t="inlineStr">
        <is>
          <t>August</t>
        </is>
      </c>
      <c r="D2192" t="inlineStr">
        <is>
          <t>Deluxe Smartwatch</t>
        </is>
      </c>
      <c r="E2192" t="inlineStr">
        <is>
          <t>Electronics</t>
        </is>
      </c>
      <c r="F2192" t="inlineStr">
        <is>
          <t>Maria Dubois</t>
        </is>
      </c>
      <c r="G2192" t="inlineStr">
        <is>
          <t>France</t>
        </is>
      </c>
      <c r="H2192" t="inlineStr">
        <is>
          <t>Web Store</t>
        </is>
      </c>
      <c r="I2192" t="n">
        <v>5</v>
      </c>
      <c r="J2192" s="3" t="n">
        <v>826.25</v>
      </c>
      <c r="K2192" s="3" t="n">
        <v>123.94</v>
      </c>
      <c r="L2192" s="3" t="n">
        <v>702.3099999999999</v>
      </c>
      <c r="M2192" s="3" t="n">
        <v>613.6</v>
      </c>
      <c r="N2192" s="3" t="n">
        <v>88.70999999999999</v>
      </c>
      <c r="O2192">
        <f>TEXT(A2192,"yyyy-mm")</f>
        <v/>
      </c>
    </row>
    <row r="2193">
      <c r="A2193" s="2" t="n">
        <v>45872</v>
      </c>
      <c r="B2193" t="n">
        <v>2025</v>
      </c>
      <c r="C2193" t="inlineStr">
        <is>
          <t>August</t>
        </is>
      </c>
      <c r="D2193" t="inlineStr">
        <is>
          <t>Eco Tent</t>
        </is>
      </c>
      <c r="E2193" t="inlineStr">
        <is>
          <t>Sports &amp; Outdoors</t>
        </is>
      </c>
      <c r="F2193" t="inlineStr">
        <is>
          <t>Maria Dubois</t>
        </is>
      </c>
      <c r="G2193" t="inlineStr">
        <is>
          <t>France</t>
        </is>
      </c>
      <c r="H2193" t="inlineStr">
        <is>
          <t>Web Store</t>
        </is>
      </c>
      <c r="I2193" t="n">
        <v>4</v>
      </c>
      <c r="J2193" s="3" t="n">
        <v>966.24</v>
      </c>
      <c r="K2193" s="3" t="n">
        <v>48.31</v>
      </c>
      <c r="L2193" s="3" t="n">
        <v>917.9299999999999</v>
      </c>
      <c r="M2193" s="3" t="n">
        <v>540.12</v>
      </c>
      <c r="N2193" s="3" t="n">
        <v>377.81</v>
      </c>
      <c r="O2193">
        <f>TEXT(A2193,"yyyy-mm")</f>
        <v/>
      </c>
    </row>
    <row r="2194">
      <c r="A2194" s="2" t="n">
        <v>45872</v>
      </c>
      <c r="B2194" t="n">
        <v>2025</v>
      </c>
      <c r="C2194" t="inlineStr">
        <is>
          <t>August</t>
        </is>
      </c>
      <c r="D2194" t="inlineStr">
        <is>
          <t>Portable Toolset</t>
        </is>
      </c>
      <c r="E2194" t="inlineStr">
        <is>
          <t>Home &amp; Garden</t>
        </is>
      </c>
      <c r="F2194" t="inlineStr">
        <is>
          <t>John Lopez</t>
        </is>
      </c>
      <c r="G2194" t="inlineStr">
        <is>
          <t>Germany</t>
        </is>
      </c>
      <c r="H2194" t="inlineStr">
        <is>
          <t>Marketplace</t>
        </is>
      </c>
      <c r="I2194" t="n">
        <v>4</v>
      </c>
      <c r="J2194" s="3" t="n">
        <v>346.52</v>
      </c>
      <c r="K2194" s="3" t="n">
        <v>0</v>
      </c>
      <c r="L2194" s="3" t="n">
        <v>346.52</v>
      </c>
      <c r="M2194" s="3" t="n">
        <v>202.16</v>
      </c>
      <c r="N2194" s="3" t="n">
        <v>144.36</v>
      </c>
      <c r="O2194">
        <f>TEXT(A2194,"yyyy-mm")</f>
        <v/>
      </c>
    </row>
    <row r="2195">
      <c r="A2195" s="2" t="n">
        <v>45872</v>
      </c>
      <c r="B2195" t="n">
        <v>2025</v>
      </c>
      <c r="C2195" t="inlineStr">
        <is>
          <t>August</t>
        </is>
      </c>
      <c r="D2195" t="inlineStr">
        <is>
          <t>Premium Water Bottle</t>
        </is>
      </c>
      <c r="E2195" t="inlineStr">
        <is>
          <t>Sports &amp; Outdoors</t>
        </is>
      </c>
      <c r="F2195" t="inlineStr">
        <is>
          <t>Maria Dubois</t>
        </is>
      </c>
      <c r="G2195" t="inlineStr">
        <is>
          <t>France</t>
        </is>
      </c>
      <c r="H2195" t="inlineStr">
        <is>
          <t>Web Store</t>
        </is>
      </c>
      <c r="I2195" t="n">
        <v>2</v>
      </c>
      <c r="J2195" s="3" t="n">
        <v>633.34</v>
      </c>
      <c r="K2195" s="3" t="n">
        <v>126.67</v>
      </c>
      <c r="L2195" s="3" t="n">
        <v>506.67</v>
      </c>
      <c r="M2195" s="3" t="n">
        <v>362.32</v>
      </c>
      <c r="N2195" s="3" t="n">
        <v>144.35</v>
      </c>
      <c r="O2195">
        <f>TEXT(A2195,"yyyy-mm")</f>
        <v/>
      </c>
    </row>
    <row r="2196">
      <c r="A2196" s="2" t="n">
        <v>45872</v>
      </c>
      <c r="B2196" t="n">
        <v>2025</v>
      </c>
      <c r="C2196" t="inlineStr">
        <is>
          <t>August</t>
        </is>
      </c>
      <c r="D2196" t="inlineStr">
        <is>
          <t>Smart Charger</t>
        </is>
      </c>
      <c r="E2196" t="inlineStr">
        <is>
          <t>Electronics</t>
        </is>
      </c>
      <c r="F2196" t="inlineStr">
        <is>
          <t>Maria Dubois</t>
        </is>
      </c>
      <c r="G2196" t="inlineStr">
        <is>
          <t>France</t>
        </is>
      </c>
      <c r="H2196" t="inlineStr">
        <is>
          <t>Web Store</t>
        </is>
      </c>
      <c r="I2196" t="n">
        <v>3</v>
      </c>
      <c r="J2196" s="3" t="n">
        <v>801.03</v>
      </c>
      <c r="K2196" s="3" t="n">
        <v>40.05</v>
      </c>
      <c r="L2196" s="3" t="n">
        <v>760.98</v>
      </c>
      <c r="M2196" s="3" t="n">
        <v>427.56</v>
      </c>
      <c r="N2196" s="3" t="n">
        <v>333.42</v>
      </c>
      <c r="O2196">
        <f>TEXT(A2196,"yyyy-mm")</f>
        <v/>
      </c>
    </row>
    <row r="2197">
      <c r="A2197" s="2" t="n">
        <v>45872</v>
      </c>
      <c r="B2197" t="n">
        <v>2025</v>
      </c>
      <c r="C2197" t="inlineStr">
        <is>
          <t>August</t>
        </is>
      </c>
      <c r="D2197" t="inlineStr">
        <is>
          <t>Wireless Cookbook</t>
        </is>
      </c>
      <c r="E2197" t="inlineStr">
        <is>
          <t>Books</t>
        </is>
      </c>
      <c r="F2197" t="inlineStr">
        <is>
          <t>John Lopez</t>
        </is>
      </c>
      <c r="G2197" t="inlineStr">
        <is>
          <t>Germany</t>
        </is>
      </c>
      <c r="H2197" t="inlineStr">
        <is>
          <t>Marketplace</t>
        </is>
      </c>
      <c r="I2197" t="n">
        <v>2</v>
      </c>
      <c r="J2197" s="3" t="n">
        <v>158.06</v>
      </c>
      <c r="K2197" s="3" t="n">
        <v>15.81</v>
      </c>
      <c r="L2197" s="3" t="n">
        <v>142.25</v>
      </c>
      <c r="M2197" s="3" t="n">
        <v>113.22</v>
      </c>
      <c r="N2197" s="3" t="n">
        <v>29.03</v>
      </c>
      <c r="O2197">
        <f>TEXT(A2197,"yyyy-mm")</f>
        <v/>
      </c>
    </row>
    <row r="2198">
      <c r="A2198" s="2" t="n">
        <v>45873</v>
      </c>
      <c r="B2198" t="n">
        <v>2025</v>
      </c>
      <c r="C2198" t="inlineStr">
        <is>
          <t>August</t>
        </is>
      </c>
      <c r="D2198" t="inlineStr">
        <is>
          <t>Eco Planter</t>
        </is>
      </c>
      <c r="E2198" t="inlineStr">
        <is>
          <t>Home &amp; Garden</t>
        </is>
      </c>
      <c r="F2198" t="inlineStr">
        <is>
          <t>Clara Nowak</t>
        </is>
      </c>
      <c r="G2198" t="inlineStr">
        <is>
          <t>Italy</t>
        </is>
      </c>
      <c r="H2198" t="inlineStr">
        <is>
          <t>Web Store</t>
        </is>
      </c>
      <c r="I2198" t="n">
        <v>2</v>
      </c>
      <c r="J2198" s="3" t="n">
        <v>348.5</v>
      </c>
      <c r="K2198" s="3" t="n">
        <v>0</v>
      </c>
      <c r="L2198" s="3" t="n">
        <v>348.5</v>
      </c>
      <c r="M2198" s="3" t="n">
        <v>224.82</v>
      </c>
      <c r="N2198" s="3" t="n">
        <v>123.68</v>
      </c>
      <c r="O2198">
        <f>TEXT(A2198,"yyyy-mm")</f>
        <v/>
      </c>
    </row>
    <row r="2199">
      <c r="A2199" s="2" t="n">
        <v>45874</v>
      </c>
      <c r="B2199" t="n">
        <v>2025</v>
      </c>
      <c r="C2199" t="inlineStr">
        <is>
          <t>August</t>
        </is>
      </c>
      <c r="D2199" t="inlineStr">
        <is>
          <t>Smart Cookbook</t>
        </is>
      </c>
      <c r="E2199" t="inlineStr">
        <is>
          <t>Books</t>
        </is>
      </c>
      <c r="F2199" t="inlineStr">
        <is>
          <t>Nina Wojcik</t>
        </is>
      </c>
      <c r="G2199" t="inlineStr">
        <is>
          <t>Germany</t>
        </is>
      </c>
      <c r="H2199" t="inlineStr">
        <is>
          <t>Web Store</t>
        </is>
      </c>
      <c r="I2199" t="n">
        <v>1</v>
      </c>
      <c r="J2199" s="3" t="n">
        <v>18.22</v>
      </c>
      <c r="K2199" s="3" t="n">
        <v>2.73</v>
      </c>
      <c r="L2199" s="3" t="n">
        <v>15.49</v>
      </c>
      <c r="M2199" s="3" t="n">
        <v>9.880000000000001</v>
      </c>
      <c r="N2199" s="3" t="n">
        <v>5.61</v>
      </c>
      <c r="O2199">
        <f>TEXT(A2199,"yyyy-mm")</f>
        <v/>
      </c>
    </row>
    <row r="2200">
      <c r="A2200" s="2" t="n">
        <v>45874</v>
      </c>
      <c r="B2200" t="n">
        <v>2025</v>
      </c>
      <c r="C2200" t="inlineStr">
        <is>
          <t>August</t>
        </is>
      </c>
      <c r="D2200" t="inlineStr">
        <is>
          <t>Eco Planter</t>
        </is>
      </c>
      <c r="E2200" t="inlineStr">
        <is>
          <t>Home &amp; Garden</t>
        </is>
      </c>
      <c r="F2200" t="inlineStr">
        <is>
          <t>Nina Wojcik</t>
        </is>
      </c>
      <c r="G2200" t="inlineStr">
        <is>
          <t>Germany</t>
        </is>
      </c>
      <c r="H2200" t="inlineStr">
        <is>
          <t>Web Store</t>
        </is>
      </c>
      <c r="I2200" t="n">
        <v>5</v>
      </c>
      <c r="J2200" s="3" t="n">
        <v>961.55</v>
      </c>
      <c r="K2200" s="3" t="n">
        <v>48.08</v>
      </c>
      <c r="L2200" s="3" t="n">
        <v>913.47</v>
      </c>
      <c r="M2200" s="3" t="n">
        <v>562.05</v>
      </c>
      <c r="N2200" s="3" t="n">
        <v>351.42</v>
      </c>
      <c r="O2200">
        <f>TEXT(A2200,"yyyy-mm")</f>
        <v/>
      </c>
    </row>
    <row r="2201">
      <c r="A2201" s="2" t="n">
        <v>45874</v>
      </c>
      <c r="B2201" t="n">
        <v>2025</v>
      </c>
      <c r="C2201" t="inlineStr">
        <is>
          <t>August</t>
        </is>
      </c>
      <c r="D2201" t="inlineStr">
        <is>
          <t>Deluxe Headphones</t>
        </is>
      </c>
      <c r="E2201" t="inlineStr">
        <is>
          <t>Electronics</t>
        </is>
      </c>
      <c r="F2201" t="inlineStr">
        <is>
          <t>Nina Wojcik</t>
        </is>
      </c>
      <c r="G2201" t="inlineStr">
        <is>
          <t>Germany</t>
        </is>
      </c>
      <c r="H2201" t="inlineStr">
        <is>
          <t>Web Store</t>
        </is>
      </c>
      <c r="I2201" t="n">
        <v>5</v>
      </c>
      <c r="J2201" s="3" t="n">
        <v>376.75</v>
      </c>
      <c r="K2201" s="3" t="n">
        <v>56.51</v>
      </c>
      <c r="L2201" s="3" t="n">
        <v>320.24</v>
      </c>
      <c r="M2201" s="3" t="n">
        <v>262.5</v>
      </c>
      <c r="N2201" s="3" t="n">
        <v>57.74</v>
      </c>
      <c r="O2201">
        <f>TEXT(A2201,"yyyy-mm")</f>
        <v/>
      </c>
    </row>
    <row r="2202">
      <c r="A2202" s="2" t="n">
        <v>45874</v>
      </c>
      <c r="B2202" t="n">
        <v>2025</v>
      </c>
      <c r="C2202" t="inlineStr">
        <is>
          <t>August</t>
        </is>
      </c>
      <c r="D2202" t="inlineStr">
        <is>
          <t>Essential Planter</t>
        </is>
      </c>
      <c r="E2202" t="inlineStr">
        <is>
          <t>Home &amp; Garden</t>
        </is>
      </c>
      <c r="F2202" t="inlineStr">
        <is>
          <t>Nina Wojcik</t>
        </is>
      </c>
      <c r="G2202" t="inlineStr">
        <is>
          <t>Germany</t>
        </is>
      </c>
      <c r="H2202" t="inlineStr">
        <is>
          <t>Web Store</t>
        </is>
      </c>
      <c r="I2202" t="n">
        <v>3</v>
      </c>
      <c r="J2202" s="3" t="n">
        <v>76.11</v>
      </c>
      <c r="K2202" s="3" t="n">
        <v>15.22</v>
      </c>
      <c r="L2202" s="3" t="n">
        <v>60.89</v>
      </c>
      <c r="M2202" s="3" t="n">
        <v>58.92</v>
      </c>
      <c r="N2202" s="3" t="n">
        <v>1.97</v>
      </c>
      <c r="O2202">
        <f>TEXT(A2202,"yyyy-mm")</f>
        <v/>
      </c>
    </row>
    <row r="2203">
      <c r="A2203" s="2" t="n">
        <v>45874</v>
      </c>
      <c r="B2203" t="n">
        <v>2025</v>
      </c>
      <c r="C2203" t="inlineStr">
        <is>
          <t>August</t>
        </is>
      </c>
      <c r="D2203" t="inlineStr">
        <is>
          <t>Essential Notebook</t>
        </is>
      </c>
      <c r="E2203" t="inlineStr">
        <is>
          <t>Books</t>
        </is>
      </c>
      <c r="F2203" t="inlineStr">
        <is>
          <t>Sophie Martin</t>
        </is>
      </c>
      <c r="G2203" t="inlineStr">
        <is>
          <t>United States</t>
        </is>
      </c>
      <c r="H2203" t="inlineStr">
        <is>
          <t>Web Store</t>
        </is>
      </c>
      <c r="I2203" t="n">
        <v>5</v>
      </c>
      <c r="J2203" s="3" t="n">
        <v>600.25</v>
      </c>
      <c r="K2203" s="3" t="n">
        <v>120.05</v>
      </c>
      <c r="L2203" s="3" t="n">
        <v>480.2</v>
      </c>
      <c r="M2203" s="3" t="n">
        <v>395.5</v>
      </c>
      <c r="N2203" s="3" t="n">
        <v>84.7</v>
      </c>
      <c r="O2203">
        <f>TEXT(A2203,"yyyy-mm")</f>
        <v/>
      </c>
    </row>
    <row r="2204">
      <c r="A2204" s="2" t="n">
        <v>45874</v>
      </c>
      <c r="B2204" t="n">
        <v>2025</v>
      </c>
      <c r="C2204" t="inlineStr">
        <is>
          <t>August</t>
        </is>
      </c>
      <c r="D2204" t="inlineStr">
        <is>
          <t>Eco Biography</t>
        </is>
      </c>
      <c r="E2204" t="inlineStr">
        <is>
          <t>Books</t>
        </is>
      </c>
      <c r="F2204" t="inlineStr">
        <is>
          <t>Sophie Martin</t>
        </is>
      </c>
      <c r="G2204" t="inlineStr">
        <is>
          <t>United States</t>
        </is>
      </c>
      <c r="H2204" t="inlineStr">
        <is>
          <t>Web Store</t>
        </is>
      </c>
      <c r="I2204" t="n">
        <v>2</v>
      </c>
      <c r="J2204" s="3" t="n">
        <v>242.78</v>
      </c>
      <c r="K2204" s="3" t="n">
        <v>36.42</v>
      </c>
      <c r="L2204" s="3" t="n">
        <v>206.36</v>
      </c>
      <c r="M2204" s="3" t="n">
        <v>142.04</v>
      </c>
      <c r="N2204" s="3" t="n">
        <v>64.31999999999999</v>
      </c>
      <c r="O2204">
        <f>TEXT(A2204,"yyyy-mm")</f>
        <v/>
      </c>
    </row>
    <row r="2205">
      <c r="A2205" s="2" t="n">
        <v>45875</v>
      </c>
      <c r="B2205" t="n">
        <v>2025</v>
      </c>
      <c r="C2205" t="inlineStr">
        <is>
          <t>August</t>
        </is>
      </c>
      <c r="D2205" t="inlineStr">
        <is>
          <t>Deluxe Toolset</t>
        </is>
      </c>
      <c r="E2205" t="inlineStr">
        <is>
          <t>Home &amp; Garden</t>
        </is>
      </c>
      <c r="F2205" t="inlineStr">
        <is>
          <t>Maria Bianchi</t>
        </is>
      </c>
      <c r="G2205" t="inlineStr">
        <is>
          <t>France</t>
        </is>
      </c>
      <c r="H2205" t="inlineStr">
        <is>
          <t>Marketplace</t>
        </is>
      </c>
      <c r="I2205" t="n">
        <v>3</v>
      </c>
      <c r="J2205" s="3" t="n">
        <v>194.16</v>
      </c>
      <c r="K2205" s="3" t="n">
        <v>29.12</v>
      </c>
      <c r="L2205" s="3" t="n">
        <v>165.04</v>
      </c>
      <c r="M2205" s="3" t="n">
        <v>143.13</v>
      </c>
      <c r="N2205" s="3" t="n">
        <v>21.91</v>
      </c>
      <c r="O2205">
        <f>TEXT(A2205,"yyyy-mm")</f>
        <v/>
      </c>
    </row>
    <row r="2206">
      <c r="A2206" s="2" t="n">
        <v>45875</v>
      </c>
      <c r="B2206" t="n">
        <v>2025</v>
      </c>
      <c r="C2206" t="inlineStr">
        <is>
          <t>August</t>
        </is>
      </c>
      <c r="D2206" t="inlineStr">
        <is>
          <t>Smart Coffee Beans</t>
        </is>
      </c>
      <c r="E2206" t="inlineStr">
        <is>
          <t>Grocery</t>
        </is>
      </c>
      <c r="F2206" t="inlineStr">
        <is>
          <t>Anna Nowak</t>
        </is>
      </c>
      <c r="G2206" t="inlineStr">
        <is>
          <t>Spain</t>
        </is>
      </c>
      <c r="H2206" t="inlineStr">
        <is>
          <t>Retail Store</t>
        </is>
      </c>
      <c r="I2206" t="n">
        <v>1</v>
      </c>
      <c r="J2206" s="3" t="n">
        <v>106.72</v>
      </c>
      <c r="K2206" s="3" t="n">
        <v>5.34</v>
      </c>
      <c r="L2206" s="3" t="n">
        <v>101.38</v>
      </c>
      <c r="M2206" s="3" t="n">
        <v>72.84999999999999</v>
      </c>
      <c r="N2206" s="3" t="n">
        <v>28.53</v>
      </c>
      <c r="O2206">
        <f>TEXT(A2206,"yyyy-mm")</f>
        <v/>
      </c>
    </row>
    <row r="2207">
      <c r="A2207" s="2" t="n">
        <v>45875</v>
      </c>
      <c r="B2207" t="n">
        <v>2025</v>
      </c>
      <c r="C2207" t="inlineStr">
        <is>
          <t>August</t>
        </is>
      </c>
      <c r="D2207" t="inlineStr">
        <is>
          <t>Portable Toolset</t>
        </is>
      </c>
      <c r="E2207" t="inlineStr">
        <is>
          <t>Home &amp; Garden</t>
        </is>
      </c>
      <c r="F2207" t="inlineStr">
        <is>
          <t>Peter Muller</t>
        </is>
      </c>
      <c r="G2207" t="inlineStr">
        <is>
          <t>Poland</t>
        </is>
      </c>
      <c r="H2207" t="inlineStr">
        <is>
          <t>Mobile App</t>
        </is>
      </c>
      <c r="I2207" t="n">
        <v>5</v>
      </c>
      <c r="J2207" s="3" t="n">
        <v>696.5</v>
      </c>
      <c r="K2207" s="3" t="n">
        <v>0</v>
      </c>
      <c r="L2207" s="3" t="n">
        <v>696.5</v>
      </c>
      <c r="M2207" s="3" t="n">
        <v>464.25</v>
      </c>
      <c r="N2207" s="3" t="n">
        <v>232.25</v>
      </c>
      <c r="O2207">
        <f>TEXT(A2207,"yyyy-mm")</f>
        <v/>
      </c>
    </row>
    <row r="2208">
      <c r="A2208" s="2" t="n">
        <v>45875</v>
      </c>
      <c r="B2208" t="n">
        <v>2025</v>
      </c>
      <c r="C2208" t="inlineStr">
        <is>
          <t>August</t>
        </is>
      </c>
      <c r="D2208" t="inlineStr">
        <is>
          <t>Smart Tea Set</t>
        </is>
      </c>
      <c r="E2208" t="inlineStr">
        <is>
          <t>Grocery</t>
        </is>
      </c>
      <c r="F2208" t="inlineStr">
        <is>
          <t>Mark Zielinski</t>
        </is>
      </c>
      <c r="G2208" t="inlineStr">
        <is>
          <t>Poland</t>
        </is>
      </c>
      <c r="H2208" t="inlineStr">
        <is>
          <t>Mobile App</t>
        </is>
      </c>
      <c r="I2208" t="n">
        <v>1</v>
      </c>
      <c r="J2208" s="3" t="n">
        <v>91.03</v>
      </c>
      <c r="K2208" s="3" t="n">
        <v>0</v>
      </c>
      <c r="L2208" s="3" t="n">
        <v>91.03</v>
      </c>
      <c r="M2208" s="3" t="n">
        <v>61.8</v>
      </c>
      <c r="N2208" s="3" t="n">
        <v>29.23</v>
      </c>
      <c r="O2208">
        <f>TEXT(A2208,"yyyy-mm")</f>
        <v/>
      </c>
    </row>
    <row r="2209">
      <c r="A2209" s="2" t="n">
        <v>45876</v>
      </c>
      <c r="B2209" t="n">
        <v>2025</v>
      </c>
      <c r="C2209" t="inlineStr">
        <is>
          <t>August</t>
        </is>
      </c>
      <c r="D2209" t="inlineStr">
        <is>
          <t>Smart Camera</t>
        </is>
      </c>
      <c r="E2209" t="inlineStr">
        <is>
          <t>Electronics</t>
        </is>
      </c>
      <c r="F2209" t="inlineStr">
        <is>
          <t>Nina Weber</t>
        </is>
      </c>
      <c r="G2209" t="inlineStr">
        <is>
          <t>Italy</t>
        </is>
      </c>
      <c r="H2209" t="inlineStr">
        <is>
          <t>Web Store</t>
        </is>
      </c>
      <c r="I2209" t="n">
        <v>1</v>
      </c>
      <c r="J2209" s="3" t="n">
        <v>311.85</v>
      </c>
      <c r="K2209" s="3" t="n">
        <v>62.37</v>
      </c>
      <c r="L2209" s="3" t="n">
        <v>249.48</v>
      </c>
      <c r="M2209" s="3" t="n">
        <v>167.4</v>
      </c>
      <c r="N2209" s="3" t="n">
        <v>82.08</v>
      </c>
      <c r="O2209">
        <f>TEXT(A2209,"yyyy-mm")</f>
        <v/>
      </c>
    </row>
    <row r="2210">
      <c r="A2210" s="2" t="n">
        <v>45876</v>
      </c>
      <c r="B2210" t="n">
        <v>2025</v>
      </c>
      <c r="C2210" t="inlineStr">
        <is>
          <t>August</t>
        </is>
      </c>
      <c r="D2210" t="inlineStr">
        <is>
          <t>Smart Charger</t>
        </is>
      </c>
      <c r="E2210" t="inlineStr">
        <is>
          <t>Electronics</t>
        </is>
      </c>
      <c r="F2210" t="inlineStr">
        <is>
          <t>Nina Weber</t>
        </is>
      </c>
      <c r="G2210" t="inlineStr">
        <is>
          <t>Italy</t>
        </is>
      </c>
      <c r="H2210" t="inlineStr">
        <is>
          <t>Web Store</t>
        </is>
      </c>
      <c r="I2210" t="n">
        <v>3</v>
      </c>
      <c r="J2210" s="3" t="n">
        <v>740.73</v>
      </c>
      <c r="K2210" s="3" t="n">
        <v>74.06999999999999</v>
      </c>
      <c r="L2210" s="3" t="n">
        <v>666.66</v>
      </c>
      <c r="M2210" s="3" t="n">
        <v>427.56</v>
      </c>
      <c r="N2210" s="3" t="n">
        <v>239.1</v>
      </c>
      <c r="O2210">
        <f>TEXT(A2210,"yyyy-mm")</f>
        <v/>
      </c>
    </row>
    <row r="2211">
      <c r="A2211" s="2" t="n">
        <v>45876</v>
      </c>
      <c r="B2211" t="n">
        <v>2025</v>
      </c>
      <c r="C2211" t="inlineStr">
        <is>
          <t>August</t>
        </is>
      </c>
      <c r="D2211" t="inlineStr">
        <is>
          <t>Portable Notebook</t>
        </is>
      </c>
      <c r="E2211" t="inlineStr">
        <is>
          <t>Books</t>
        </is>
      </c>
      <c r="F2211" t="inlineStr">
        <is>
          <t>Nina Weber</t>
        </is>
      </c>
      <c r="G2211" t="inlineStr">
        <is>
          <t>Italy</t>
        </is>
      </c>
      <c r="H2211" t="inlineStr">
        <is>
          <t>Web Store</t>
        </is>
      </c>
      <c r="I2211" t="n">
        <v>1</v>
      </c>
      <c r="J2211" s="3" t="n">
        <v>131.66</v>
      </c>
      <c r="K2211" s="3" t="n">
        <v>19.75</v>
      </c>
      <c r="L2211" s="3" t="n">
        <v>111.91</v>
      </c>
      <c r="M2211" s="3" t="n">
        <v>71.28</v>
      </c>
      <c r="N2211" s="3" t="n">
        <v>40.63</v>
      </c>
      <c r="O2211">
        <f>TEXT(A2211,"yyyy-mm")</f>
        <v/>
      </c>
    </row>
    <row r="2212">
      <c r="A2212" s="2" t="n">
        <v>45876</v>
      </c>
      <c r="B2212" t="n">
        <v>2025</v>
      </c>
      <c r="C2212" t="inlineStr">
        <is>
          <t>August</t>
        </is>
      </c>
      <c r="D2212" t="inlineStr">
        <is>
          <t>Essential Pasta</t>
        </is>
      </c>
      <c r="E2212" t="inlineStr">
        <is>
          <t>Grocery</t>
        </is>
      </c>
      <c r="F2212" t="inlineStr">
        <is>
          <t>Sophie Smith</t>
        </is>
      </c>
      <c r="G2212" t="inlineStr">
        <is>
          <t>United Kingdom</t>
        </is>
      </c>
      <c r="H2212" t="inlineStr">
        <is>
          <t>Web Store</t>
        </is>
      </c>
      <c r="I2212" t="n">
        <v>3</v>
      </c>
      <c r="J2212" s="3" t="n">
        <v>172.95</v>
      </c>
      <c r="K2212" s="3" t="n">
        <v>17.29</v>
      </c>
      <c r="L2212" s="3" t="n">
        <v>155.66</v>
      </c>
      <c r="M2212" s="3" t="n">
        <v>107.43</v>
      </c>
      <c r="N2212" s="3" t="n">
        <v>48.22</v>
      </c>
      <c r="O2212">
        <f>TEXT(A2212,"yyyy-mm")</f>
        <v/>
      </c>
    </row>
    <row r="2213">
      <c r="A2213" s="2" t="n">
        <v>45876</v>
      </c>
      <c r="B2213" t="n">
        <v>2025</v>
      </c>
      <c r="C2213" t="inlineStr">
        <is>
          <t>August</t>
        </is>
      </c>
      <c r="D2213" t="inlineStr">
        <is>
          <t>Deluxe Smartwatch</t>
        </is>
      </c>
      <c r="E2213" t="inlineStr">
        <is>
          <t>Electronics</t>
        </is>
      </c>
      <c r="F2213" t="inlineStr">
        <is>
          <t>Sophie Smith</t>
        </is>
      </c>
      <c r="G2213" t="inlineStr">
        <is>
          <t>United Kingdom</t>
        </is>
      </c>
      <c r="H2213" t="inlineStr">
        <is>
          <t>Web Store</t>
        </is>
      </c>
      <c r="I2213" t="n">
        <v>1</v>
      </c>
      <c r="J2213" s="3" t="n">
        <v>162.1</v>
      </c>
      <c r="K2213" s="3" t="n">
        <v>0</v>
      </c>
      <c r="L2213" s="3" t="n">
        <v>162.1</v>
      </c>
      <c r="M2213" s="3" t="n">
        <v>122.72</v>
      </c>
      <c r="N2213" s="3" t="n">
        <v>39.38</v>
      </c>
      <c r="O2213">
        <f>TEXT(A2213,"yyyy-mm")</f>
        <v/>
      </c>
    </row>
    <row r="2214">
      <c r="A2214" s="2" t="n">
        <v>45876</v>
      </c>
      <c r="B2214" t="n">
        <v>2025</v>
      </c>
      <c r="C2214" t="inlineStr">
        <is>
          <t>August</t>
        </is>
      </c>
      <c r="D2214" t="inlineStr">
        <is>
          <t>Deluxe Notebook</t>
        </is>
      </c>
      <c r="E2214" t="inlineStr">
        <is>
          <t>Books</t>
        </is>
      </c>
      <c r="F2214" t="inlineStr">
        <is>
          <t>Sophie Smith</t>
        </is>
      </c>
      <c r="G2214" t="inlineStr">
        <is>
          <t>United Kingdom</t>
        </is>
      </c>
      <c r="H2214" t="inlineStr">
        <is>
          <t>Web Store</t>
        </is>
      </c>
      <c r="I2214" t="n">
        <v>2</v>
      </c>
      <c r="J2214" s="3" t="n">
        <v>442.9</v>
      </c>
      <c r="K2214" s="3" t="n">
        <v>66.43000000000001</v>
      </c>
      <c r="L2214" s="3" t="n">
        <v>376.46</v>
      </c>
      <c r="M2214" s="3" t="n">
        <v>301.52</v>
      </c>
      <c r="N2214" s="3" t="n">
        <v>74.94</v>
      </c>
      <c r="O2214">
        <f>TEXT(A2214,"yyyy-mm")</f>
        <v/>
      </c>
    </row>
    <row r="2215">
      <c r="A2215" s="2" t="n">
        <v>45876</v>
      </c>
      <c r="B2215" t="n">
        <v>2025</v>
      </c>
      <c r="C2215" t="inlineStr">
        <is>
          <t>August</t>
        </is>
      </c>
      <c r="D2215" t="inlineStr">
        <is>
          <t>Deluxe Headphones</t>
        </is>
      </c>
      <c r="E2215" t="inlineStr">
        <is>
          <t>Electronics</t>
        </is>
      </c>
      <c r="F2215" t="inlineStr">
        <is>
          <t>Olivia Bianchi</t>
        </is>
      </c>
      <c r="G2215" t="inlineStr">
        <is>
          <t>Poland</t>
        </is>
      </c>
      <c r="H2215" t="inlineStr">
        <is>
          <t>Mobile App</t>
        </is>
      </c>
      <c r="I2215" t="n">
        <v>1</v>
      </c>
      <c r="J2215" s="3" t="n">
        <v>70.7</v>
      </c>
      <c r="K2215" s="3" t="n">
        <v>10.6</v>
      </c>
      <c r="L2215" s="3" t="n">
        <v>60.1</v>
      </c>
      <c r="M2215" s="3" t="n">
        <v>52.5</v>
      </c>
      <c r="N2215" s="3" t="n">
        <v>7.59</v>
      </c>
      <c r="O2215">
        <f>TEXT(A2215,"yyyy-mm")</f>
        <v/>
      </c>
    </row>
    <row r="2216">
      <c r="A2216" s="2" t="n">
        <v>45876</v>
      </c>
      <c r="B2216" t="n">
        <v>2025</v>
      </c>
      <c r="C2216" t="inlineStr">
        <is>
          <t>August</t>
        </is>
      </c>
      <c r="D2216" t="inlineStr">
        <is>
          <t>Classic Tent</t>
        </is>
      </c>
      <c r="E2216" t="inlineStr">
        <is>
          <t>Sports &amp; Outdoors</t>
        </is>
      </c>
      <c r="F2216" t="inlineStr">
        <is>
          <t>Olivia Bianchi</t>
        </is>
      </c>
      <c r="G2216" t="inlineStr">
        <is>
          <t>Poland</t>
        </is>
      </c>
      <c r="H2216" t="inlineStr">
        <is>
          <t>Mobile App</t>
        </is>
      </c>
      <c r="I2216" t="n">
        <v>1</v>
      </c>
      <c r="J2216" s="3" t="n">
        <v>208.86</v>
      </c>
      <c r="K2216" s="3" t="n">
        <v>0</v>
      </c>
      <c r="L2216" s="3" t="n">
        <v>208.86</v>
      </c>
      <c r="M2216" s="3" t="n">
        <v>118.02</v>
      </c>
      <c r="N2216" s="3" t="n">
        <v>90.84</v>
      </c>
      <c r="O2216">
        <f>TEXT(A2216,"yyyy-mm")</f>
        <v/>
      </c>
    </row>
    <row r="2217">
      <c r="A2217" s="2" t="n">
        <v>45876</v>
      </c>
      <c r="B2217" t="n">
        <v>2025</v>
      </c>
      <c r="C2217" t="inlineStr">
        <is>
          <t>August</t>
        </is>
      </c>
      <c r="D2217" t="inlineStr">
        <is>
          <t>Smart Face Cream</t>
        </is>
      </c>
      <c r="E2217" t="inlineStr">
        <is>
          <t>Beauty &amp; Health</t>
        </is>
      </c>
      <c r="F2217" t="inlineStr">
        <is>
          <t>Nina Weber</t>
        </is>
      </c>
      <c r="G2217" t="inlineStr">
        <is>
          <t>Italy</t>
        </is>
      </c>
      <c r="H2217" t="inlineStr">
        <is>
          <t>Web Store</t>
        </is>
      </c>
      <c r="I2217" t="n">
        <v>4</v>
      </c>
      <c r="J2217" s="3" t="n">
        <v>1011.08</v>
      </c>
      <c r="K2217" s="3" t="n">
        <v>151.66</v>
      </c>
      <c r="L2217" s="3" t="n">
        <v>859.42</v>
      </c>
      <c r="M2217" s="3" t="n">
        <v>772.5599999999999</v>
      </c>
      <c r="N2217" s="3" t="n">
        <v>86.86</v>
      </c>
      <c r="O2217">
        <f>TEXT(A2217,"yyyy-mm")</f>
        <v/>
      </c>
    </row>
    <row r="2218">
      <c r="A2218" s="2" t="n">
        <v>45877</v>
      </c>
      <c r="B2218" t="n">
        <v>2025</v>
      </c>
      <c r="C2218" t="inlineStr">
        <is>
          <t>August</t>
        </is>
      </c>
      <c r="D2218" t="inlineStr">
        <is>
          <t>Compact Jacket</t>
        </is>
      </c>
      <c r="E2218" t="inlineStr">
        <is>
          <t>Clothing</t>
        </is>
      </c>
      <c r="F2218" t="inlineStr">
        <is>
          <t>Maria Martin</t>
        </is>
      </c>
      <c r="G2218" t="inlineStr">
        <is>
          <t>Poland</t>
        </is>
      </c>
      <c r="H2218" t="inlineStr">
        <is>
          <t>Marketplace</t>
        </is>
      </c>
      <c r="I2218" t="n">
        <v>3</v>
      </c>
      <c r="J2218" s="3" t="n">
        <v>109.95</v>
      </c>
      <c r="K2218" s="3" t="n">
        <v>11</v>
      </c>
      <c r="L2218" s="3" t="n">
        <v>98.95</v>
      </c>
      <c r="M2218" s="3" t="n">
        <v>61.2</v>
      </c>
      <c r="N2218" s="3" t="n">
        <v>37.75</v>
      </c>
      <c r="O2218">
        <f>TEXT(A2218,"yyyy-mm")</f>
        <v/>
      </c>
    </row>
    <row r="2219">
      <c r="A2219" s="2" t="n">
        <v>45877</v>
      </c>
      <c r="B2219" t="n">
        <v>2025</v>
      </c>
      <c r="C2219" t="inlineStr">
        <is>
          <t>August</t>
        </is>
      </c>
      <c r="D2219" t="inlineStr">
        <is>
          <t>Essential Cushion</t>
        </is>
      </c>
      <c r="E2219" t="inlineStr">
        <is>
          <t>Home &amp; Garden</t>
        </is>
      </c>
      <c r="F2219" t="inlineStr">
        <is>
          <t>Maria Martin</t>
        </is>
      </c>
      <c r="G2219" t="inlineStr">
        <is>
          <t>Poland</t>
        </is>
      </c>
      <c r="H2219" t="inlineStr">
        <is>
          <t>Marketplace</t>
        </is>
      </c>
      <c r="I2219" t="n">
        <v>1</v>
      </c>
      <c r="J2219" s="3" t="n">
        <v>45.39</v>
      </c>
      <c r="K2219" s="3" t="n">
        <v>2.27</v>
      </c>
      <c r="L2219" s="3" t="n">
        <v>43.12</v>
      </c>
      <c r="M2219" s="3" t="n">
        <v>30.55</v>
      </c>
      <c r="N2219" s="3" t="n">
        <v>12.57</v>
      </c>
      <c r="O2219">
        <f>TEXT(A2219,"yyyy-mm")</f>
        <v/>
      </c>
    </row>
    <row r="2220">
      <c r="A2220" s="2" t="n">
        <v>45878</v>
      </c>
      <c r="B2220" t="n">
        <v>2025</v>
      </c>
      <c r="C2220" t="inlineStr">
        <is>
          <t>August</t>
        </is>
      </c>
      <c r="D2220" t="inlineStr">
        <is>
          <t>Eco Biography</t>
        </is>
      </c>
      <c r="E2220" t="inlineStr">
        <is>
          <t>Books</t>
        </is>
      </c>
      <c r="F2220" t="inlineStr">
        <is>
          <t>Emily Brown</t>
        </is>
      </c>
      <c r="G2220" t="inlineStr">
        <is>
          <t>United States</t>
        </is>
      </c>
      <c r="H2220" t="inlineStr">
        <is>
          <t>Retail Store</t>
        </is>
      </c>
      <c r="I2220" t="n">
        <v>4</v>
      </c>
      <c r="J2220" s="3" t="n">
        <v>484.04</v>
      </c>
      <c r="K2220" s="3" t="n">
        <v>0</v>
      </c>
      <c r="L2220" s="3" t="n">
        <v>484.04</v>
      </c>
      <c r="M2220" s="3" t="n">
        <v>284.08</v>
      </c>
      <c r="N2220" s="3" t="n">
        <v>199.96</v>
      </c>
      <c r="O2220">
        <f>TEXT(A2220,"yyyy-mm")</f>
        <v/>
      </c>
    </row>
    <row r="2221">
      <c r="A2221" s="2" t="n">
        <v>45878</v>
      </c>
      <c r="B2221" t="n">
        <v>2025</v>
      </c>
      <c r="C2221" t="inlineStr">
        <is>
          <t>August</t>
        </is>
      </c>
      <c r="D2221" t="inlineStr">
        <is>
          <t>Classic Charger</t>
        </is>
      </c>
      <c r="E2221" t="inlineStr">
        <is>
          <t>Electronics</t>
        </is>
      </c>
      <c r="F2221" t="inlineStr">
        <is>
          <t>Emily Brown</t>
        </is>
      </c>
      <c r="G2221" t="inlineStr">
        <is>
          <t>United States</t>
        </is>
      </c>
      <c r="H2221" t="inlineStr">
        <is>
          <t>Retail Store</t>
        </is>
      </c>
      <c r="I2221" t="n">
        <v>2</v>
      </c>
      <c r="J2221" s="3" t="n">
        <v>198.42</v>
      </c>
      <c r="K2221" s="3" t="n">
        <v>29.76</v>
      </c>
      <c r="L2221" s="3" t="n">
        <v>168.66</v>
      </c>
      <c r="M2221" s="3" t="n">
        <v>124.42</v>
      </c>
      <c r="N2221" s="3" t="n">
        <v>44.24</v>
      </c>
      <c r="O2221">
        <f>TEXT(A2221,"yyyy-mm")</f>
        <v/>
      </c>
    </row>
    <row r="2222">
      <c r="A2222" s="2" t="n">
        <v>45878</v>
      </c>
      <c r="B2222" t="n">
        <v>2025</v>
      </c>
      <c r="C2222" t="inlineStr">
        <is>
          <t>August</t>
        </is>
      </c>
      <c r="D2222" t="inlineStr">
        <is>
          <t>Portable Puzzle</t>
        </is>
      </c>
      <c r="E2222" t="inlineStr">
        <is>
          <t>Toys &amp; Games</t>
        </is>
      </c>
      <c r="F2222" t="inlineStr">
        <is>
          <t>Anna Bianchi</t>
        </is>
      </c>
      <c r="G2222" t="inlineStr">
        <is>
          <t>Italy</t>
        </is>
      </c>
      <c r="H2222" t="inlineStr">
        <is>
          <t>Retail Store</t>
        </is>
      </c>
      <c r="I2222" t="n">
        <v>4</v>
      </c>
      <c r="J2222" s="3" t="n">
        <v>443.76</v>
      </c>
      <c r="K2222" s="3" t="n">
        <v>44.38</v>
      </c>
      <c r="L2222" s="3" t="n">
        <v>399.38</v>
      </c>
      <c r="M2222" s="3" t="n">
        <v>235.2</v>
      </c>
      <c r="N2222" s="3" t="n">
        <v>164.18</v>
      </c>
      <c r="O2222">
        <f>TEXT(A2222,"yyyy-mm")</f>
        <v/>
      </c>
    </row>
    <row r="2223">
      <c r="A2223" s="2" t="n">
        <v>45878</v>
      </c>
      <c r="B2223" t="n">
        <v>2025</v>
      </c>
      <c r="C2223" t="inlineStr">
        <is>
          <t>August</t>
        </is>
      </c>
      <c r="D2223" t="inlineStr">
        <is>
          <t>Compact Biography</t>
        </is>
      </c>
      <c r="E2223" t="inlineStr">
        <is>
          <t>Books</t>
        </is>
      </c>
      <c r="F2223" t="inlineStr">
        <is>
          <t>Anna Bianchi</t>
        </is>
      </c>
      <c r="G2223" t="inlineStr">
        <is>
          <t>Italy</t>
        </is>
      </c>
      <c r="H2223" t="inlineStr">
        <is>
          <t>Retail Store</t>
        </is>
      </c>
      <c r="I2223" t="n">
        <v>4</v>
      </c>
      <c r="J2223" s="3" t="n">
        <v>1054.52</v>
      </c>
      <c r="K2223" s="3" t="n">
        <v>0</v>
      </c>
      <c r="L2223" s="3" t="n">
        <v>1054.52</v>
      </c>
      <c r="M2223" s="3" t="n">
        <v>561.3200000000001</v>
      </c>
      <c r="N2223" s="3" t="n">
        <v>493.2</v>
      </c>
      <c r="O2223">
        <f>TEXT(A2223,"yyyy-mm")</f>
        <v/>
      </c>
    </row>
    <row r="2224">
      <c r="A2224" s="2" t="n">
        <v>45878</v>
      </c>
      <c r="B2224" t="n">
        <v>2025</v>
      </c>
      <c r="C2224" t="inlineStr">
        <is>
          <t>August</t>
        </is>
      </c>
      <c r="D2224" t="inlineStr">
        <is>
          <t>Essential Planter</t>
        </is>
      </c>
      <c r="E2224" t="inlineStr">
        <is>
          <t>Home &amp; Garden</t>
        </is>
      </c>
      <c r="F2224" t="inlineStr">
        <is>
          <t>Anna Bianchi</t>
        </is>
      </c>
      <c r="G2224" t="inlineStr">
        <is>
          <t>Italy</t>
        </is>
      </c>
      <c r="H2224" t="inlineStr">
        <is>
          <t>Retail Store</t>
        </is>
      </c>
      <c r="I2224" t="n">
        <v>1</v>
      </c>
      <c r="J2224" s="3" t="n">
        <v>24.72</v>
      </c>
      <c r="K2224" s="3" t="n">
        <v>0</v>
      </c>
      <c r="L2224" s="3" t="n">
        <v>24.72</v>
      </c>
      <c r="M2224" s="3" t="n">
        <v>19.64</v>
      </c>
      <c r="N2224" s="3" t="n">
        <v>5.08</v>
      </c>
      <c r="O2224">
        <f>TEXT(A2224,"yyyy-mm")</f>
        <v/>
      </c>
    </row>
    <row r="2225">
      <c r="A2225" s="2" t="n">
        <v>45878</v>
      </c>
      <c r="B2225" t="n">
        <v>2025</v>
      </c>
      <c r="C2225" t="inlineStr">
        <is>
          <t>August</t>
        </is>
      </c>
      <c r="D2225" t="inlineStr">
        <is>
          <t>Smart Puzzle</t>
        </is>
      </c>
      <c r="E2225" t="inlineStr">
        <is>
          <t>Toys &amp; Games</t>
        </is>
      </c>
      <c r="F2225" t="inlineStr">
        <is>
          <t>Emily Brown</t>
        </is>
      </c>
      <c r="G2225" t="inlineStr">
        <is>
          <t>United States</t>
        </is>
      </c>
      <c r="H2225" t="inlineStr">
        <is>
          <t>Retail Store</t>
        </is>
      </c>
      <c r="I2225" t="n">
        <v>2</v>
      </c>
      <c r="J2225" s="3" t="n">
        <v>559.4</v>
      </c>
      <c r="K2225" s="3" t="n">
        <v>27.97</v>
      </c>
      <c r="L2225" s="3" t="n">
        <v>531.4299999999999</v>
      </c>
      <c r="M2225" s="3" t="n">
        <v>385.52</v>
      </c>
      <c r="N2225" s="3" t="n">
        <v>145.91</v>
      </c>
      <c r="O2225">
        <f>TEXT(A2225,"yyyy-mm")</f>
        <v/>
      </c>
    </row>
    <row r="2226">
      <c r="A2226" s="2" t="n">
        <v>45878</v>
      </c>
      <c r="B2226" t="n">
        <v>2025</v>
      </c>
      <c r="C2226" t="inlineStr">
        <is>
          <t>August</t>
        </is>
      </c>
      <c r="D2226" t="inlineStr">
        <is>
          <t>Essential Toolset</t>
        </is>
      </c>
      <c r="E2226" t="inlineStr">
        <is>
          <t>Home &amp; Garden</t>
        </is>
      </c>
      <c r="F2226" t="inlineStr">
        <is>
          <t>Maria Weber</t>
        </is>
      </c>
      <c r="G2226" t="inlineStr">
        <is>
          <t>Germany</t>
        </is>
      </c>
      <c r="H2226" t="inlineStr">
        <is>
          <t>Web Store</t>
        </is>
      </c>
      <c r="I2226" t="n">
        <v>4</v>
      </c>
      <c r="J2226" s="3" t="n">
        <v>823.76</v>
      </c>
      <c r="K2226" s="3" t="n">
        <v>123.56</v>
      </c>
      <c r="L2226" s="3" t="n">
        <v>700.2</v>
      </c>
      <c r="M2226" s="3" t="n">
        <v>602.12</v>
      </c>
      <c r="N2226" s="3" t="n">
        <v>98.08</v>
      </c>
      <c r="O2226">
        <f>TEXT(A2226,"yyyy-mm")</f>
        <v/>
      </c>
    </row>
    <row r="2227">
      <c r="A2227" s="2" t="n">
        <v>45878</v>
      </c>
      <c r="B2227" t="n">
        <v>2025</v>
      </c>
      <c r="C2227" t="inlineStr">
        <is>
          <t>August</t>
        </is>
      </c>
      <c r="D2227" t="inlineStr">
        <is>
          <t>Smart Camera</t>
        </is>
      </c>
      <c r="E2227" t="inlineStr">
        <is>
          <t>Electronics</t>
        </is>
      </c>
      <c r="F2227" t="inlineStr">
        <is>
          <t>Maria Weber</t>
        </is>
      </c>
      <c r="G2227" t="inlineStr">
        <is>
          <t>Germany</t>
        </is>
      </c>
      <c r="H2227" t="inlineStr">
        <is>
          <t>Web Store</t>
        </is>
      </c>
      <c r="I2227" t="n">
        <v>3</v>
      </c>
      <c r="J2227" s="3" t="n">
        <v>952.17</v>
      </c>
      <c r="K2227" s="3" t="n">
        <v>95.22</v>
      </c>
      <c r="L2227" s="3" t="n">
        <v>856.95</v>
      </c>
      <c r="M2227" s="3" t="n">
        <v>502.2</v>
      </c>
      <c r="N2227" s="3" t="n">
        <v>354.75</v>
      </c>
      <c r="O2227">
        <f>TEXT(A2227,"yyyy-mm")</f>
        <v/>
      </c>
    </row>
    <row r="2228">
      <c r="A2228" s="2" t="n">
        <v>45878</v>
      </c>
      <c r="B2228" t="n">
        <v>2025</v>
      </c>
      <c r="C2228" t="inlineStr">
        <is>
          <t>August</t>
        </is>
      </c>
      <c r="D2228" t="inlineStr">
        <is>
          <t>Ultra Toolset</t>
        </is>
      </c>
      <c r="E2228" t="inlineStr">
        <is>
          <t>Home &amp; Garden</t>
        </is>
      </c>
      <c r="F2228" t="inlineStr">
        <is>
          <t>Emily Brown</t>
        </is>
      </c>
      <c r="G2228" t="inlineStr">
        <is>
          <t>United States</t>
        </is>
      </c>
      <c r="H2228" t="inlineStr">
        <is>
          <t>Retail Store</t>
        </is>
      </c>
      <c r="I2228" t="n">
        <v>2</v>
      </c>
      <c r="J2228" s="3" t="n">
        <v>688.52</v>
      </c>
      <c r="K2228" s="3" t="n">
        <v>137.7</v>
      </c>
      <c r="L2228" s="3" t="n">
        <v>550.8200000000001</v>
      </c>
      <c r="M2228" s="3" t="n">
        <v>380.8</v>
      </c>
      <c r="N2228" s="3" t="n">
        <v>170.02</v>
      </c>
      <c r="O2228">
        <f>TEXT(A2228,"yyyy-mm")</f>
        <v/>
      </c>
    </row>
    <row r="2229">
      <c r="A2229" s="2" t="n">
        <v>45879</v>
      </c>
      <c r="B2229" t="n">
        <v>2025</v>
      </c>
      <c r="C2229" t="inlineStr">
        <is>
          <t>August</t>
        </is>
      </c>
      <c r="D2229" t="inlineStr">
        <is>
          <t>Deluxe Toothbrush</t>
        </is>
      </c>
      <c r="E2229" t="inlineStr">
        <is>
          <t>Beauty &amp; Health</t>
        </is>
      </c>
      <c r="F2229" t="inlineStr">
        <is>
          <t>Maria Dubois</t>
        </is>
      </c>
      <c r="G2229" t="inlineStr">
        <is>
          <t>United Kingdom</t>
        </is>
      </c>
      <c r="H2229" t="inlineStr">
        <is>
          <t>Retail Store</t>
        </is>
      </c>
      <c r="I2229" t="n">
        <v>4</v>
      </c>
      <c r="J2229" s="3" t="n">
        <v>1299.64</v>
      </c>
      <c r="K2229" s="3" t="n">
        <v>0</v>
      </c>
      <c r="L2229" s="3" t="n">
        <v>1299.64</v>
      </c>
      <c r="M2229" s="3" t="n">
        <v>698.28</v>
      </c>
      <c r="N2229" s="3" t="n">
        <v>601.36</v>
      </c>
      <c r="O2229">
        <f>TEXT(A2229,"yyyy-mm")</f>
        <v/>
      </c>
    </row>
    <row r="2230">
      <c r="A2230" s="2" t="n">
        <v>45879</v>
      </c>
      <c r="B2230" t="n">
        <v>2025</v>
      </c>
      <c r="C2230" t="inlineStr">
        <is>
          <t>August</t>
        </is>
      </c>
      <c r="D2230" t="inlineStr">
        <is>
          <t>Deluxe Headphones</t>
        </is>
      </c>
      <c r="E2230" t="inlineStr">
        <is>
          <t>Electronics</t>
        </is>
      </c>
      <c r="F2230" t="inlineStr">
        <is>
          <t>Maria Dubois</t>
        </is>
      </c>
      <c r="G2230" t="inlineStr">
        <is>
          <t>United Kingdom</t>
        </is>
      </c>
      <c r="H2230" t="inlineStr">
        <is>
          <t>Retail Store</t>
        </is>
      </c>
      <c r="I2230" t="n">
        <v>1</v>
      </c>
      <c r="J2230" s="3" t="n">
        <v>74.15000000000001</v>
      </c>
      <c r="K2230" s="3" t="n">
        <v>14.83</v>
      </c>
      <c r="L2230" s="3" t="n">
        <v>59.32</v>
      </c>
      <c r="M2230" s="3" t="n">
        <v>52.5</v>
      </c>
      <c r="N2230" s="3" t="n">
        <v>6.82</v>
      </c>
      <c r="O2230">
        <f>TEXT(A2230,"yyyy-mm")</f>
        <v/>
      </c>
    </row>
    <row r="2231">
      <c r="A2231" s="2" t="n">
        <v>45879</v>
      </c>
      <c r="B2231" t="n">
        <v>2025</v>
      </c>
      <c r="C2231" t="inlineStr">
        <is>
          <t>August</t>
        </is>
      </c>
      <c r="D2231" t="inlineStr">
        <is>
          <t>Eco Tent</t>
        </is>
      </c>
      <c r="E2231" t="inlineStr">
        <is>
          <t>Sports &amp; Outdoors</t>
        </is>
      </c>
      <c r="F2231" t="inlineStr">
        <is>
          <t>Mark Martin</t>
        </is>
      </c>
      <c r="G2231" t="inlineStr">
        <is>
          <t>Spain</t>
        </is>
      </c>
      <c r="H2231" t="inlineStr">
        <is>
          <t>Retail Store</t>
        </is>
      </c>
      <c r="I2231" t="n">
        <v>3</v>
      </c>
      <c r="J2231" s="3" t="n">
        <v>780.3</v>
      </c>
      <c r="K2231" s="3" t="n">
        <v>117.04</v>
      </c>
      <c r="L2231" s="3" t="n">
        <v>663.26</v>
      </c>
      <c r="M2231" s="3" t="n">
        <v>405.09</v>
      </c>
      <c r="N2231" s="3" t="n">
        <v>258.17</v>
      </c>
      <c r="O2231">
        <f>TEXT(A2231,"yyyy-mm")</f>
        <v/>
      </c>
    </row>
    <row r="2232">
      <c r="A2232" s="2" t="n">
        <v>45879</v>
      </c>
      <c r="B2232" t="n">
        <v>2025</v>
      </c>
      <c r="C2232" t="inlineStr">
        <is>
          <t>August</t>
        </is>
      </c>
      <c r="D2232" t="inlineStr">
        <is>
          <t>Essential Lamp</t>
        </is>
      </c>
      <c r="E2232" t="inlineStr">
        <is>
          <t>Home &amp; Garden</t>
        </is>
      </c>
      <c r="F2232" t="inlineStr">
        <is>
          <t>Mark Martin</t>
        </is>
      </c>
      <c r="G2232" t="inlineStr">
        <is>
          <t>Spain</t>
        </is>
      </c>
      <c r="H2232" t="inlineStr">
        <is>
          <t>Retail Store</t>
        </is>
      </c>
      <c r="I2232" t="n">
        <v>1</v>
      </c>
      <c r="J2232" s="3" t="n">
        <v>63.92</v>
      </c>
      <c r="K2232" s="3" t="n">
        <v>12.78</v>
      </c>
      <c r="L2232" s="3" t="n">
        <v>51.14</v>
      </c>
      <c r="M2232" s="3" t="n">
        <v>45.4</v>
      </c>
      <c r="N2232" s="3" t="n">
        <v>5.74</v>
      </c>
      <c r="O2232">
        <f>TEXT(A2232,"yyyy-mm")</f>
        <v/>
      </c>
    </row>
    <row r="2233">
      <c r="A2233" s="2" t="n">
        <v>45879</v>
      </c>
      <c r="B2233" t="n">
        <v>2025</v>
      </c>
      <c r="C2233" t="inlineStr">
        <is>
          <t>August</t>
        </is>
      </c>
      <c r="D2233" t="inlineStr">
        <is>
          <t>Smart Olive Oil</t>
        </is>
      </c>
      <c r="E2233" t="inlineStr">
        <is>
          <t>Grocery</t>
        </is>
      </c>
      <c r="F2233" t="inlineStr">
        <is>
          <t>Mark Martin</t>
        </is>
      </c>
      <c r="G2233" t="inlineStr">
        <is>
          <t>Spain</t>
        </is>
      </c>
      <c r="H2233" t="inlineStr">
        <is>
          <t>Retail Store</t>
        </is>
      </c>
      <c r="I2233" t="n">
        <v>2</v>
      </c>
      <c r="J2233" s="3" t="n">
        <v>324.16</v>
      </c>
      <c r="K2233" s="3" t="n">
        <v>16.21</v>
      </c>
      <c r="L2233" s="3" t="n">
        <v>307.95</v>
      </c>
      <c r="M2233" s="3" t="n">
        <v>220.04</v>
      </c>
      <c r="N2233" s="3" t="n">
        <v>87.91</v>
      </c>
      <c r="O2233">
        <f>TEXT(A2233,"yyyy-mm")</f>
        <v/>
      </c>
    </row>
    <row r="2234">
      <c r="A2234" s="2" t="n">
        <v>45879</v>
      </c>
      <c r="B2234" t="n">
        <v>2025</v>
      </c>
      <c r="C2234" t="inlineStr">
        <is>
          <t>August</t>
        </is>
      </c>
      <c r="D2234" t="inlineStr">
        <is>
          <t>Smart Board Game</t>
        </is>
      </c>
      <c r="E2234" t="inlineStr">
        <is>
          <t>Toys &amp; Games</t>
        </is>
      </c>
      <c r="F2234" t="inlineStr">
        <is>
          <t>Mark Martin</t>
        </is>
      </c>
      <c r="G2234" t="inlineStr">
        <is>
          <t>Spain</t>
        </is>
      </c>
      <c r="H2234" t="inlineStr">
        <is>
          <t>Retail Store</t>
        </is>
      </c>
      <c r="I2234" t="n">
        <v>3</v>
      </c>
      <c r="J2234" s="3" t="n">
        <v>411.12</v>
      </c>
      <c r="K2234" s="3" t="n">
        <v>61.67</v>
      </c>
      <c r="L2234" s="3" t="n">
        <v>349.45</v>
      </c>
      <c r="M2234" s="3" t="n">
        <v>275.16</v>
      </c>
      <c r="N2234" s="3" t="n">
        <v>74.29000000000001</v>
      </c>
      <c r="O2234">
        <f>TEXT(A2234,"yyyy-mm")</f>
        <v/>
      </c>
    </row>
    <row r="2235">
      <c r="A2235" s="2" t="n">
        <v>45879</v>
      </c>
      <c r="B2235" t="n">
        <v>2025</v>
      </c>
      <c r="C2235" t="inlineStr">
        <is>
          <t>August</t>
        </is>
      </c>
      <c r="D2235" t="inlineStr">
        <is>
          <t>Essential Pasta</t>
        </is>
      </c>
      <c r="E2235" t="inlineStr">
        <is>
          <t>Grocery</t>
        </is>
      </c>
      <c r="F2235" t="inlineStr">
        <is>
          <t>Clara Conti</t>
        </is>
      </c>
      <c r="G2235" t="inlineStr">
        <is>
          <t>France</t>
        </is>
      </c>
      <c r="H2235" t="inlineStr">
        <is>
          <t>Retail Store</t>
        </is>
      </c>
      <c r="I2235" t="n">
        <v>2</v>
      </c>
      <c r="J2235" s="3" t="n">
        <v>107.3</v>
      </c>
      <c r="K2235" s="3" t="n">
        <v>21.46</v>
      </c>
      <c r="L2235" s="3" t="n">
        <v>85.84</v>
      </c>
      <c r="M2235" s="3" t="n">
        <v>71.62</v>
      </c>
      <c r="N2235" s="3" t="n">
        <v>14.22</v>
      </c>
      <c r="O2235">
        <f>TEXT(A2235,"yyyy-mm")</f>
        <v/>
      </c>
    </row>
    <row r="2236">
      <c r="A2236" s="2" t="n">
        <v>45879</v>
      </c>
      <c r="B2236" t="n">
        <v>2025</v>
      </c>
      <c r="C2236" t="inlineStr">
        <is>
          <t>August</t>
        </is>
      </c>
      <c r="D2236" t="inlineStr">
        <is>
          <t>Portable Pasta</t>
        </is>
      </c>
      <c r="E2236" t="inlineStr">
        <is>
          <t>Grocery</t>
        </is>
      </c>
      <c r="F2236" t="inlineStr">
        <is>
          <t>Clara Conti</t>
        </is>
      </c>
      <c r="G2236" t="inlineStr">
        <is>
          <t>France</t>
        </is>
      </c>
      <c r="H2236" t="inlineStr">
        <is>
          <t>Retail Store</t>
        </is>
      </c>
      <c r="I2236" t="n">
        <v>4</v>
      </c>
      <c r="J2236" s="3" t="n">
        <v>145.52</v>
      </c>
      <c r="K2236" s="3" t="n">
        <v>7.28</v>
      </c>
      <c r="L2236" s="3" t="n">
        <v>138.24</v>
      </c>
      <c r="M2236" s="3" t="n">
        <v>111</v>
      </c>
      <c r="N2236" s="3" t="n">
        <v>27.24</v>
      </c>
      <c r="O2236">
        <f>TEXT(A2236,"yyyy-mm")</f>
        <v/>
      </c>
    </row>
    <row r="2237">
      <c r="A2237" s="2" t="n">
        <v>45879</v>
      </c>
      <c r="B2237" t="n">
        <v>2025</v>
      </c>
      <c r="C2237" t="inlineStr">
        <is>
          <t>August</t>
        </is>
      </c>
      <c r="D2237" t="inlineStr">
        <is>
          <t>Essential Charger</t>
        </is>
      </c>
      <c r="E2237" t="inlineStr">
        <is>
          <t>Electronics</t>
        </is>
      </c>
      <c r="F2237" t="inlineStr">
        <is>
          <t>Clara Conti</t>
        </is>
      </c>
      <c r="G2237" t="inlineStr">
        <is>
          <t>France</t>
        </is>
      </c>
      <c r="H2237" t="inlineStr">
        <is>
          <t>Retail Store</t>
        </is>
      </c>
      <c r="I2237" t="n">
        <v>5</v>
      </c>
      <c r="J2237" s="3" t="n">
        <v>228.85</v>
      </c>
      <c r="K2237" s="3" t="n">
        <v>34.33</v>
      </c>
      <c r="L2237" s="3" t="n">
        <v>194.52</v>
      </c>
      <c r="M2237" s="3" t="n">
        <v>145.5</v>
      </c>
      <c r="N2237" s="3" t="n">
        <v>49.02</v>
      </c>
      <c r="O2237">
        <f>TEXT(A2237,"yyyy-mm")</f>
        <v/>
      </c>
    </row>
    <row r="2238">
      <c r="A2238" s="2" t="n">
        <v>45879</v>
      </c>
      <c r="B2238" t="n">
        <v>2025</v>
      </c>
      <c r="C2238" t="inlineStr">
        <is>
          <t>August</t>
        </is>
      </c>
      <c r="D2238" t="inlineStr">
        <is>
          <t>Premium Tent</t>
        </is>
      </c>
      <c r="E2238" t="inlineStr">
        <is>
          <t>Sports &amp; Outdoors</t>
        </is>
      </c>
      <c r="F2238" t="inlineStr">
        <is>
          <t>Clara Conti</t>
        </is>
      </c>
      <c r="G2238" t="inlineStr">
        <is>
          <t>France</t>
        </is>
      </c>
      <c r="H2238" t="inlineStr">
        <is>
          <t>Retail Store</t>
        </is>
      </c>
      <c r="I2238" t="n">
        <v>1</v>
      </c>
      <c r="J2238" s="3" t="n">
        <v>245.59</v>
      </c>
      <c r="K2238" s="3" t="n">
        <v>24.56</v>
      </c>
      <c r="L2238" s="3" t="n">
        <v>221.03</v>
      </c>
      <c r="M2238" s="3" t="n">
        <v>165.31</v>
      </c>
      <c r="N2238" s="3" t="n">
        <v>55.72</v>
      </c>
      <c r="O2238">
        <f>TEXT(A2238,"yyyy-mm")</f>
        <v/>
      </c>
    </row>
    <row r="2239">
      <c r="A2239" s="2" t="n">
        <v>45880</v>
      </c>
      <c r="B2239" t="n">
        <v>2025</v>
      </c>
      <c r="C2239" t="inlineStr">
        <is>
          <t>August</t>
        </is>
      </c>
      <c r="D2239" t="inlineStr">
        <is>
          <t>Premium Water Bottle</t>
        </is>
      </c>
      <c r="E2239" t="inlineStr">
        <is>
          <t>Sports &amp; Outdoors</t>
        </is>
      </c>
      <c r="F2239" t="inlineStr">
        <is>
          <t>David Nowak</t>
        </is>
      </c>
      <c r="G2239" t="inlineStr">
        <is>
          <t>United Kingdom</t>
        </is>
      </c>
      <c r="H2239" t="inlineStr">
        <is>
          <t>Retail Store</t>
        </is>
      </c>
      <c r="I2239" t="n">
        <v>2</v>
      </c>
      <c r="J2239" s="3" t="n">
        <v>610.8</v>
      </c>
      <c r="K2239" s="3" t="n">
        <v>30.54</v>
      </c>
      <c r="L2239" s="3" t="n">
        <v>580.26</v>
      </c>
      <c r="M2239" s="3" t="n">
        <v>362.32</v>
      </c>
      <c r="N2239" s="3" t="n">
        <v>217.94</v>
      </c>
      <c r="O2239">
        <f>TEXT(A2239,"yyyy-mm")</f>
        <v/>
      </c>
    </row>
    <row r="2240">
      <c r="A2240" s="2" t="n">
        <v>45880</v>
      </c>
      <c r="B2240" t="n">
        <v>2025</v>
      </c>
      <c r="C2240" t="inlineStr">
        <is>
          <t>August</t>
        </is>
      </c>
      <c r="D2240" t="inlineStr">
        <is>
          <t>Smart Jeans</t>
        </is>
      </c>
      <c r="E2240" t="inlineStr">
        <is>
          <t>Clothing</t>
        </is>
      </c>
      <c r="F2240" t="inlineStr">
        <is>
          <t>David Nowak</t>
        </is>
      </c>
      <c r="G2240" t="inlineStr">
        <is>
          <t>United Kingdom</t>
        </is>
      </c>
      <c r="H2240" t="inlineStr">
        <is>
          <t>Retail Store</t>
        </is>
      </c>
      <c r="I2240" t="n">
        <v>5</v>
      </c>
      <c r="J2240" s="3" t="n">
        <v>1385.05</v>
      </c>
      <c r="K2240" s="3" t="n">
        <v>0</v>
      </c>
      <c r="L2240" s="3" t="n">
        <v>1385.05</v>
      </c>
      <c r="M2240" s="3" t="n">
        <v>968.2</v>
      </c>
      <c r="N2240" s="3" t="n">
        <v>416.85</v>
      </c>
      <c r="O2240">
        <f>TEXT(A2240,"yyyy-mm")</f>
        <v/>
      </c>
    </row>
    <row r="2241">
      <c r="A2241" s="2" t="n">
        <v>45880</v>
      </c>
      <c r="B2241" t="n">
        <v>2025</v>
      </c>
      <c r="C2241" t="inlineStr">
        <is>
          <t>August</t>
        </is>
      </c>
      <c r="D2241" t="inlineStr">
        <is>
          <t>Ultra Toolset</t>
        </is>
      </c>
      <c r="E2241" t="inlineStr">
        <is>
          <t>Home &amp; Garden</t>
        </is>
      </c>
      <c r="F2241" t="inlineStr">
        <is>
          <t>David Nowak</t>
        </is>
      </c>
      <c r="G2241" t="inlineStr">
        <is>
          <t>United Kingdom</t>
        </is>
      </c>
      <c r="H2241" t="inlineStr">
        <is>
          <t>Retail Store</t>
        </is>
      </c>
      <c r="I2241" t="n">
        <v>4</v>
      </c>
      <c r="J2241" s="3" t="n">
        <v>1416.56</v>
      </c>
      <c r="K2241" s="3" t="n">
        <v>0</v>
      </c>
      <c r="L2241" s="3" t="n">
        <v>1416.56</v>
      </c>
      <c r="M2241" s="3" t="n">
        <v>761.6</v>
      </c>
      <c r="N2241" s="3" t="n">
        <v>654.96</v>
      </c>
      <c r="O2241">
        <f>TEXT(A2241,"yyyy-mm")</f>
        <v/>
      </c>
    </row>
    <row r="2242">
      <c r="A2242" s="2" t="n">
        <v>45881</v>
      </c>
      <c r="B2242" t="n">
        <v>2025</v>
      </c>
      <c r="C2242" t="inlineStr">
        <is>
          <t>August</t>
        </is>
      </c>
      <c r="D2242" t="inlineStr">
        <is>
          <t>Wireless Coffee Beans</t>
        </is>
      </c>
      <c r="E2242" t="inlineStr">
        <is>
          <t>Grocery</t>
        </is>
      </c>
      <c r="F2242" t="inlineStr">
        <is>
          <t>Mark Lopez</t>
        </is>
      </c>
      <c r="G2242" t="inlineStr">
        <is>
          <t>Italy</t>
        </is>
      </c>
      <c r="H2242" t="inlineStr">
        <is>
          <t>Retail Store</t>
        </is>
      </c>
      <c r="I2242" t="n">
        <v>3</v>
      </c>
      <c r="J2242" s="3" t="n">
        <v>669.5700000000001</v>
      </c>
      <c r="K2242" s="3" t="n">
        <v>100.44</v>
      </c>
      <c r="L2242" s="3" t="n">
        <v>569.13</v>
      </c>
      <c r="M2242" s="3" t="n">
        <v>390.39</v>
      </c>
      <c r="N2242" s="3" t="n">
        <v>178.74</v>
      </c>
      <c r="O2242">
        <f>TEXT(A2242,"yyyy-mm")</f>
        <v/>
      </c>
    </row>
    <row r="2243">
      <c r="A2243" s="2" t="n">
        <v>45881</v>
      </c>
      <c r="B2243" t="n">
        <v>2025</v>
      </c>
      <c r="C2243" t="inlineStr">
        <is>
          <t>August</t>
        </is>
      </c>
      <c r="D2243" t="inlineStr">
        <is>
          <t>Eco Biography</t>
        </is>
      </c>
      <c r="E2243" t="inlineStr">
        <is>
          <t>Books</t>
        </is>
      </c>
      <c r="F2243" t="inlineStr">
        <is>
          <t>David Johnson</t>
        </is>
      </c>
      <c r="G2243" t="inlineStr">
        <is>
          <t>Spain</t>
        </is>
      </c>
      <c r="H2243" t="inlineStr">
        <is>
          <t>Marketplace</t>
        </is>
      </c>
      <c r="I2243" t="n">
        <v>3</v>
      </c>
      <c r="J2243" s="3" t="n">
        <v>381.48</v>
      </c>
      <c r="K2243" s="3" t="n">
        <v>76.3</v>
      </c>
      <c r="L2243" s="3" t="n">
        <v>305.18</v>
      </c>
      <c r="M2243" s="3" t="n">
        <v>213.06</v>
      </c>
      <c r="N2243" s="3" t="n">
        <v>92.12</v>
      </c>
      <c r="O2243">
        <f>TEXT(A2243,"yyyy-mm")</f>
        <v/>
      </c>
    </row>
    <row r="2244">
      <c r="A2244" s="2" t="n">
        <v>45881</v>
      </c>
      <c r="B2244" t="n">
        <v>2025</v>
      </c>
      <c r="C2244" t="inlineStr">
        <is>
          <t>August</t>
        </is>
      </c>
      <c r="D2244" t="inlineStr">
        <is>
          <t>Portable Tea Set</t>
        </is>
      </c>
      <c r="E2244" t="inlineStr">
        <is>
          <t>Grocery</t>
        </is>
      </c>
      <c r="F2244" t="inlineStr">
        <is>
          <t>Emily Garcia</t>
        </is>
      </c>
      <c r="G2244" t="inlineStr">
        <is>
          <t>Germany</t>
        </is>
      </c>
      <c r="H2244" t="inlineStr">
        <is>
          <t>Web Store</t>
        </is>
      </c>
      <c r="I2244" t="n">
        <v>2</v>
      </c>
      <c r="J2244" s="3" t="n">
        <v>562.14</v>
      </c>
      <c r="K2244" s="3" t="n">
        <v>56.21</v>
      </c>
      <c r="L2244" s="3" t="n">
        <v>505.93</v>
      </c>
      <c r="M2244" s="3" t="n">
        <v>376.24</v>
      </c>
      <c r="N2244" s="3" t="n">
        <v>129.69</v>
      </c>
      <c r="O2244">
        <f>TEXT(A2244,"yyyy-mm")</f>
        <v/>
      </c>
    </row>
    <row r="2245">
      <c r="A2245" s="2" t="n">
        <v>45881</v>
      </c>
      <c r="B2245" t="n">
        <v>2025</v>
      </c>
      <c r="C2245" t="inlineStr">
        <is>
          <t>August</t>
        </is>
      </c>
      <c r="D2245" t="inlineStr">
        <is>
          <t>Deluxe Toothbrush</t>
        </is>
      </c>
      <c r="E2245" t="inlineStr">
        <is>
          <t>Beauty &amp; Health</t>
        </is>
      </c>
      <c r="F2245" t="inlineStr">
        <is>
          <t>David Johnson</t>
        </is>
      </c>
      <c r="G2245" t="inlineStr">
        <is>
          <t>Spain</t>
        </is>
      </c>
      <c r="H2245" t="inlineStr">
        <is>
          <t>Marketplace</t>
        </is>
      </c>
      <c r="I2245" t="n">
        <v>1</v>
      </c>
      <c r="J2245" s="3" t="n">
        <v>328.03</v>
      </c>
      <c r="K2245" s="3" t="n">
        <v>32.8</v>
      </c>
      <c r="L2245" s="3" t="n">
        <v>295.23</v>
      </c>
      <c r="M2245" s="3" t="n">
        <v>174.57</v>
      </c>
      <c r="N2245" s="3" t="n">
        <v>120.66</v>
      </c>
      <c r="O2245">
        <f>TEXT(A2245,"yyyy-mm")</f>
        <v/>
      </c>
    </row>
    <row r="2246">
      <c r="A2246" s="2" t="n">
        <v>45881</v>
      </c>
      <c r="B2246" t="n">
        <v>2025</v>
      </c>
      <c r="C2246" t="inlineStr">
        <is>
          <t>August</t>
        </is>
      </c>
      <c r="D2246" t="inlineStr">
        <is>
          <t>Premium Water Bottle</t>
        </is>
      </c>
      <c r="E2246" t="inlineStr">
        <is>
          <t>Sports &amp; Outdoors</t>
        </is>
      </c>
      <c r="F2246" t="inlineStr">
        <is>
          <t>Emily Garcia</t>
        </is>
      </c>
      <c r="G2246" t="inlineStr">
        <is>
          <t>Germany</t>
        </is>
      </c>
      <c r="H2246" t="inlineStr">
        <is>
          <t>Web Store</t>
        </is>
      </c>
      <c r="I2246" t="n">
        <v>4</v>
      </c>
      <c r="J2246" s="3" t="n">
        <v>1254.8</v>
      </c>
      <c r="K2246" s="3" t="n">
        <v>0</v>
      </c>
      <c r="L2246" s="3" t="n">
        <v>1254.8</v>
      </c>
      <c r="M2246" s="3" t="n">
        <v>724.64</v>
      </c>
      <c r="N2246" s="3" t="n">
        <v>530.16</v>
      </c>
      <c r="O2246">
        <f>TEXT(A2246,"yyyy-mm")</f>
        <v/>
      </c>
    </row>
    <row r="2247">
      <c r="A2247" s="2" t="n">
        <v>45881</v>
      </c>
      <c r="B2247" t="n">
        <v>2025</v>
      </c>
      <c r="C2247" t="inlineStr">
        <is>
          <t>August</t>
        </is>
      </c>
      <c r="D2247" t="inlineStr">
        <is>
          <t>Classic Charger</t>
        </is>
      </c>
      <c r="E2247" t="inlineStr">
        <is>
          <t>Electronics</t>
        </is>
      </c>
      <c r="F2247" t="inlineStr">
        <is>
          <t>Mark Lopez</t>
        </is>
      </c>
      <c r="G2247" t="inlineStr">
        <is>
          <t>Italy</t>
        </is>
      </c>
      <c r="H2247" t="inlineStr">
        <is>
          <t>Retail Store</t>
        </is>
      </c>
      <c r="I2247" t="n">
        <v>5</v>
      </c>
      <c r="J2247" s="3" t="n">
        <v>492.15</v>
      </c>
      <c r="K2247" s="3" t="n">
        <v>0</v>
      </c>
      <c r="L2247" s="3" t="n">
        <v>492.15</v>
      </c>
      <c r="M2247" s="3" t="n">
        <v>311.05</v>
      </c>
      <c r="N2247" s="3" t="n">
        <v>181.1</v>
      </c>
      <c r="O2247">
        <f>TEXT(A2247,"yyyy-mm")</f>
        <v/>
      </c>
    </row>
    <row r="2248">
      <c r="A2248" s="2" t="n">
        <v>45881</v>
      </c>
      <c r="B2248" t="n">
        <v>2025</v>
      </c>
      <c r="C2248" t="inlineStr">
        <is>
          <t>August</t>
        </is>
      </c>
      <c r="D2248" t="inlineStr">
        <is>
          <t>Classic Tea Set</t>
        </is>
      </c>
      <c r="E2248" t="inlineStr">
        <is>
          <t>Grocery</t>
        </is>
      </c>
      <c r="F2248" t="inlineStr">
        <is>
          <t>Emily Garcia</t>
        </is>
      </c>
      <c r="G2248" t="inlineStr">
        <is>
          <t>Germany</t>
        </is>
      </c>
      <c r="H2248" t="inlineStr">
        <is>
          <t>Web Store</t>
        </is>
      </c>
      <c r="I2248" t="n">
        <v>3</v>
      </c>
      <c r="J2248" s="3" t="n">
        <v>522.15</v>
      </c>
      <c r="K2248" s="3" t="n">
        <v>78.31999999999999</v>
      </c>
      <c r="L2248" s="3" t="n">
        <v>443.83</v>
      </c>
      <c r="M2248" s="3" t="n">
        <v>376.2</v>
      </c>
      <c r="N2248" s="3" t="n">
        <v>67.63</v>
      </c>
      <c r="O2248">
        <f>TEXT(A2248,"yyyy-mm")</f>
        <v/>
      </c>
    </row>
    <row r="2249">
      <c r="A2249" s="2" t="n">
        <v>45881</v>
      </c>
      <c r="B2249" t="n">
        <v>2025</v>
      </c>
      <c r="C2249" t="inlineStr">
        <is>
          <t>August</t>
        </is>
      </c>
      <c r="D2249" t="inlineStr">
        <is>
          <t>Portable Tea Set</t>
        </is>
      </c>
      <c r="E2249" t="inlineStr">
        <is>
          <t>Grocery</t>
        </is>
      </c>
      <c r="F2249" t="inlineStr">
        <is>
          <t>Nina Muller</t>
        </is>
      </c>
      <c r="G2249" t="inlineStr">
        <is>
          <t>Spain</t>
        </is>
      </c>
      <c r="H2249" t="inlineStr">
        <is>
          <t>Web Store</t>
        </is>
      </c>
      <c r="I2249" t="n">
        <v>1</v>
      </c>
      <c r="J2249" s="3" t="n">
        <v>280.88</v>
      </c>
      <c r="K2249" s="3" t="n">
        <v>42.13</v>
      </c>
      <c r="L2249" s="3" t="n">
        <v>238.75</v>
      </c>
      <c r="M2249" s="3" t="n">
        <v>188.12</v>
      </c>
      <c r="N2249" s="3" t="n">
        <v>50.63</v>
      </c>
      <c r="O2249">
        <f>TEXT(A2249,"yyyy-mm")</f>
        <v/>
      </c>
    </row>
    <row r="2250">
      <c r="A2250" s="2" t="n">
        <v>45881</v>
      </c>
      <c r="B2250" t="n">
        <v>2025</v>
      </c>
      <c r="C2250" t="inlineStr">
        <is>
          <t>August</t>
        </is>
      </c>
      <c r="D2250" t="inlineStr">
        <is>
          <t>Essential Lamp</t>
        </is>
      </c>
      <c r="E2250" t="inlineStr">
        <is>
          <t>Home &amp; Garden</t>
        </is>
      </c>
      <c r="F2250" t="inlineStr">
        <is>
          <t>Mark Lopez</t>
        </is>
      </c>
      <c r="G2250" t="inlineStr">
        <is>
          <t>Italy</t>
        </is>
      </c>
      <c r="H2250" t="inlineStr">
        <is>
          <t>Retail Store</t>
        </is>
      </c>
      <c r="I2250" t="n">
        <v>4</v>
      </c>
      <c r="J2250" s="3" t="n">
        <v>265.44</v>
      </c>
      <c r="K2250" s="3" t="n">
        <v>39.82</v>
      </c>
      <c r="L2250" s="3" t="n">
        <v>225.62</v>
      </c>
      <c r="M2250" s="3" t="n">
        <v>181.6</v>
      </c>
      <c r="N2250" s="3" t="n">
        <v>44.02</v>
      </c>
      <c r="O2250">
        <f>TEXT(A2250,"yyyy-mm")</f>
        <v/>
      </c>
    </row>
    <row r="2251">
      <c r="A2251" s="2" t="n">
        <v>45882</v>
      </c>
      <c r="B2251" t="n">
        <v>2025</v>
      </c>
      <c r="C2251" t="inlineStr">
        <is>
          <t>August</t>
        </is>
      </c>
      <c r="D2251" t="inlineStr">
        <is>
          <t>Compact Sunscreen</t>
        </is>
      </c>
      <c r="E2251" t="inlineStr">
        <is>
          <t>Beauty &amp; Health</t>
        </is>
      </c>
      <c r="F2251" t="inlineStr">
        <is>
          <t>Clara Garcia</t>
        </is>
      </c>
      <c r="G2251" t="inlineStr">
        <is>
          <t>France</t>
        </is>
      </c>
      <c r="H2251" t="inlineStr">
        <is>
          <t>Mobile App</t>
        </is>
      </c>
      <c r="I2251" t="n">
        <v>5</v>
      </c>
      <c r="J2251" s="3" t="n">
        <v>1557.4</v>
      </c>
      <c r="K2251" s="3" t="n">
        <v>77.87</v>
      </c>
      <c r="L2251" s="3" t="n">
        <v>1479.53</v>
      </c>
      <c r="M2251" s="3" t="n">
        <v>888.3</v>
      </c>
      <c r="N2251" s="3" t="n">
        <v>591.23</v>
      </c>
      <c r="O2251">
        <f>TEXT(A2251,"yyyy-mm")</f>
        <v/>
      </c>
    </row>
    <row r="2252">
      <c r="A2252" s="2" t="n">
        <v>45882</v>
      </c>
      <c r="B2252" t="n">
        <v>2025</v>
      </c>
      <c r="C2252" t="inlineStr">
        <is>
          <t>August</t>
        </is>
      </c>
      <c r="D2252" t="inlineStr">
        <is>
          <t>Essential Cushion</t>
        </is>
      </c>
      <c r="E2252" t="inlineStr">
        <is>
          <t>Home &amp; Garden</t>
        </is>
      </c>
      <c r="F2252" t="inlineStr">
        <is>
          <t>Clara Garcia</t>
        </is>
      </c>
      <c r="G2252" t="inlineStr">
        <is>
          <t>France</t>
        </is>
      </c>
      <c r="H2252" t="inlineStr">
        <is>
          <t>Mobile App</t>
        </is>
      </c>
      <c r="I2252" t="n">
        <v>4</v>
      </c>
      <c r="J2252" s="3" t="n">
        <v>180.24</v>
      </c>
      <c r="K2252" s="3" t="n">
        <v>0</v>
      </c>
      <c r="L2252" s="3" t="n">
        <v>180.24</v>
      </c>
      <c r="M2252" s="3" t="n">
        <v>122.2</v>
      </c>
      <c r="N2252" s="3" t="n">
        <v>58.04</v>
      </c>
      <c r="O2252">
        <f>TEXT(A2252,"yyyy-mm")</f>
        <v/>
      </c>
    </row>
    <row r="2253">
      <c r="A2253" s="2" t="n">
        <v>45882</v>
      </c>
      <c r="B2253" t="n">
        <v>2025</v>
      </c>
      <c r="C2253" t="inlineStr">
        <is>
          <t>August</t>
        </is>
      </c>
      <c r="D2253" t="inlineStr">
        <is>
          <t>Smart Camera</t>
        </is>
      </c>
      <c r="E2253" t="inlineStr">
        <is>
          <t>Electronics</t>
        </is>
      </c>
      <c r="F2253" t="inlineStr">
        <is>
          <t>Clara Garcia</t>
        </is>
      </c>
      <c r="G2253" t="inlineStr">
        <is>
          <t>France</t>
        </is>
      </c>
      <c r="H2253" t="inlineStr">
        <is>
          <t>Mobile App</t>
        </is>
      </c>
      <c r="I2253" t="n">
        <v>4</v>
      </c>
      <c r="J2253" s="3" t="n">
        <v>491.76</v>
      </c>
      <c r="K2253" s="3" t="n">
        <v>0</v>
      </c>
      <c r="L2253" s="3" t="n">
        <v>491.76</v>
      </c>
      <c r="M2253" s="3" t="n">
        <v>342.32</v>
      </c>
      <c r="N2253" s="3" t="n">
        <v>149.44</v>
      </c>
      <c r="O2253">
        <f>TEXT(A2253,"yyyy-mm")</f>
        <v/>
      </c>
    </row>
    <row r="2254">
      <c r="A2254" s="2" t="n">
        <v>45882</v>
      </c>
      <c r="B2254" t="n">
        <v>2025</v>
      </c>
      <c r="C2254" t="inlineStr">
        <is>
          <t>August</t>
        </is>
      </c>
      <c r="D2254" t="inlineStr">
        <is>
          <t>Smart Tea Set</t>
        </is>
      </c>
      <c r="E2254" t="inlineStr">
        <is>
          <t>Grocery</t>
        </is>
      </c>
      <c r="F2254" t="inlineStr">
        <is>
          <t>Clara Schmidt</t>
        </is>
      </c>
      <c r="G2254" t="inlineStr">
        <is>
          <t>Spain</t>
        </is>
      </c>
      <c r="H2254" t="inlineStr">
        <is>
          <t>Web Store</t>
        </is>
      </c>
      <c r="I2254" t="n">
        <v>1</v>
      </c>
      <c r="J2254" s="3" t="n">
        <v>91.56</v>
      </c>
      <c r="K2254" s="3" t="n">
        <v>18.31</v>
      </c>
      <c r="L2254" s="3" t="n">
        <v>73.25</v>
      </c>
      <c r="M2254" s="3" t="n">
        <v>61.8</v>
      </c>
      <c r="N2254" s="3" t="n">
        <v>11.45</v>
      </c>
      <c r="O2254">
        <f>TEXT(A2254,"yyyy-mm")</f>
        <v/>
      </c>
    </row>
    <row r="2255">
      <c r="A2255" s="2" t="n">
        <v>45882</v>
      </c>
      <c r="B2255" t="n">
        <v>2025</v>
      </c>
      <c r="C2255" t="inlineStr">
        <is>
          <t>August</t>
        </is>
      </c>
      <c r="D2255" t="inlineStr">
        <is>
          <t>Eco Sweater</t>
        </is>
      </c>
      <c r="E2255" t="inlineStr">
        <is>
          <t>Clothing</t>
        </is>
      </c>
      <c r="F2255" t="inlineStr">
        <is>
          <t>Clara Schmidt</t>
        </is>
      </c>
      <c r="G2255" t="inlineStr">
        <is>
          <t>Spain</t>
        </is>
      </c>
      <c r="H2255" t="inlineStr">
        <is>
          <t>Web Store</t>
        </is>
      </c>
      <c r="I2255" t="n">
        <v>2</v>
      </c>
      <c r="J2255" s="3" t="n">
        <v>312.04</v>
      </c>
      <c r="K2255" s="3" t="n">
        <v>0</v>
      </c>
      <c r="L2255" s="3" t="n">
        <v>312.04</v>
      </c>
      <c r="M2255" s="3" t="n">
        <v>208.46</v>
      </c>
      <c r="N2255" s="3" t="n">
        <v>103.58</v>
      </c>
      <c r="O2255">
        <f>TEXT(A2255,"yyyy-mm")</f>
        <v/>
      </c>
    </row>
    <row r="2256">
      <c r="A2256" s="2" t="n">
        <v>45882</v>
      </c>
      <c r="B2256" t="n">
        <v>2025</v>
      </c>
      <c r="C2256" t="inlineStr">
        <is>
          <t>August</t>
        </is>
      </c>
      <c r="D2256" t="inlineStr">
        <is>
          <t>Classic Coffee Beans</t>
        </is>
      </c>
      <c r="E2256" t="inlineStr">
        <is>
          <t>Grocery</t>
        </is>
      </c>
      <c r="F2256" t="inlineStr">
        <is>
          <t>Mark Brown</t>
        </is>
      </c>
      <c r="G2256" t="inlineStr">
        <is>
          <t>France</t>
        </is>
      </c>
      <c r="H2256" t="inlineStr">
        <is>
          <t>Mobile App</t>
        </is>
      </c>
      <c r="I2256" t="n">
        <v>4</v>
      </c>
      <c r="J2256" s="3" t="n">
        <v>1288.92</v>
      </c>
      <c r="K2256" s="3" t="n">
        <v>64.45</v>
      </c>
      <c r="L2256" s="3" t="n">
        <v>1224.47</v>
      </c>
      <c r="M2256" s="3" t="n">
        <v>779.04</v>
      </c>
      <c r="N2256" s="3" t="n">
        <v>445.43</v>
      </c>
      <c r="O2256">
        <f>TEXT(A2256,"yyyy-mm")</f>
        <v/>
      </c>
    </row>
    <row r="2257">
      <c r="A2257" s="2" t="n">
        <v>45882</v>
      </c>
      <c r="B2257" t="n">
        <v>2025</v>
      </c>
      <c r="C2257" t="inlineStr">
        <is>
          <t>August</t>
        </is>
      </c>
      <c r="D2257" t="inlineStr">
        <is>
          <t>Essential Charger</t>
        </is>
      </c>
      <c r="E2257" t="inlineStr">
        <is>
          <t>Electronics</t>
        </is>
      </c>
      <c r="F2257" t="inlineStr">
        <is>
          <t>Mark Brown</t>
        </is>
      </c>
      <c r="G2257" t="inlineStr">
        <is>
          <t>France</t>
        </is>
      </c>
      <c r="H2257" t="inlineStr">
        <is>
          <t>Mobile App</t>
        </is>
      </c>
      <c r="I2257" t="n">
        <v>3</v>
      </c>
      <c r="J2257" s="3" t="n">
        <v>126.69</v>
      </c>
      <c r="K2257" s="3" t="n">
        <v>25.34</v>
      </c>
      <c r="L2257" s="3" t="n">
        <v>101.35</v>
      </c>
      <c r="M2257" s="3" t="n">
        <v>87.3</v>
      </c>
      <c r="N2257" s="3" t="n">
        <v>14.05</v>
      </c>
      <c r="O2257">
        <f>TEXT(A2257,"yyyy-mm")</f>
        <v/>
      </c>
    </row>
    <row r="2258">
      <c r="A2258" s="2" t="n">
        <v>45882</v>
      </c>
      <c r="B2258" t="n">
        <v>2025</v>
      </c>
      <c r="C2258" t="inlineStr">
        <is>
          <t>August</t>
        </is>
      </c>
      <c r="D2258" t="inlineStr">
        <is>
          <t>Deluxe Headphones</t>
        </is>
      </c>
      <c r="E2258" t="inlineStr">
        <is>
          <t>Electronics</t>
        </is>
      </c>
      <c r="F2258" t="inlineStr">
        <is>
          <t>Mark Brown</t>
        </is>
      </c>
      <c r="G2258" t="inlineStr">
        <is>
          <t>France</t>
        </is>
      </c>
      <c r="H2258" t="inlineStr">
        <is>
          <t>Mobile App</t>
        </is>
      </c>
      <c r="I2258" t="n">
        <v>4</v>
      </c>
      <c r="J2258" s="3" t="n">
        <v>287.72</v>
      </c>
      <c r="K2258" s="3" t="n">
        <v>0</v>
      </c>
      <c r="L2258" s="3" t="n">
        <v>287.72</v>
      </c>
      <c r="M2258" s="3" t="n">
        <v>210</v>
      </c>
      <c r="N2258" s="3" t="n">
        <v>77.72</v>
      </c>
      <c r="O2258">
        <f>TEXT(A2258,"yyyy-mm")</f>
        <v/>
      </c>
    </row>
    <row r="2259">
      <c r="A2259" s="2" t="n">
        <v>45882</v>
      </c>
      <c r="B2259" t="n">
        <v>2025</v>
      </c>
      <c r="C2259" t="inlineStr">
        <is>
          <t>August</t>
        </is>
      </c>
      <c r="D2259" t="inlineStr">
        <is>
          <t>Classic Atlas</t>
        </is>
      </c>
      <c r="E2259" t="inlineStr">
        <is>
          <t>Books</t>
        </is>
      </c>
      <c r="F2259" t="inlineStr">
        <is>
          <t>Peter Smith</t>
        </is>
      </c>
      <c r="G2259" t="inlineStr">
        <is>
          <t>Italy</t>
        </is>
      </c>
      <c r="H2259" t="inlineStr">
        <is>
          <t>Mobile App</t>
        </is>
      </c>
      <c r="I2259" t="n">
        <v>4</v>
      </c>
      <c r="J2259" s="3" t="n">
        <v>238.76</v>
      </c>
      <c r="K2259" s="3" t="n">
        <v>47.75</v>
      </c>
      <c r="L2259" s="3" t="n">
        <v>191.01</v>
      </c>
      <c r="M2259" s="3" t="n">
        <v>138.36</v>
      </c>
      <c r="N2259" s="3" t="n">
        <v>52.65</v>
      </c>
      <c r="O2259">
        <f>TEXT(A2259,"yyyy-mm")</f>
        <v/>
      </c>
    </row>
    <row r="2260">
      <c r="A2260" s="2" t="n">
        <v>45882</v>
      </c>
      <c r="B2260" t="n">
        <v>2025</v>
      </c>
      <c r="C2260" t="inlineStr">
        <is>
          <t>August</t>
        </is>
      </c>
      <c r="D2260" t="inlineStr">
        <is>
          <t>Smart Puzzle</t>
        </is>
      </c>
      <c r="E2260" t="inlineStr">
        <is>
          <t>Toys &amp; Games</t>
        </is>
      </c>
      <c r="F2260" t="inlineStr">
        <is>
          <t>Peter Smith</t>
        </is>
      </c>
      <c r="G2260" t="inlineStr">
        <is>
          <t>Italy</t>
        </is>
      </c>
      <c r="H2260" t="inlineStr">
        <is>
          <t>Mobile App</t>
        </is>
      </c>
      <c r="I2260" t="n">
        <v>5</v>
      </c>
      <c r="J2260" s="3" t="n">
        <v>1304.7</v>
      </c>
      <c r="K2260" s="3" t="n">
        <v>0</v>
      </c>
      <c r="L2260" s="3" t="n">
        <v>1304.7</v>
      </c>
      <c r="M2260" s="3" t="n">
        <v>963.8</v>
      </c>
      <c r="N2260" s="3" t="n">
        <v>340.9</v>
      </c>
      <c r="O2260">
        <f>TEXT(A2260,"yyyy-mm")</f>
        <v/>
      </c>
    </row>
    <row r="2261">
      <c r="A2261" s="2" t="n">
        <v>45883</v>
      </c>
      <c r="B2261" t="n">
        <v>2025</v>
      </c>
      <c r="C2261" t="inlineStr">
        <is>
          <t>August</t>
        </is>
      </c>
      <c r="D2261" t="inlineStr">
        <is>
          <t>Smart Sweater</t>
        </is>
      </c>
      <c r="E2261" t="inlineStr">
        <is>
          <t>Clothing</t>
        </is>
      </c>
      <c r="F2261" t="inlineStr">
        <is>
          <t>Clara Zielinski</t>
        </is>
      </c>
      <c r="G2261" t="inlineStr">
        <is>
          <t>United States</t>
        </is>
      </c>
      <c r="H2261" t="inlineStr">
        <is>
          <t>Marketplace</t>
        </is>
      </c>
      <c r="I2261" t="n">
        <v>4</v>
      </c>
      <c r="J2261" s="3" t="n">
        <v>556.92</v>
      </c>
      <c r="K2261" s="3" t="n">
        <v>83.54000000000001</v>
      </c>
      <c r="L2261" s="3" t="n">
        <v>473.38</v>
      </c>
      <c r="M2261" s="3" t="n">
        <v>309.4</v>
      </c>
      <c r="N2261" s="3" t="n">
        <v>163.98</v>
      </c>
      <c r="O2261">
        <f>TEXT(A2261,"yyyy-mm")</f>
        <v/>
      </c>
    </row>
    <row r="2262">
      <c r="A2262" s="2" t="n">
        <v>45883</v>
      </c>
      <c r="B2262" t="n">
        <v>2025</v>
      </c>
      <c r="C2262" t="inlineStr">
        <is>
          <t>August</t>
        </is>
      </c>
      <c r="D2262" t="inlineStr">
        <is>
          <t>Smart Board Game</t>
        </is>
      </c>
      <c r="E2262" t="inlineStr">
        <is>
          <t>Toys &amp; Games</t>
        </is>
      </c>
      <c r="F2262" t="inlineStr">
        <is>
          <t>Clara Zielinski</t>
        </is>
      </c>
      <c r="G2262" t="inlineStr">
        <is>
          <t>United States</t>
        </is>
      </c>
      <c r="H2262" t="inlineStr">
        <is>
          <t>Marketplace</t>
        </is>
      </c>
      <c r="I2262" t="n">
        <v>5</v>
      </c>
      <c r="J2262" s="3" t="n">
        <v>664.55</v>
      </c>
      <c r="K2262" s="3" t="n">
        <v>0</v>
      </c>
      <c r="L2262" s="3" t="n">
        <v>664.55</v>
      </c>
      <c r="M2262" s="3" t="n">
        <v>458.6</v>
      </c>
      <c r="N2262" s="3" t="n">
        <v>205.95</v>
      </c>
      <c r="O2262">
        <f>TEXT(A2262,"yyyy-mm")</f>
        <v/>
      </c>
    </row>
    <row r="2263">
      <c r="A2263" s="2" t="n">
        <v>45883</v>
      </c>
      <c r="B2263" t="n">
        <v>2025</v>
      </c>
      <c r="C2263" t="inlineStr">
        <is>
          <t>August</t>
        </is>
      </c>
      <c r="D2263" t="inlineStr">
        <is>
          <t>Deluxe Cookbook</t>
        </is>
      </c>
      <c r="E2263" t="inlineStr">
        <is>
          <t>Books</t>
        </is>
      </c>
      <c r="F2263" t="inlineStr">
        <is>
          <t>David Wojcik</t>
        </is>
      </c>
      <c r="G2263" t="inlineStr">
        <is>
          <t>Germany</t>
        </is>
      </c>
      <c r="H2263" t="inlineStr">
        <is>
          <t>Retail Store</t>
        </is>
      </c>
      <c r="I2263" t="n">
        <v>1</v>
      </c>
      <c r="J2263" s="3" t="n">
        <v>131.39</v>
      </c>
      <c r="K2263" s="3" t="n">
        <v>0</v>
      </c>
      <c r="L2263" s="3" t="n">
        <v>131.39</v>
      </c>
      <c r="M2263" s="3" t="n">
        <v>85.27</v>
      </c>
      <c r="N2263" s="3" t="n">
        <v>46.12</v>
      </c>
      <c r="O2263">
        <f>TEXT(A2263,"yyyy-mm")</f>
        <v/>
      </c>
    </row>
    <row r="2264">
      <c r="A2264" s="2" t="n">
        <v>45883</v>
      </c>
      <c r="B2264" t="n">
        <v>2025</v>
      </c>
      <c r="C2264" t="inlineStr">
        <is>
          <t>August</t>
        </is>
      </c>
      <c r="D2264" t="inlineStr">
        <is>
          <t>Smart Jeans</t>
        </is>
      </c>
      <c r="E2264" t="inlineStr">
        <is>
          <t>Clothing</t>
        </is>
      </c>
      <c r="F2264" t="inlineStr">
        <is>
          <t>Clara Lopez</t>
        </is>
      </c>
      <c r="G2264" t="inlineStr">
        <is>
          <t>France</t>
        </is>
      </c>
      <c r="H2264" t="inlineStr">
        <is>
          <t>Web Store</t>
        </is>
      </c>
      <c r="I2264" t="n">
        <v>3</v>
      </c>
      <c r="J2264" s="3" t="n">
        <v>828.6</v>
      </c>
      <c r="K2264" s="3" t="n">
        <v>165.72</v>
      </c>
      <c r="L2264" s="3" t="n">
        <v>662.88</v>
      </c>
      <c r="M2264" s="3" t="n">
        <v>580.92</v>
      </c>
      <c r="N2264" s="3" t="n">
        <v>81.95999999999999</v>
      </c>
      <c r="O2264">
        <f>TEXT(A2264,"yyyy-mm")</f>
        <v/>
      </c>
    </row>
    <row r="2265">
      <c r="A2265" s="2" t="n">
        <v>45883</v>
      </c>
      <c r="B2265" t="n">
        <v>2025</v>
      </c>
      <c r="C2265" t="inlineStr">
        <is>
          <t>August</t>
        </is>
      </c>
      <c r="D2265" t="inlineStr">
        <is>
          <t>Eco Tent</t>
        </is>
      </c>
      <c r="E2265" t="inlineStr">
        <is>
          <t>Sports &amp; Outdoors</t>
        </is>
      </c>
      <c r="F2265" t="inlineStr">
        <is>
          <t>Clara Lopez</t>
        </is>
      </c>
      <c r="G2265" t="inlineStr">
        <is>
          <t>France</t>
        </is>
      </c>
      <c r="H2265" t="inlineStr">
        <is>
          <t>Web Store</t>
        </is>
      </c>
      <c r="I2265" t="n">
        <v>5</v>
      </c>
      <c r="J2265" s="3" t="n">
        <v>1208.3</v>
      </c>
      <c r="K2265" s="3" t="n">
        <v>120.83</v>
      </c>
      <c r="L2265" s="3" t="n">
        <v>1087.47</v>
      </c>
      <c r="M2265" s="3" t="n">
        <v>675.15</v>
      </c>
      <c r="N2265" s="3" t="n">
        <v>412.32</v>
      </c>
      <c r="O2265">
        <f>TEXT(A2265,"yyyy-mm")</f>
        <v/>
      </c>
    </row>
    <row r="2266">
      <c r="A2266" s="2" t="n">
        <v>45883</v>
      </c>
      <c r="B2266" t="n">
        <v>2025</v>
      </c>
      <c r="C2266" t="inlineStr">
        <is>
          <t>August</t>
        </is>
      </c>
      <c r="D2266" t="inlineStr">
        <is>
          <t>Portable Notebook</t>
        </is>
      </c>
      <c r="E2266" t="inlineStr">
        <is>
          <t>Books</t>
        </is>
      </c>
      <c r="F2266" t="inlineStr">
        <is>
          <t>Olivia Wojcik</t>
        </is>
      </c>
      <c r="G2266" t="inlineStr">
        <is>
          <t>France</t>
        </is>
      </c>
      <c r="H2266" t="inlineStr">
        <is>
          <t>Web Store</t>
        </is>
      </c>
      <c r="I2266" t="n">
        <v>1</v>
      </c>
      <c r="J2266" s="3" t="n">
        <v>131.87</v>
      </c>
      <c r="K2266" s="3" t="n">
        <v>0</v>
      </c>
      <c r="L2266" s="3" t="n">
        <v>131.87</v>
      </c>
      <c r="M2266" s="3" t="n">
        <v>71.28</v>
      </c>
      <c r="N2266" s="3" t="n">
        <v>60.59</v>
      </c>
      <c r="O2266">
        <f>TEXT(A2266,"yyyy-mm")</f>
        <v/>
      </c>
    </row>
    <row r="2267">
      <c r="A2267" s="2" t="n">
        <v>45884</v>
      </c>
      <c r="B2267" t="n">
        <v>2025</v>
      </c>
      <c r="C2267" t="inlineStr">
        <is>
          <t>August</t>
        </is>
      </c>
      <c r="D2267" t="inlineStr">
        <is>
          <t>Premium Tent</t>
        </is>
      </c>
      <c r="E2267" t="inlineStr">
        <is>
          <t>Sports &amp; Outdoors</t>
        </is>
      </c>
      <c r="F2267" t="inlineStr">
        <is>
          <t>Thomas Kowalski</t>
        </is>
      </c>
      <c r="G2267" t="inlineStr">
        <is>
          <t>Poland</t>
        </is>
      </c>
      <c r="H2267" t="inlineStr">
        <is>
          <t>Web Store</t>
        </is>
      </c>
      <c r="I2267" t="n">
        <v>1</v>
      </c>
      <c r="J2267" s="3" t="n">
        <v>138.51</v>
      </c>
      <c r="K2267" s="3" t="n">
        <v>0</v>
      </c>
      <c r="L2267" s="3" t="n">
        <v>138.51</v>
      </c>
      <c r="M2267" s="3" t="n">
        <v>96.40000000000001</v>
      </c>
      <c r="N2267" s="3" t="n">
        <v>42.11</v>
      </c>
      <c r="O2267">
        <f>TEXT(A2267,"yyyy-mm")</f>
        <v/>
      </c>
    </row>
    <row r="2268">
      <c r="A2268" s="2" t="n">
        <v>45884</v>
      </c>
      <c r="B2268" t="n">
        <v>2025</v>
      </c>
      <c r="C2268" t="inlineStr">
        <is>
          <t>August</t>
        </is>
      </c>
      <c r="D2268" t="inlineStr">
        <is>
          <t>Smart Puzzle</t>
        </is>
      </c>
      <c r="E2268" t="inlineStr">
        <is>
          <t>Toys &amp; Games</t>
        </is>
      </c>
      <c r="F2268" t="inlineStr">
        <is>
          <t>Thomas Kowalski</t>
        </is>
      </c>
      <c r="G2268" t="inlineStr">
        <is>
          <t>Poland</t>
        </is>
      </c>
      <c r="H2268" t="inlineStr">
        <is>
          <t>Web Store</t>
        </is>
      </c>
      <c r="I2268" t="n">
        <v>4</v>
      </c>
      <c r="J2268" s="3" t="n">
        <v>1067.52</v>
      </c>
      <c r="K2268" s="3" t="n">
        <v>0</v>
      </c>
      <c r="L2268" s="3" t="n">
        <v>1067.52</v>
      </c>
      <c r="M2268" s="3" t="n">
        <v>771.04</v>
      </c>
      <c r="N2268" s="3" t="n">
        <v>296.48</v>
      </c>
      <c r="O2268">
        <f>TEXT(A2268,"yyyy-mm")</f>
        <v/>
      </c>
    </row>
    <row r="2269">
      <c r="A2269" s="2" t="n">
        <v>45884</v>
      </c>
      <c r="B2269" t="n">
        <v>2025</v>
      </c>
      <c r="C2269" t="inlineStr">
        <is>
          <t>August</t>
        </is>
      </c>
      <c r="D2269" t="inlineStr">
        <is>
          <t>Premium Rug</t>
        </is>
      </c>
      <c r="E2269" t="inlineStr">
        <is>
          <t>Home &amp; Garden</t>
        </is>
      </c>
      <c r="F2269" t="inlineStr">
        <is>
          <t>Thomas Kowalski</t>
        </is>
      </c>
      <c r="G2269" t="inlineStr">
        <is>
          <t>Poland</t>
        </is>
      </c>
      <c r="H2269" t="inlineStr">
        <is>
          <t>Web Store</t>
        </is>
      </c>
      <c r="I2269" t="n">
        <v>5</v>
      </c>
      <c r="J2269" s="3" t="n">
        <v>920.3</v>
      </c>
      <c r="K2269" s="3" t="n">
        <v>0</v>
      </c>
      <c r="L2269" s="3" t="n">
        <v>920.3</v>
      </c>
      <c r="M2269" s="3" t="n">
        <v>555.95</v>
      </c>
      <c r="N2269" s="3" t="n">
        <v>364.35</v>
      </c>
      <c r="O2269">
        <f>TEXT(A2269,"yyyy-mm")</f>
        <v/>
      </c>
    </row>
    <row r="2270">
      <c r="A2270" s="2" t="n">
        <v>45884</v>
      </c>
      <c r="B2270" t="n">
        <v>2025</v>
      </c>
      <c r="C2270" t="inlineStr">
        <is>
          <t>August</t>
        </is>
      </c>
      <c r="D2270" t="inlineStr">
        <is>
          <t>Smart Jeans</t>
        </is>
      </c>
      <c r="E2270" t="inlineStr">
        <is>
          <t>Clothing</t>
        </is>
      </c>
      <c r="F2270" t="inlineStr">
        <is>
          <t>Thomas Kowalski</t>
        </is>
      </c>
      <c r="G2270" t="inlineStr">
        <is>
          <t>Poland</t>
        </is>
      </c>
      <c r="H2270" t="inlineStr">
        <is>
          <t>Web Store</t>
        </is>
      </c>
      <c r="I2270" t="n">
        <v>3</v>
      </c>
      <c r="J2270" s="3" t="n">
        <v>893.25</v>
      </c>
      <c r="K2270" s="3" t="n">
        <v>133.99</v>
      </c>
      <c r="L2270" s="3" t="n">
        <v>759.26</v>
      </c>
      <c r="M2270" s="3" t="n">
        <v>580.92</v>
      </c>
      <c r="N2270" s="3" t="n">
        <v>178.34</v>
      </c>
      <c r="O2270">
        <f>TEXT(A2270,"yyyy-mm")</f>
        <v/>
      </c>
    </row>
    <row r="2271">
      <c r="A2271" s="2" t="n">
        <v>45884</v>
      </c>
      <c r="B2271" t="n">
        <v>2025</v>
      </c>
      <c r="C2271" t="inlineStr">
        <is>
          <t>August</t>
        </is>
      </c>
      <c r="D2271" t="inlineStr">
        <is>
          <t>Smart Drone</t>
        </is>
      </c>
      <c r="E2271" t="inlineStr">
        <is>
          <t>Toys &amp; Games</t>
        </is>
      </c>
      <c r="F2271" t="inlineStr">
        <is>
          <t>Anna Fischer</t>
        </is>
      </c>
      <c r="G2271" t="inlineStr">
        <is>
          <t>Poland</t>
        </is>
      </c>
      <c r="H2271" t="inlineStr">
        <is>
          <t>Retail Store</t>
        </is>
      </c>
      <c r="I2271" t="n">
        <v>2</v>
      </c>
      <c r="J2271" s="3" t="n">
        <v>437.66</v>
      </c>
      <c r="K2271" s="3" t="n">
        <v>0</v>
      </c>
      <c r="L2271" s="3" t="n">
        <v>437.66</v>
      </c>
      <c r="M2271" s="3" t="n">
        <v>253.9</v>
      </c>
      <c r="N2271" s="3" t="n">
        <v>183.76</v>
      </c>
      <c r="O2271">
        <f>TEXT(A2271,"yyyy-mm")</f>
        <v/>
      </c>
    </row>
    <row r="2272">
      <c r="A2272" s="2" t="n">
        <v>45884</v>
      </c>
      <c r="B2272" t="n">
        <v>2025</v>
      </c>
      <c r="C2272" t="inlineStr">
        <is>
          <t>August</t>
        </is>
      </c>
      <c r="D2272" t="inlineStr">
        <is>
          <t>Essential Notebook</t>
        </is>
      </c>
      <c r="E2272" t="inlineStr">
        <is>
          <t>Books</t>
        </is>
      </c>
      <c r="F2272" t="inlineStr">
        <is>
          <t>Daniel Conti</t>
        </is>
      </c>
      <c r="G2272" t="inlineStr">
        <is>
          <t>United Kingdom</t>
        </is>
      </c>
      <c r="H2272" t="inlineStr">
        <is>
          <t>Marketplace</t>
        </is>
      </c>
      <c r="I2272" t="n">
        <v>1</v>
      </c>
      <c r="J2272" s="3" t="n">
        <v>117.83</v>
      </c>
      <c r="K2272" s="3" t="n">
        <v>0</v>
      </c>
      <c r="L2272" s="3" t="n">
        <v>117.83</v>
      </c>
      <c r="M2272" s="3" t="n">
        <v>79.09999999999999</v>
      </c>
      <c r="N2272" s="3" t="n">
        <v>38.73</v>
      </c>
      <c r="O2272">
        <f>TEXT(A2272,"yyyy-mm")</f>
        <v/>
      </c>
    </row>
    <row r="2273">
      <c r="A2273" s="2" t="n">
        <v>45884</v>
      </c>
      <c r="B2273" t="n">
        <v>2025</v>
      </c>
      <c r="C2273" t="inlineStr">
        <is>
          <t>August</t>
        </is>
      </c>
      <c r="D2273" t="inlineStr">
        <is>
          <t>Smart Honey</t>
        </is>
      </c>
      <c r="E2273" t="inlineStr">
        <is>
          <t>Grocery</t>
        </is>
      </c>
      <c r="F2273" t="inlineStr">
        <is>
          <t>Daniel Conti</t>
        </is>
      </c>
      <c r="G2273" t="inlineStr">
        <is>
          <t>United Kingdom</t>
        </is>
      </c>
      <c r="H2273" t="inlineStr">
        <is>
          <t>Marketplace</t>
        </is>
      </c>
      <c r="I2273" t="n">
        <v>4</v>
      </c>
      <c r="J2273" s="3" t="n">
        <v>519.16</v>
      </c>
      <c r="K2273" s="3" t="n">
        <v>77.87</v>
      </c>
      <c r="L2273" s="3" t="n">
        <v>441.29</v>
      </c>
      <c r="M2273" s="3" t="n">
        <v>285.76</v>
      </c>
      <c r="N2273" s="3" t="n">
        <v>155.53</v>
      </c>
      <c r="O2273">
        <f>TEXT(A2273,"yyyy-mm")</f>
        <v/>
      </c>
    </row>
    <row r="2274">
      <c r="A2274" s="2" t="n">
        <v>45885</v>
      </c>
      <c r="B2274" t="n">
        <v>2025</v>
      </c>
      <c r="C2274" t="inlineStr">
        <is>
          <t>August</t>
        </is>
      </c>
      <c r="D2274" t="inlineStr">
        <is>
          <t>Smart Cookbook</t>
        </is>
      </c>
      <c r="E2274" t="inlineStr">
        <is>
          <t>Books</t>
        </is>
      </c>
      <c r="F2274" t="inlineStr">
        <is>
          <t>Olivia Bianchi</t>
        </is>
      </c>
      <c r="G2274" t="inlineStr">
        <is>
          <t>Poland</t>
        </is>
      </c>
      <c r="H2274" t="inlineStr">
        <is>
          <t>Mobile App</t>
        </is>
      </c>
      <c r="I2274" t="n">
        <v>1</v>
      </c>
      <c r="J2274" s="3" t="n">
        <v>18.67</v>
      </c>
      <c r="K2274" s="3" t="n">
        <v>1.87</v>
      </c>
      <c r="L2274" s="3" t="n">
        <v>16.8</v>
      </c>
      <c r="M2274" s="3" t="n">
        <v>9.880000000000001</v>
      </c>
      <c r="N2274" s="3" t="n">
        <v>6.92</v>
      </c>
      <c r="O2274">
        <f>TEXT(A2274,"yyyy-mm")</f>
        <v/>
      </c>
    </row>
    <row r="2275">
      <c r="A2275" s="2" t="n">
        <v>45885</v>
      </c>
      <c r="B2275" t="n">
        <v>2025</v>
      </c>
      <c r="C2275" t="inlineStr">
        <is>
          <t>August</t>
        </is>
      </c>
      <c r="D2275" t="inlineStr">
        <is>
          <t>Portable Speaker</t>
        </is>
      </c>
      <c r="E2275" t="inlineStr">
        <is>
          <t>Electronics</t>
        </is>
      </c>
      <c r="F2275" t="inlineStr">
        <is>
          <t>Olivia Bianchi</t>
        </is>
      </c>
      <c r="G2275" t="inlineStr">
        <is>
          <t>Poland</t>
        </is>
      </c>
      <c r="H2275" t="inlineStr">
        <is>
          <t>Mobile App</t>
        </is>
      </c>
      <c r="I2275" t="n">
        <v>2</v>
      </c>
      <c r="J2275" s="3" t="n">
        <v>638.66</v>
      </c>
      <c r="K2275" s="3" t="n">
        <v>0</v>
      </c>
      <c r="L2275" s="3" t="n">
        <v>638.66</v>
      </c>
      <c r="M2275" s="3" t="n">
        <v>349.66</v>
      </c>
      <c r="N2275" s="3" t="n">
        <v>289</v>
      </c>
      <c r="O2275">
        <f>TEXT(A2275,"yyyy-mm")</f>
        <v/>
      </c>
    </row>
    <row r="2276">
      <c r="A2276" s="2" t="n">
        <v>45885</v>
      </c>
      <c r="B2276" t="n">
        <v>2025</v>
      </c>
      <c r="C2276" t="inlineStr">
        <is>
          <t>August</t>
        </is>
      </c>
      <c r="D2276" t="inlineStr">
        <is>
          <t>Essential Notebook</t>
        </is>
      </c>
      <c r="E2276" t="inlineStr">
        <is>
          <t>Books</t>
        </is>
      </c>
      <c r="F2276" t="inlineStr">
        <is>
          <t>Olivia Bianchi</t>
        </is>
      </c>
      <c r="G2276" t="inlineStr">
        <is>
          <t>Poland</t>
        </is>
      </c>
      <c r="H2276" t="inlineStr">
        <is>
          <t>Mobile App</t>
        </is>
      </c>
      <c r="I2276" t="n">
        <v>4</v>
      </c>
      <c r="J2276" s="3" t="n">
        <v>466.16</v>
      </c>
      <c r="K2276" s="3" t="n">
        <v>93.23</v>
      </c>
      <c r="L2276" s="3" t="n">
        <v>372.93</v>
      </c>
      <c r="M2276" s="3" t="n">
        <v>316.4</v>
      </c>
      <c r="N2276" s="3" t="n">
        <v>56.53</v>
      </c>
      <c r="O2276">
        <f>TEXT(A2276,"yyyy-mm")</f>
        <v/>
      </c>
    </row>
    <row r="2277">
      <c r="A2277" s="2" t="n">
        <v>45885</v>
      </c>
      <c r="B2277" t="n">
        <v>2025</v>
      </c>
      <c r="C2277" t="inlineStr">
        <is>
          <t>August</t>
        </is>
      </c>
      <c r="D2277" t="inlineStr">
        <is>
          <t>Smart Coffee Beans</t>
        </is>
      </c>
      <c r="E2277" t="inlineStr">
        <is>
          <t>Grocery</t>
        </is>
      </c>
      <c r="F2277" t="inlineStr">
        <is>
          <t>Olivia Bianchi</t>
        </is>
      </c>
      <c r="G2277" t="inlineStr">
        <is>
          <t>Poland</t>
        </is>
      </c>
      <c r="H2277" t="inlineStr">
        <is>
          <t>Mobile App</t>
        </is>
      </c>
      <c r="I2277" t="n">
        <v>5</v>
      </c>
      <c r="J2277" s="3" t="n">
        <v>525.35</v>
      </c>
      <c r="K2277" s="3" t="n">
        <v>0</v>
      </c>
      <c r="L2277" s="3" t="n">
        <v>525.35</v>
      </c>
      <c r="M2277" s="3" t="n">
        <v>364.25</v>
      </c>
      <c r="N2277" s="3" t="n">
        <v>161.1</v>
      </c>
      <c r="O2277">
        <f>TEXT(A2277,"yyyy-mm")</f>
        <v/>
      </c>
    </row>
    <row r="2278">
      <c r="A2278" s="2" t="n">
        <v>45885</v>
      </c>
      <c r="B2278" t="n">
        <v>2025</v>
      </c>
      <c r="C2278" t="inlineStr">
        <is>
          <t>August</t>
        </is>
      </c>
      <c r="D2278" t="inlineStr">
        <is>
          <t>Essential Pasta</t>
        </is>
      </c>
      <c r="E2278" t="inlineStr">
        <is>
          <t>Grocery</t>
        </is>
      </c>
      <c r="F2278" t="inlineStr">
        <is>
          <t>Thomas Lopez</t>
        </is>
      </c>
      <c r="G2278" t="inlineStr">
        <is>
          <t>Spain</t>
        </is>
      </c>
      <c r="H2278" t="inlineStr">
        <is>
          <t>Marketplace</t>
        </is>
      </c>
      <c r="I2278" t="n">
        <v>1</v>
      </c>
      <c r="J2278" s="3" t="n">
        <v>57.97</v>
      </c>
      <c r="K2278" s="3" t="n">
        <v>8.699999999999999</v>
      </c>
      <c r="L2278" s="3" t="n">
        <v>49.27</v>
      </c>
      <c r="M2278" s="3" t="n">
        <v>35.81</v>
      </c>
      <c r="N2278" s="3" t="n">
        <v>13.46</v>
      </c>
      <c r="O2278">
        <f>TEXT(A2278,"yyyy-mm")</f>
        <v/>
      </c>
    </row>
    <row r="2279">
      <c r="A2279" s="2" t="n">
        <v>45885</v>
      </c>
      <c r="B2279" t="n">
        <v>2025</v>
      </c>
      <c r="C2279" t="inlineStr">
        <is>
          <t>August</t>
        </is>
      </c>
      <c r="D2279" t="inlineStr">
        <is>
          <t>Compact Pasta</t>
        </is>
      </c>
      <c r="E2279" t="inlineStr">
        <is>
          <t>Grocery</t>
        </is>
      </c>
      <c r="F2279" t="inlineStr">
        <is>
          <t>Thomas Lopez</t>
        </is>
      </c>
      <c r="G2279" t="inlineStr">
        <is>
          <t>Spain</t>
        </is>
      </c>
      <c r="H2279" t="inlineStr">
        <is>
          <t>Marketplace</t>
        </is>
      </c>
      <c r="I2279" t="n">
        <v>3</v>
      </c>
      <c r="J2279" s="3" t="n">
        <v>944.7</v>
      </c>
      <c r="K2279" s="3" t="n">
        <v>0</v>
      </c>
      <c r="L2279" s="3" t="n">
        <v>944.7</v>
      </c>
      <c r="M2279" s="3" t="n">
        <v>598.2</v>
      </c>
      <c r="N2279" s="3" t="n">
        <v>346.5</v>
      </c>
      <c r="O2279">
        <f>TEXT(A2279,"yyyy-mm")</f>
        <v/>
      </c>
    </row>
    <row r="2280">
      <c r="A2280" s="2" t="n">
        <v>45885</v>
      </c>
      <c r="B2280" t="n">
        <v>2025</v>
      </c>
      <c r="C2280" t="inlineStr">
        <is>
          <t>August</t>
        </is>
      </c>
      <c r="D2280" t="inlineStr">
        <is>
          <t>Eco Tent</t>
        </is>
      </c>
      <c r="E2280" t="inlineStr">
        <is>
          <t>Sports &amp; Outdoors</t>
        </is>
      </c>
      <c r="F2280" t="inlineStr">
        <is>
          <t>Thomas Lopez</t>
        </is>
      </c>
      <c r="G2280" t="inlineStr">
        <is>
          <t>Spain</t>
        </is>
      </c>
      <c r="H2280" t="inlineStr">
        <is>
          <t>Marketplace</t>
        </is>
      </c>
      <c r="I2280" t="n">
        <v>3</v>
      </c>
      <c r="J2280" s="3" t="n">
        <v>782.3099999999999</v>
      </c>
      <c r="K2280" s="3" t="n">
        <v>39.12</v>
      </c>
      <c r="L2280" s="3" t="n">
        <v>743.1900000000001</v>
      </c>
      <c r="M2280" s="3" t="n">
        <v>405.09</v>
      </c>
      <c r="N2280" s="3" t="n">
        <v>338.1</v>
      </c>
      <c r="O2280">
        <f>TEXT(A2280,"yyyy-mm")</f>
        <v/>
      </c>
    </row>
    <row r="2281">
      <c r="A2281" s="2" t="n">
        <v>45885</v>
      </c>
      <c r="B2281" t="n">
        <v>2025</v>
      </c>
      <c r="C2281" t="inlineStr">
        <is>
          <t>August</t>
        </is>
      </c>
      <c r="D2281" t="inlineStr">
        <is>
          <t>Wireless Honey</t>
        </is>
      </c>
      <c r="E2281" t="inlineStr">
        <is>
          <t>Grocery</t>
        </is>
      </c>
      <c r="F2281" t="inlineStr">
        <is>
          <t>Sophie Brown</t>
        </is>
      </c>
      <c r="G2281" t="inlineStr">
        <is>
          <t>United States</t>
        </is>
      </c>
      <c r="H2281" t="inlineStr">
        <is>
          <t>Mobile App</t>
        </is>
      </c>
      <c r="I2281" t="n">
        <v>2</v>
      </c>
      <c r="J2281" s="3" t="n">
        <v>251.48</v>
      </c>
      <c r="K2281" s="3" t="n">
        <v>37.72</v>
      </c>
      <c r="L2281" s="3" t="n">
        <v>213.76</v>
      </c>
      <c r="M2281" s="3" t="n">
        <v>188.14</v>
      </c>
      <c r="N2281" s="3" t="n">
        <v>25.62</v>
      </c>
      <c r="O2281">
        <f>TEXT(A2281,"yyyy-mm")</f>
        <v/>
      </c>
    </row>
    <row r="2282">
      <c r="A2282" s="2" t="n">
        <v>45885</v>
      </c>
      <c r="B2282" t="n">
        <v>2025</v>
      </c>
      <c r="C2282" t="inlineStr">
        <is>
          <t>August</t>
        </is>
      </c>
      <c r="D2282" t="inlineStr">
        <is>
          <t>Smart Camera</t>
        </is>
      </c>
      <c r="E2282" t="inlineStr">
        <is>
          <t>Electronics</t>
        </is>
      </c>
      <c r="F2282" t="inlineStr">
        <is>
          <t>Sophie Brown</t>
        </is>
      </c>
      <c r="G2282" t="inlineStr">
        <is>
          <t>United States</t>
        </is>
      </c>
      <c r="H2282" t="inlineStr">
        <is>
          <t>Mobile App</t>
        </is>
      </c>
      <c r="I2282" t="n">
        <v>5</v>
      </c>
      <c r="J2282" s="3" t="n">
        <v>1551.25</v>
      </c>
      <c r="K2282" s="3" t="n">
        <v>77.56</v>
      </c>
      <c r="L2282" s="3" t="n">
        <v>1473.69</v>
      </c>
      <c r="M2282" s="3" t="n">
        <v>837</v>
      </c>
      <c r="N2282" s="3" t="n">
        <v>636.6900000000001</v>
      </c>
      <c r="O2282">
        <f>TEXT(A2282,"yyyy-mm")</f>
        <v/>
      </c>
    </row>
    <row r="2283">
      <c r="A2283" s="2" t="n">
        <v>45885</v>
      </c>
      <c r="B2283" t="n">
        <v>2025</v>
      </c>
      <c r="C2283" t="inlineStr">
        <is>
          <t>August</t>
        </is>
      </c>
      <c r="D2283" t="inlineStr">
        <is>
          <t>Deluxe Smartwatch</t>
        </is>
      </c>
      <c r="E2283" t="inlineStr">
        <is>
          <t>Electronics</t>
        </is>
      </c>
      <c r="F2283" t="inlineStr">
        <is>
          <t>Sophie Brown</t>
        </is>
      </c>
      <c r="G2283" t="inlineStr">
        <is>
          <t>United States</t>
        </is>
      </c>
      <c r="H2283" t="inlineStr">
        <is>
          <t>Mobile App</t>
        </is>
      </c>
      <c r="I2283" t="n">
        <v>4</v>
      </c>
      <c r="J2283" s="3" t="n">
        <v>637.16</v>
      </c>
      <c r="K2283" s="3" t="n">
        <v>95.56999999999999</v>
      </c>
      <c r="L2283" s="3" t="n">
        <v>541.59</v>
      </c>
      <c r="M2283" s="3" t="n">
        <v>490.88</v>
      </c>
      <c r="N2283" s="3" t="n">
        <v>50.71</v>
      </c>
      <c r="O2283">
        <f>TEXT(A2283,"yyyy-mm")</f>
        <v/>
      </c>
    </row>
    <row r="2284">
      <c r="A2284" s="2" t="n">
        <v>45885</v>
      </c>
      <c r="B2284" t="n">
        <v>2025</v>
      </c>
      <c r="C2284" t="inlineStr">
        <is>
          <t>August</t>
        </is>
      </c>
      <c r="D2284" t="inlineStr">
        <is>
          <t>Premium Tent</t>
        </is>
      </c>
      <c r="E2284" t="inlineStr">
        <is>
          <t>Sports &amp; Outdoors</t>
        </is>
      </c>
      <c r="F2284" t="inlineStr">
        <is>
          <t>Sophie Brown</t>
        </is>
      </c>
      <c r="G2284" t="inlineStr">
        <is>
          <t>United States</t>
        </is>
      </c>
      <c r="H2284" t="inlineStr">
        <is>
          <t>Mobile App</t>
        </is>
      </c>
      <c r="I2284" t="n">
        <v>4</v>
      </c>
      <c r="J2284" s="3" t="n">
        <v>544.24</v>
      </c>
      <c r="K2284" s="3" t="n">
        <v>54.42</v>
      </c>
      <c r="L2284" s="3" t="n">
        <v>489.82</v>
      </c>
      <c r="M2284" s="3" t="n">
        <v>385.6</v>
      </c>
      <c r="N2284" s="3" t="n">
        <v>104.22</v>
      </c>
      <c r="O2284">
        <f>TEXT(A2284,"yyyy-mm")</f>
        <v/>
      </c>
    </row>
    <row r="2285">
      <c r="A2285" s="2" t="n">
        <v>45885</v>
      </c>
      <c r="B2285" t="n">
        <v>2025</v>
      </c>
      <c r="C2285" t="inlineStr">
        <is>
          <t>August</t>
        </is>
      </c>
      <c r="D2285" t="inlineStr">
        <is>
          <t>Premium Tent</t>
        </is>
      </c>
      <c r="E2285" t="inlineStr">
        <is>
          <t>Sports &amp; Outdoors</t>
        </is>
      </c>
      <c r="F2285" t="inlineStr">
        <is>
          <t>Maria Garcia</t>
        </is>
      </c>
      <c r="G2285" t="inlineStr">
        <is>
          <t>United Kingdom</t>
        </is>
      </c>
      <c r="H2285" t="inlineStr">
        <is>
          <t>Mobile App</t>
        </is>
      </c>
      <c r="I2285" t="n">
        <v>3</v>
      </c>
      <c r="J2285" s="3" t="n">
        <v>791.9400000000001</v>
      </c>
      <c r="K2285" s="3" t="n">
        <v>39.6</v>
      </c>
      <c r="L2285" s="3" t="n">
        <v>752.34</v>
      </c>
      <c r="M2285" s="3" t="n">
        <v>417.12</v>
      </c>
      <c r="N2285" s="3" t="n">
        <v>335.22</v>
      </c>
      <c r="O2285">
        <f>TEXT(A2285,"yyyy-mm")</f>
        <v/>
      </c>
    </row>
    <row r="2286">
      <c r="A2286" s="2" t="n">
        <v>45885</v>
      </c>
      <c r="B2286" t="n">
        <v>2025</v>
      </c>
      <c r="C2286" t="inlineStr">
        <is>
          <t>August</t>
        </is>
      </c>
      <c r="D2286" t="inlineStr">
        <is>
          <t>Smart Cookbook</t>
        </is>
      </c>
      <c r="E2286" t="inlineStr">
        <is>
          <t>Books</t>
        </is>
      </c>
      <c r="F2286" t="inlineStr">
        <is>
          <t>Maria Garcia</t>
        </is>
      </c>
      <c r="G2286" t="inlineStr">
        <is>
          <t>United Kingdom</t>
        </is>
      </c>
      <c r="H2286" t="inlineStr">
        <is>
          <t>Mobile App</t>
        </is>
      </c>
      <c r="I2286" t="n">
        <v>1</v>
      </c>
      <c r="J2286" s="3" t="n">
        <v>17.23</v>
      </c>
      <c r="K2286" s="3" t="n">
        <v>0</v>
      </c>
      <c r="L2286" s="3" t="n">
        <v>17.23</v>
      </c>
      <c r="M2286" s="3" t="n">
        <v>9.880000000000001</v>
      </c>
      <c r="N2286" s="3" t="n">
        <v>7.35</v>
      </c>
      <c r="O2286">
        <f>TEXT(A2286,"yyyy-mm")</f>
        <v/>
      </c>
    </row>
    <row r="2287">
      <c r="A2287" s="2" t="n">
        <v>45885</v>
      </c>
      <c r="B2287" t="n">
        <v>2025</v>
      </c>
      <c r="C2287" t="inlineStr">
        <is>
          <t>August</t>
        </is>
      </c>
      <c r="D2287" t="inlineStr">
        <is>
          <t>Essential Jacket</t>
        </is>
      </c>
      <c r="E2287" t="inlineStr">
        <is>
          <t>Clothing</t>
        </is>
      </c>
      <c r="F2287" t="inlineStr">
        <is>
          <t>Maria Garcia</t>
        </is>
      </c>
      <c r="G2287" t="inlineStr">
        <is>
          <t>United Kingdom</t>
        </is>
      </c>
      <c r="H2287" t="inlineStr">
        <is>
          <t>Mobile App</t>
        </is>
      </c>
      <c r="I2287" t="n">
        <v>3</v>
      </c>
      <c r="J2287" s="3" t="n">
        <v>423.81</v>
      </c>
      <c r="K2287" s="3" t="n">
        <v>0</v>
      </c>
      <c r="L2287" s="3" t="n">
        <v>423.81</v>
      </c>
      <c r="M2287" s="3" t="n">
        <v>256.05</v>
      </c>
      <c r="N2287" s="3" t="n">
        <v>167.76</v>
      </c>
      <c r="O2287">
        <f>TEXT(A2287,"yyyy-mm")</f>
        <v/>
      </c>
    </row>
    <row r="2288">
      <c r="A2288" s="2" t="n">
        <v>45885</v>
      </c>
      <c r="B2288" t="n">
        <v>2025</v>
      </c>
      <c r="C2288" t="inlineStr">
        <is>
          <t>August</t>
        </is>
      </c>
      <c r="D2288" t="inlineStr">
        <is>
          <t>Smart Charger</t>
        </is>
      </c>
      <c r="E2288" t="inlineStr">
        <is>
          <t>Electronics</t>
        </is>
      </c>
      <c r="F2288" t="inlineStr">
        <is>
          <t>Michael Nowak</t>
        </is>
      </c>
      <c r="G2288" t="inlineStr">
        <is>
          <t>Spain</t>
        </is>
      </c>
      <c r="H2288" t="inlineStr">
        <is>
          <t>Marketplace</t>
        </is>
      </c>
      <c r="I2288" t="n">
        <v>1</v>
      </c>
      <c r="J2288" s="3" t="n">
        <v>40.61</v>
      </c>
      <c r="K2288" s="3" t="n">
        <v>0</v>
      </c>
      <c r="L2288" s="3" t="n">
        <v>40.61</v>
      </c>
      <c r="M2288" s="3" t="n">
        <v>27.64</v>
      </c>
      <c r="N2288" s="3" t="n">
        <v>12.97</v>
      </c>
      <c r="O2288">
        <f>TEXT(A2288,"yyyy-mm")</f>
        <v/>
      </c>
    </row>
    <row r="2289">
      <c r="A2289" s="2" t="n">
        <v>45885</v>
      </c>
      <c r="B2289" t="n">
        <v>2025</v>
      </c>
      <c r="C2289" t="inlineStr">
        <is>
          <t>August</t>
        </is>
      </c>
      <c r="D2289" t="inlineStr">
        <is>
          <t>Smart Puzzle</t>
        </is>
      </c>
      <c r="E2289" t="inlineStr">
        <is>
          <t>Toys &amp; Games</t>
        </is>
      </c>
      <c r="F2289" t="inlineStr">
        <is>
          <t>Maria Garcia</t>
        </is>
      </c>
      <c r="G2289" t="inlineStr">
        <is>
          <t>United Kingdom</t>
        </is>
      </c>
      <c r="H2289" t="inlineStr">
        <is>
          <t>Mobile App</t>
        </is>
      </c>
      <c r="I2289" t="n">
        <v>2</v>
      </c>
      <c r="J2289" s="3" t="n">
        <v>556.76</v>
      </c>
      <c r="K2289" s="3" t="n">
        <v>55.68</v>
      </c>
      <c r="L2289" s="3" t="n">
        <v>501.08</v>
      </c>
      <c r="M2289" s="3" t="n">
        <v>385.52</v>
      </c>
      <c r="N2289" s="3" t="n">
        <v>115.56</v>
      </c>
      <c r="O2289">
        <f>TEXT(A2289,"yyyy-mm")</f>
        <v/>
      </c>
    </row>
    <row r="2290">
      <c r="A2290" s="2" t="n">
        <v>45886</v>
      </c>
      <c r="B2290" t="n">
        <v>2025</v>
      </c>
      <c r="C2290" t="inlineStr">
        <is>
          <t>August</t>
        </is>
      </c>
      <c r="D2290" t="inlineStr">
        <is>
          <t>Deluxe Toolset</t>
        </is>
      </c>
      <c r="E2290" t="inlineStr">
        <is>
          <t>Home &amp; Garden</t>
        </is>
      </c>
      <c r="F2290" t="inlineStr">
        <is>
          <t>Daniel Garcia</t>
        </is>
      </c>
      <c r="G2290" t="inlineStr">
        <is>
          <t>Spain</t>
        </is>
      </c>
      <c r="H2290" t="inlineStr">
        <is>
          <t>Retail Store</t>
        </is>
      </c>
      <c r="I2290" t="n">
        <v>5</v>
      </c>
      <c r="J2290" s="3" t="n">
        <v>325.1</v>
      </c>
      <c r="K2290" s="3" t="n">
        <v>48.76</v>
      </c>
      <c r="L2290" s="3" t="n">
        <v>276.33</v>
      </c>
      <c r="M2290" s="3" t="n">
        <v>238.55</v>
      </c>
      <c r="N2290" s="3" t="n">
        <v>37.78</v>
      </c>
      <c r="O2290">
        <f>TEXT(A2290,"yyyy-mm")</f>
        <v/>
      </c>
    </row>
    <row r="2291">
      <c r="A2291" s="2" t="n">
        <v>45886</v>
      </c>
      <c r="B2291" t="n">
        <v>2025</v>
      </c>
      <c r="C2291" t="inlineStr">
        <is>
          <t>August</t>
        </is>
      </c>
      <c r="D2291" t="inlineStr">
        <is>
          <t>Eco Drone</t>
        </is>
      </c>
      <c r="E2291" t="inlineStr">
        <is>
          <t>Toys &amp; Games</t>
        </is>
      </c>
      <c r="F2291" t="inlineStr">
        <is>
          <t>Daniel Garcia</t>
        </is>
      </c>
      <c r="G2291" t="inlineStr">
        <is>
          <t>Spain</t>
        </is>
      </c>
      <c r="H2291" t="inlineStr">
        <is>
          <t>Retail Store</t>
        </is>
      </c>
      <c r="I2291" t="n">
        <v>5</v>
      </c>
      <c r="J2291" s="3" t="n">
        <v>1012.6</v>
      </c>
      <c r="K2291" s="3" t="n">
        <v>0</v>
      </c>
      <c r="L2291" s="3" t="n">
        <v>1012.6</v>
      </c>
      <c r="M2291" s="3" t="n">
        <v>647.95</v>
      </c>
      <c r="N2291" s="3" t="n">
        <v>364.65</v>
      </c>
      <c r="O2291">
        <f>TEXT(A2291,"yyyy-mm")</f>
        <v/>
      </c>
    </row>
    <row r="2292">
      <c r="A2292" s="2" t="n">
        <v>45886</v>
      </c>
      <c r="B2292" t="n">
        <v>2025</v>
      </c>
      <c r="C2292" t="inlineStr">
        <is>
          <t>August</t>
        </is>
      </c>
      <c r="D2292" t="inlineStr">
        <is>
          <t>Smart Puzzle</t>
        </is>
      </c>
      <c r="E2292" t="inlineStr">
        <is>
          <t>Toys &amp; Games</t>
        </is>
      </c>
      <c r="F2292" t="inlineStr">
        <is>
          <t>Daniel Garcia</t>
        </is>
      </c>
      <c r="G2292" t="inlineStr">
        <is>
          <t>Spain</t>
        </is>
      </c>
      <c r="H2292" t="inlineStr">
        <is>
          <t>Retail Store</t>
        </is>
      </c>
      <c r="I2292" t="n">
        <v>1</v>
      </c>
      <c r="J2292" s="3" t="n">
        <v>276.87</v>
      </c>
      <c r="K2292" s="3" t="n">
        <v>0</v>
      </c>
      <c r="L2292" s="3" t="n">
        <v>276.87</v>
      </c>
      <c r="M2292" s="3" t="n">
        <v>192.76</v>
      </c>
      <c r="N2292" s="3" t="n">
        <v>84.11</v>
      </c>
      <c r="O2292">
        <f>TEXT(A2292,"yyyy-mm")</f>
        <v/>
      </c>
    </row>
    <row r="2293">
      <c r="A2293" s="2" t="n">
        <v>45886</v>
      </c>
      <c r="B2293" t="n">
        <v>2025</v>
      </c>
      <c r="C2293" t="inlineStr">
        <is>
          <t>August</t>
        </is>
      </c>
      <c r="D2293" t="inlineStr">
        <is>
          <t>Premium Tent</t>
        </is>
      </c>
      <c r="E2293" t="inlineStr">
        <is>
          <t>Sports &amp; Outdoors</t>
        </is>
      </c>
      <c r="F2293" t="inlineStr">
        <is>
          <t>Daniel Garcia</t>
        </is>
      </c>
      <c r="G2293" t="inlineStr">
        <is>
          <t>Spain</t>
        </is>
      </c>
      <c r="H2293" t="inlineStr">
        <is>
          <t>Retail Store</t>
        </is>
      </c>
      <c r="I2293" t="n">
        <v>2</v>
      </c>
      <c r="J2293" s="3" t="n">
        <v>517.24</v>
      </c>
      <c r="K2293" s="3" t="n">
        <v>25.86</v>
      </c>
      <c r="L2293" s="3" t="n">
        <v>491.38</v>
      </c>
      <c r="M2293" s="3" t="n">
        <v>278.08</v>
      </c>
      <c r="N2293" s="3" t="n">
        <v>213.3</v>
      </c>
      <c r="O2293">
        <f>TEXT(A2293,"yyyy-mm")</f>
        <v/>
      </c>
    </row>
    <row r="2294">
      <c r="A2294" s="2" t="n">
        <v>45886</v>
      </c>
      <c r="B2294" t="n">
        <v>2025</v>
      </c>
      <c r="C2294" t="inlineStr">
        <is>
          <t>August</t>
        </is>
      </c>
      <c r="D2294" t="inlineStr">
        <is>
          <t>Smart Drone</t>
        </is>
      </c>
      <c r="E2294" t="inlineStr">
        <is>
          <t>Toys &amp; Games</t>
        </is>
      </c>
      <c r="F2294" t="inlineStr">
        <is>
          <t>James Zielinski</t>
        </is>
      </c>
      <c r="G2294" t="inlineStr">
        <is>
          <t>France</t>
        </is>
      </c>
      <c r="H2294" t="inlineStr">
        <is>
          <t>Retail Store</t>
        </is>
      </c>
      <c r="I2294" t="n">
        <v>3</v>
      </c>
      <c r="J2294" s="3" t="n">
        <v>663.27</v>
      </c>
      <c r="K2294" s="3" t="n">
        <v>0</v>
      </c>
      <c r="L2294" s="3" t="n">
        <v>663.27</v>
      </c>
      <c r="M2294" s="3" t="n">
        <v>380.85</v>
      </c>
      <c r="N2294" s="3" t="n">
        <v>282.42</v>
      </c>
      <c r="O2294">
        <f>TEXT(A2294,"yyyy-mm")</f>
        <v/>
      </c>
    </row>
    <row r="2295">
      <c r="A2295" s="2" t="n">
        <v>45886</v>
      </c>
      <c r="B2295" t="n">
        <v>2025</v>
      </c>
      <c r="C2295" t="inlineStr">
        <is>
          <t>August</t>
        </is>
      </c>
      <c r="D2295" t="inlineStr">
        <is>
          <t>Essential Vitamins</t>
        </is>
      </c>
      <c r="E2295" t="inlineStr">
        <is>
          <t>Beauty &amp; Health</t>
        </is>
      </c>
      <c r="F2295" t="inlineStr">
        <is>
          <t>James Zielinski</t>
        </is>
      </c>
      <c r="G2295" t="inlineStr">
        <is>
          <t>France</t>
        </is>
      </c>
      <c r="H2295" t="inlineStr">
        <is>
          <t>Retail Store</t>
        </is>
      </c>
      <c r="I2295" t="n">
        <v>1</v>
      </c>
      <c r="J2295" s="3" t="n">
        <v>166.51</v>
      </c>
      <c r="K2295" s="3" t="n">
        <v>0</v>
      </c>
      <c r="L2295" s="3" t="n">
        <v>166.51</v>
      </c>
      <c r="M2295" s="3" t="n">
        <v>110.3</v>
      </c>
      <c r="N2295" s="3" t="n">
        <v>56.21</v>
      </c>
      <c r="O2295">
        <f>TEXT(A2295,"yyyy-mm")</f>
        <v/>
      </c>
    </row>
    <row r="2296">
      <c r="A2296" s="2" t="n">
        <v>45886</v>
      </c>
      <c r="B2296" t="n">
        <v>2025</v>
      </c>
      <c r="C2296" t="inlineStr">
        <is>
          <t>August</t>
        </is>
      </c>
      <c r="D2296" t="inlineStr">
        <is>
          <t>Portable Toolset</t>
        </is>
      </c>
      <c r="E2296" t="inlineStr">
        <is>
          <t>Home &amp; Garden</t>
        </is>
      </c>
      <c r="F2296" t="inlineStr">
        <is>
          <t>James Zielinski</t>
        </is>
      </c>
      <c r="G2296" t="inlineStr">
        <is>
          <t>France</t>
        </is>
      </c>
      <c r="H2296" t="inlineStr">
        <is>
          <t>Retail Store</t>
        </is>
      </c>
      <c r="I2296" t="n">
        <v>4</v>
      </c>
      <c r="J2296" s="3" t="n">
        <v>593.2</v>
      </c>
      <c r="K2296" s="3" t="n">
        <v>59.32</v>
      </c>
      <c r="L2296" s="3" t="n">
        <v>533.88</v>
      </c>
      <c r="M2296" s="3" t="n">
        <v>371.4</v>
      </c>
      <c r="N2296" s="3" t="n">
        <v>162.48</v>
      </c>
      <c r="O2296">
        <f>TEXT(A2296,"yyyy-mm")</f>
        <v/>
      </c>
    </row>
    <row r="2297">
      <c r="A2297" s="2" t="n">
        <v>45886</v>
      </c>
      <c r="B2297" t="n">
        <v>2025</v>
      </c>
      <c r="C2297" t="inlineStr">
        <is>
          <t>August</t>
        </is>
      </c>
      <c r="D2297" t="inlineStr">
        <is>
          <t>Deluxe Puzzle</t>
        </is>
      </c>
      <c r="E2297" t="inlineStr">
        <is>
          <t>Toys &amp; Games</t>
        </is>
      </c>
      <c r="F2297" t="inlineStr">
        <is>
          <t>James Zielinski</t>
        </is>
      </c>
      <c r="G2297" t="inlineStr">
        <is>
          <t>France</t>
        </is>
      </c>
      <c r="H2297" t="inlineStr">
        <is>
          <t>Retail Store</t>
        </is>
      </c>
      <c r="I2297" t="n">
        <v>2</v>
      </c>
      <c r="J2297" s="3" t="n">
        <v>440.46</v>
      </c>
      <c r="K2297" s="3" t="n">
        <v>0</v>
      </c>
      <c r="L2297" s="3" t="n">
        <v>440.46</v>
      </c>
      <c r="M2297" s="3" t="n">
        <v>222.34</v>
      </c>
      <c r="N2297" s="3" t="n">
        <v>218.12</v>
      </c>
      <c r="O2297">
        <f>TEXT(A2297,"yyyy-mm")</f>
        <v/>
      </c>
    </row>
    <row r="2298">
      <c r="A2298" s="2" t="n">
        <v>45887</v>
      </c>
      <c r="B2298" t="n">
        <v>2025</v>
      </c>
      <c r="C2298" t="inlineStr">
        <is>
          <t>August</t>
        </is>
      </c>
      <c r="D2298" t="inlineStr">
        <is>
          <t>Eco Planter</t>
        </is>
      </c>
      <c r="E2298" t="inlineStr">
        <is>
          <t>Home &amp; Garden</t>
        </is>
      </c>
      <c r="F2298" t="inlineStr">
        <is>
          <t>David Johnson</t>
        </is>
      </c>
      <c r="G2298" t="inlineStr">
        <is>
          <t>Netherlands</t>
        </is>
      </c>
      <c r="H2298" t="inlineStr">
        <is>
          <t>Mobile App</t>
        </is>
      </c>
      <c r="I2298" t="n">
        <v>1</v>
      </c>
      <c r="J2298" s="3" t="n">
        <v>190.84</v>
      </c>
      <c r="K2298" s="3" t="n">
        <v>28.63</v>
      </c>
      <c r="L2298" s="3" t="n">
        <v>162.21</v>
      </c>
      <c r="M2298" s="3" t="n">
        <v>112.41</v>
      </c>
      <c r="N2298" s="3" t="n">
        <v>49.8</v>
      </c>
      <c r="O2298">
        <f>TEXT(A2298,"yyyy-mm")</f>
        <v/>
      </c>
    </row>
    <row r="2299">
      <c r="A2299" s="2" t="n">
        <v>45887</v>
      </c>
      <c r="B2299" t="n">
        <v>2025</v>
      </c>
      <c r="C2299" t="inlineStr">
        <is>
          <t>August</t>
        </is>
      </c>
      <c r="D2299" t="inlineStr">
        <is>
          <t>Portable Pasta</t>
        </is>
      </c>
      <c r="E2299" t="inlineStr">
        <is>
          <t>Grocery</t>
        </is>
      </c>
      <c r="F2299" t="inlineStr">
        <is>
          <t>David Johnson</t>
        </is>
      </c>
      <c r="G2299" t="inlineStr">
        <is>
          <t>Netherlands</t>
        </is>
      </c>
      <c r="H2299" t="inlineStr">
        <is>
          <t>Mobile App</t>
        </is>
      </c>
      <c r="I2299" t="n">
        <v>2</v>
      </c>
      <c r="J2299" s="3" t="n">
        <v>75.88</v>
      </c>
      <c r="K2299" s="3" t="n">
        <v>11.38</v>
      </c>
      <c r="L2299" s="3" t="n">
        <v>64.5</v>
      </c>
      <c r="M2299" s="3" t="n">
        <v>55.5</v>
      </c>
      <c r="N2299" s="3" t="n">
        <v>9</v>
      </c>
      <c r="O2299">
        <f>TEXT(A2299,"yyyy-mm")</f>
        <v/>
      </c>
    </row>
    <row r="2300">
      <c r="A2300" s="2" t="n">
        <v>45887</v>
      </c>
      <c r="B2300" t="n">
        <v>2025</v>
      </c>
      <c r="C2300" t="inlineStr">
        <is>
          <t>August</t>
        </is>
      </c>
      <c r="D2300" t="inlineStr">
        <is>
          <t>Smart Olive Oil</t>
        </is>
      </c>
      <c r="E2300" t="inlineStr">
        <is>
          <t>Grocery</t>
        </is>
      </c>
      <c r="F2300" t="inlineStr">
        <is>
          <t>Mark Martin</t>
        </is>
      </c>
      <c r="G2300" t="inlineStr">
        <is>
          <t>Spain</t>
        </is>
      </c>
      <c r="H2300" t="inlineStr">
        <is>
          <t>Marketplace</t>
        </is>
      </c>
      <c r="I2300" t="n">
        <v>4</v>
      </c>
      <c r="J2300" s="3" t="n">
        <v>694.88</v>
      </c>
      <c r="K2300" s="3" t="n">
        <v>138.98</v>
      </c>
      <c r="L2300" s="3" t="n">
        <v>555.9</v>
      </c>
      <c r="M2300" s="3" t="n">
        <v>440.08</v>
      </c>
      <c r="N2300" s="3" t="n">
        <v>115.82</v>
      </c>
      <c r="O2300">
        <f>TEXT(A2300,"yyyy-mm")</f>
        <v/>
      </c>
    </row>
    <row r="2301">
      <c r="A2301" s="2" t="n">
        <v>45887</v>
      </c>
      <c r="B2301" t="n">
        <v>2025</v>
      </c>
      <c r="C2301" t="inlineStr">
        <is>
          <t>August</t>
        </is>
      </c>
      <c r="D2301" t="inlineStr">
        <is>
          <t>Essential Cushion</t>
        </is>
      </c>
      <c r="E2301" t="inlineStr">
        <is>
          <t>Home &amp; Garden</t>
        </is>
      </c>
      <c r="F2301" t="inlineStr">
        <is>
          <t>Maria Martin</t>
        </is>
      </c>
      <c r="G2301" t="inlineStr">
        <is>
          <t>Germany</t>
        </is>
      </c>
      <c r="H2301" t="inlineStr">
        <is>
          <t>Retail Store</t>
        </is>
      </c>
      <c r="I2301" t="n">
        <v>1</v>
      </c>
      <c r="J2301" s="3" t="n">
        <v>42.99</v>
      </c>
      <c r="K2301" s="3" t="n">
        <v>0</v>
      </c>
      <c r="L2301" s="3" t="n">
        <v>42.99</v>
      </c>
      <c r="M2301" s="3" t="n">
        <v>30.55</v>
      </c>
      <c r="N2301" s="3" t="n">
        <v>12.44</v>
      </c>
      <c r="O2301">
        <f>TEXT(A2301,"yyyy-mm")</f>
        <v/>
      </c>
    </row>
    <row r="2302">
      <c r="A2302" s="2" t="n">
        <v>45887</v>
      </c>
      <c r="B2302" t="n">
        <v>2025</v>
      </c>
      <c r="C2302" t="inlineStr">
        <is>
          <t>August</t>
        </is>
      </c>
      <c r="D2302" t="inlineStr">
        <is>
          <t>Classic Bike Helmet</t>
        </is>
      </c>
      <c r="E2302" t="inlineStr">
        <is>
          <t>Sports &amp; Outdoors</t>
        </is>
      </c>
      <c r="F2302" t="inlineStr">
        <is>
          <t>Maria Martin</t>
        </is>
      </c>
      <c r="G2302" t="inlineStr">
        <is>
          <t>Germany</t>
        </is>
      </c>
      <c r="H2302" t="inlineStr">
        <is>
          <t>Retail Store</t>
        </is>
      </c>
      <c r="I2302" t="n">
        <v>2</v>
      </c>
      <c r="J2302" s="3" t="n">
        <v>425.3</v>
      </c>
      <c r="K2302" s="3" t="n">
        <v>0</v>
      </c>
      <c r="L2302" s="3" t="n">
        <v>425.3</v>
      </c>
      <c r="M2302" s="3" t="n">
        <v>307.62</v>
      </c>
      <c r="N2302" s="3" t="n">
        <v>117.68</v>
      </c>
      <c r="O2302">
        <f>TEXT(A2302,"yyyy-mm")</f>
        <v/>
      </c>
    </row>
    <row r="2303">
      <c r="A2303" s="2" t="n">
        <v>45887</v>
      </c>
      <c r="B2303" t="n">
        <v>2025</v>
      </c>
      <c r="C2303" t="inlineStr">
        <is>
          <t>August</t>
        </is>
      </c>
      <c r="D2303" t="inlineStr">
        <is>
          <t>Deluxe Toolset</t>
        </is>
      </c>
      <c r="E2303" t="inlineStr">
        <is>
          <t>Home &amp; Garden</t>
        </is>
      </c>
      <c r="F2303" t="inlineStr">
        <is>
          <t>Maria Martin</t>
        </is>
      </c>
      <c r="G2303" t="inlineStr">
        <is>
          <t>Germany</t>
        </is>
      </c>
      <c r="H2303" t="inlineStr">
        <is>
          <t>Retail Store</t>
        </is>
      </c>
      <c r="I2303" t="n">
        <v>5</v>
      </c>
      <c r="J2303" s="3" t="n">
        <v>336.35</v>
      </c>
      <c r="K2303" s="3" t="n">
        <v>0</v>
      </c>
      <c r="L2303" s="3" t="n">
        <v>336.35</v>
      </c>
      <c r="M2303" s="3" t="n">
        <v>238.55</v>
      </c>
      <c r="N2303" s="3" t="n">
        <v>97.8</v>
      </c>
      <c r="O2303">
        <f>TEXT(A2303,"yyyy-mm")</f>
        <v/>
      </c>
    </row>
    <row r="2304">
      <c r="A2304" s="2" t="n">
        <v>45887</v>
      </c>
      <c r="B2304" t="n">
        <v>2025</v>
      </c>
      <c r="C2304" t="inlineStr">
        <is>
          <t>August</t>
        </is>
      </c>
      <c r="D2304" t="inlineStr">
        <is>
          <t>Smart Camera</t>
        </is>
      </c>
      <c r="E2304" t="inlineStr">
        <is>
          <t>Electronics</t>
        </is>
      </c>
      <c r="F2304" t="inlineStr">
        <is>
          <t>Maria Martin</t>
        </is>
      </c>
      <c r="G2304" t="inlineStr">
        <is>
          <t>Germany</t>
        </is>
      </c>
      <c r="H2304" t="inlineStr">
        <is>
          <t>Retail Store</t>
        </is>
      </c>
      <c r="I2304" t="n">
        <v>4</v>
      </c>
      <c r="J2304" s="3" t="n">
        <v>490.52</v>
      </c>
      <c r="K2304" s="3" t="n">
        <v>98.09999999999999</v>
      </c>
      <c r="L2304" s="3" t="n">
        <v>392.42</v>
      </c>
      <c r="M2304" s="3" t="n">
        <v>342.32</v>
      </c>
      <c r="N2304" s="3" t="n">
        <v>50.1</v>
      </c>
      <c r="O2304">
        <f>TEXT(A2304,"yyyy-mm")</f>
        <v/>
      </c>
    </row>
    <row r="2305">
      <c r="A2305" s="2" t="n">
        <v>45888</v>
      </c>
      <c r="B2305" t="n">
        <v>2025</v>
      </c>
      <c r="C2305" t="inlineStr">
        <is>
          <t>August</t>
        </is>
      </c>
      <c r="D2305" t="inlineStr">
        <is>
          <t>Smart Face Cream</t>
        </is>
      </c>
      <c r="E2305" t="inlineStr">
        <is>
          <t>Beauty &amp; Health</t>
        </is>
      </c>
      <c r="F2305" t="inlineStr">
        <is>
          <t>Peter Schmidt</t>
        </is>
      </c>
      <c r="G2305" t="inlineStr">
        <is>
          <t>France</t>
        </is>
      </c>
      <c r="H2305" t="inlineStr">
        <is>
          <t>Retail Store</t>
        </is>
      </c>
      <c r="I2305" t="n">
        <v>2</v>
      </c>
      <c r="J2305" s="3" t="n">
        <v>546.8</v>
      </c>
      <c r="K2305" s="3" t="n">
        <v>82.02</v>
      </c>
      <c r="L2305" s="3" t="n">
        <v>464.78</v>
      </c>
      <c r="M2305" s="3" t="n">
        <v>386.28</v>
      </c>
      <c r="N2305" s="3" t="n">
        <v>78.5</v>
      </c>
      <c r="O2305">
        <f>TEXT(A2305,"yyyy-mm")</f>
        <v/>
      </c>
    </row>
    <row r="2306">
      <c r="A2306" s="2" t="n">
        <v>45888</v>
      </c>
      <c r="B2306" t="n">
        <v>2025</v>
      </c>
      <c r="C2306" t="inlineStr">
        <is>
          <t>August</t>
        </is>
      </c>
      <c r="D2306" t="inlineStr">
        <is>
          <t>Wireless Coffee Beans</t>
        </is>
      </c>
      <c r="E2306" t="inlineStr">
        <is>
          <t>Grocery</t>
        </is>
      </c>
      <c r="F2306" t="inlineStr">
        <is>
          <t>Peter Schmidt</t>
        </is>
      </c>
      <c r="G2306" t="inlineStr">
        <is>
          <t>France</t>
        </is>
      </c>
      <c r="H2306" t="inlineStr">
        <is>
          <t>Retail Store</t>
        </is>
      </c>
      <c r="I2306" t="n">
        <v>5</v>
      </c>
      <c r="J2306" s="3" t="n">
        <v>1122.7</v>
      </c>
      <c r="K2306" s="3" t="n">
        <v>112.27</v>
      </c>
      <c r="L2306" s="3" t="n">
        <v>1010.43</v>
      </c>
      <c r="M2306" s="3" t="n">
        <v>650.65</v>
      </c>
      <c r="N2306" s="3" t="n">
        <v>359.78</v>
      </c>
      <c r="O2306">
        <f>TEXT(A2306,"yyyy-mm")</f>
        <v/>
      </c>
    </row>
    <row r="2307">
      <c r="A2307" s="2" t="n">
        <v>45889</v>
      </c>
      <c r="B2307" t="n">
        <v>2025</v>
      </c>
      <c r="C2307" t="inlineStr">
        <is>
          <t>August</t>
        </is>
      </c>
      <c r="D2307" t="inlineStr">
        <is>
          <t>Portable Toolset</t>
        </is>
      </c>
      <c r="E2307" t="inlineStr">
        <is>
          <t>Home &amp; Garden</t>
        </is>
      </c>
      <c r="F2307" t="inlineStr">
        <is>
          <t>Clara Lopez</t>
        </is>
      </c>
      <c r="G2307" t="inlineStr">
        <is>
          <t>France</t>
        </is>
      </c>
      <c r="H2307" t="inlineStr">
        <is>
          <t>Marketplace</t>
        </is>
      </c>
      <c r="I2307" t="n">
        <v>5</v>
      </c>
      <c r="J2307" s="3" t="n">
        <v>451</v>
      </c>
      <c r="K2307" s="3" t="n">
        <v>0</v>
      </c>
      <c r="L2307" s="3" t="n">
        <v>451</v>
      </c>
      <c r="M2307" s="3" t="n">
        <v>252.7</v>
      </c>
      <c r="N2307" s="3" t="n">
        <v>198.3</v>
      </c>
      <c r="O2307">
        <f>TEXT(A2307,"yyyy-mm")</f>
        <v/>
      </c>
    </row>
    <row r="2308">
      <c r="A2308" s="2" t="n">
        <v>45889</v>
      </c>
      <c r="B2308" t="n">
        <v>2025</v>
      </c>
      <c r="C2308" t="inlineStr">
        <is>
          <t>August</t>
        </is>
      </c>
      <c r="D2308" t="inlineStr">
        <is>
          <t>Classic Coffee Beans</t>
        </is>
      </c>
      <c r="E2308" t="inlineStr">
        <is>
          <t>Grocery</t>
        </is>
      </c>
      <c r="F2308" t="inlineStr">
        <is>
          <t>Thomas Muller</t>
        </is>
      </c>
      <c r="G2308" t="inlineStr">
        <is>
          <t>Italy</t>
        </is>
      </c>
      <c r="H2308" t="inlineStr">
        <is>
          <t>Mobile App</t>
        </is>
      </c>
      <c r="I2308" t="n">
        <v>5</v>
      </c>
      <c r="J2308" s="3" t="n">
        <v>1565.05</v>
      </c>
      <c r="K2308" s="3" t="n">
        <v>0</v>
      </c>
      <c r="L2308" s="3" t="n">
        <v>1565.05</v>
      </c>
      <c r="M2308" s="3" t="n">
        <v>973.8</v>
      </c>
      <c r="N2308" s="3" t="n">
        <v>591.25</v>
      </c>
      <c r="O2308">
        <f>TEXT(A2308,"yyyy-mm")</f>
        <v/>
      </c>
    </row>
    <row r="2309">
      <c r="A2309" s="2" t="n">
        <v>45889</v>
      </c>
      <c r="B2309" t="n">
        <v>2025</v>
      </c>
      <c r="C2309" t="inlineStr">
        <is>
          <t>August</t>
        </is>
      </c>
      <c r="D2309" t="inlineStr">
        <is>
          <t>Essential Toolset</t>
        </is>
      </c>
      <c r="E2309" t="inlineStr">
        <is>
          <t>Home &amp; Garden</t>
        </is>
      </c>
      <c r="F2309" t="inlineStr">
        <is>
          <t>Thomas Muller</t>
        </is>
      </c>
      <c r="G2309" t="inlineStr">
        <is>
          <t>Italy</t>
        </is>
      </c>
      <c r="H2309" t="inlineStr">
        <is>
          <t>Mobile App</t>
        </is>
      </c>
      <c r="I2309" t="n">
        <v>5</v>
      </c>
      <c r="J2309" s="3" t="n">
        <v>1089.15</v>
      </c>
      <c r="K2309" s="3" t="n">
        <v>0</v>
      </c>
      <c r="L2309" s="3" t="n">
        <v>1089.15</v>
      </c>
      <c r="M2309" s="3" t="n">
        <v>752.65</v>
      </c>
      <c r="N2309" s="3" t="n">
        <v>336.5</v>
      </c>
      <c r="O2309">
        <f>TEXT(A2309,"yyyy-mm")</f>
        <v/>
      </c>
    </row>
    <row r="2310">
      <c r="A2310" s="2" t="n">
        <v>45889</v>
      </c>
      <c r="B2310" t="n">
        <v>2025</v>
      </c>
      <c r="C2310" t="inlineStr">
        <is>
          <t>August</t>
        </is>
      </c>
      <c r="D2310" t="inlineStr">
        <is>
          <t>Eco Planter</t>
        </is>
      </c>
      <c r="E2310" t="inlineStr">
        <is>
          <t>Home &amp; Garden</t>
        </is>
      </c>
      <c r="F2310" t="inlineStr">
        <is>
          <t>Thomas Muller</t>
        </is>
      </c>
      <c r="G2310" t="inlineStr">
        <is>
          <t>Italy</t>
        </is>
      </c>
      <c r="H2310" t="inlineStr">
        <is>
          <t>Mobile App</t>
        </is>
      </c>
      <c r="I2310" t="n">
        <v>2</v>
      </c>
      <c r="J2310" s="3" t="n">
        <v>358.66</v>
      </c>
      <c r="K2310" s="3" t="n">
        <v>0</v>
      </c>
      <c r="L2310" s="3" t="n">
        <v>358.66</v>
      </c>
      <c r="M2310" s="3" t="n">
        <v>224.82</v>
      </c>
      <c r="N2310" s="3" t="n">
        <v>133.84</v>
      </c>
      <c r="O2310">
        <f>TEXT(A2310,"yyyy-mm")</f>
        <v/>
      </c>
    </row>
    <row r="2311">
      <c r="A2311" s="2" t="n">
        <v>45889</v>
      </c>
      <c r="B2311" t="n">
        <v>2025</v>
      </c>
      <c r="C2311" t="inlineStr">
        <is>
          <t>August</t>
        </is>
      </c>
      <c r="D2311" t="inlineStr">
        <is>
          <t>Portable Pasta</t>
        </is>
      </c>
      <c r="E2311" t="inlineStr">
        <is>
          <t>Grocery</t>
        </is>
      </c>
      <c r="F2311" t="inlineStr">
        <is>
          <t>Thomas Muller</t>
        </is>
      </c>
      <c r="G2311" t="inlineStr">
        <is>
          <t>Italy</t>
        </is>
      </c>
      <c r="H2311" t="inlineStr">
        <is>
          <t>Mobile App</t>
        </is>
      </c>
      <c r="I2311" t="n">
        <v>4</v>
      </c>
      <c r="J2311" s="3" t="n">
        <v>140.76</v>
      </c>
      <c r="K2311" s="3" t="n">
        <v>0</v>
      </c>
      <c r="L2311" s="3" t="n">
        <v>140.76</v>
      </c>
      <c r="M2311" s="3" t="n">
        <v>111</v>
      </c>
      <c r="N2311" s="3" t="n">
        <v>29.76</v>
      </c>
      <c r="O2311">
        <f>TEXT(A2311,"yyyy-mm")</f>
        <v/>
      </c>
    </row>
    <row r="2312">
      <c r="A2312" s="2" t="n">
        <v>45889</v>
      </c>
      <c r="B2312" t="n">
        <v>2025</v>
      </c>
      <c r="C2312" t="inlineStr">
        <is>
          <t>August</t>
        </is>
      </c>
      <c r="D2312" t="inlineStr">
        <is>
          <t>Ultra Vitamins</t>
        </is>
      </c>
      <c r="E2312" t="inlineStr">
        <is>
          <t>Beauty &amp; Health</t>
        </is>
      </c>
      <c r="F2312" t="inlineStr">
        <is>
          <t>Thomas Kowalski</t>
        </is>
      </c>
      <c r="G2312" t="inlineStr">
        <is>
          <t>Poland</t>
        </is>
      </c>
      <c r="H2312" t="inlineStr">
        <is>
          <t>Mobile App</t>
        </is>
      </c>
      <c r="I2312" t="n">
        <v>1</v>
      </c>
      <c r="J2312" s="3" t="n">
        <v>202.45</v>
      </c>
      <c r="K2312" s="3" t="n">
        <v>0</v>
      </c>
      <c r="L2312" s="3" t="n">
        <v>202.45</v>
      </c>
      <c r="M2312" s="3" t="n">
        <v>126.1</v>
      </c>
      <c r="N2312" s="3" t="n">
        <v>76.34999999999999</v>
      </c>
      <c r="O2312">
        <f>TEXT(A2312,"yyyy-mm")</f>
        <v/>
      </c>
    </row>
    <row r="2313">
      <c r="A2313" s="2" t="n">
        <v>45889</v>
      </c>
      <c r="B2313" t="n">
        <v>2025</v>
      </c>
      <c r="C2313" t="inlineStr">
        <is>
          <t>August</t>
        </is>
      </c>
      <c r="D2313" t="inlineStr">
        <is>
          <t>Smart Drone</t>
        </is>
      </c>
      <c r="E2313" t="inlineStr">
        <is>
          <t>Toys &amp; Games</t>
        </is>
      </c>
      <c r="F2313" t="inlineStr">
        <is>
          <t>Anna Martin</t>
        </is>
      </c>
      <c r="G2313" t="inlineStr">
        <is>
          <t>France</t>
        </is>
      </c>
      <c r="H2313" t="inlineStr">
        <is>
          <t>Retail Store</t>
        </is>
      </c>
      <c r="I2313" t="n">
        <v>3</v>
      </c>
      <c r="J2313" s="3" t="n">
        <v>694.53</v>
      </c>
      <c r="K2313" s="3" t="n">
        <v>34.73</v>
      </c>
      <c r="L2313" s="3" t="n">
        <v>659.8</v>
      </c>
      <c r="M2313" s="3" t="n">
        <v>380.85</v>
      </c>
      <c r="N2313" s="3" t="n">
        <v>278.95</v>
      </c>
      <c r="O2313">
        <f>TEXT(A2313,"yyyy-mm")</f>
        <v/>
      </c>
    </row>
    <row r="2314">
      <c r="A2314" s="2" t="n">
        <v>45889</v>
      </c>
      <c r="B2314" t="n">
        <v>2025</v>
      </c>
      <c r="C2314" t="inlineStr">
        <is>
          <t>August</t>
        </is>
      </c>
      <c r="D2314" t="inlineStr">
        <is>
          <t>Compact Biography</t>
        </is>
      </c>
      <c r="E2314" t="inlineStr">
        <is>
          <t>Books</t>
        </is>
      </c>
      <c r="F2314" t="inlineStr">
        <is>
          <t>Anna Martin</t>
        </is>
      </c>
      <c r="G2314" t="inlineStr">
        <is>
          <t>France</t>
        </is>
      </c>
      <c r="H2314" t="inlineStr">
        <is>
          <t>Retail Store</t>
        </is>
      </c>
      <c r="I2314" t="n">
        <v>5</v>
      </c>
      <c r="J2314" s="3" t="n">
        <v>1250.85</v>
      </c>
      <c r="K2314" s="3" t="n">
        <v>250.17</v>
      </c>
      <c r="L2314" s="3" t="n">
        <v>1000.68</v>
      </c>
      <c r="M2314" s="3" t="n">
        <v>701.65</v>
      </c>
      <c r="N2314" s="3" t="n">
        <v>299.03</v>
      </c>
      <c r="O2314">
        <f>TEXT(A2314,"yyyy-mm")</f>
        <v/>
      </c>
    </row>
    <row r="2315">
      <c r="A2315" s="2" t="n">
        <v>45889</v>
      </c>
      <c r="B2315" t="n">
        <v>2025</v>
      </c>
      <c r="C2315" t="inlineStr">
        <is>
          <t>August</t>
        </is>
      </c>
      <c r="D2315" t="inlineStr">
        <is>
          <t>Ultra Backpack</t>
        </is>
      </c>
      <c r="E2315" t="inlineStr">
        <is>
          <t>Sports &amp; Outdoors</t>
        </is>
      </c>
      <c r="F2315" t="inlineStr">
        <is>
          <t>Anna Martin</t>
        </is>
      </c>
      <c r="G2315" t="inlineStr">
        <is>
          <t>France</t>
        </is>
      </c>
      <c r="H2315" t="inlineStr">
        <is>
          <t>Retail Store</t>
        </is>
      </c>
      <c r="I2315" t="n">
        <v>5</v>
      </c>
      <c r="J2315" s="3" t="n">
        <v>1548.75</v>
      </c>
      <c r="K2315" s="3" t="n">
        <v>0</v>
      </c>
      <c r="L2315" s="3" t="n">
        <v>1548.75</v>
      </c>
      <c r="M2315" s="3" t="n">
        <v>868.45</v>
      </c>
      <c r="N2315" s="3" t="n">
        <v>680.3</v>
      </c>
      <c r="O2315">
        <f>TEXT(A2315,"yyyy-mm")</f>
        <v/>
      </c>
    </row>
    <row r="2316">
      <c r="A2316" s="2" t="n">
        <v>45890</v>
      </c>
      <c r="B2316" t="n">
        <v>2025</v>
      </c>
      <c r="C2316" t="inlineStr">
        <is>
          <t>August</t>
        </is>
      </c>
      <c r="D2316" t="inlineStr">
        <is>
          <t>Classic Bike Helmet</t>
        </is>
      </c>
      <c r="E2316" t="inlineStr">
        <is>
          <t>Sports &amp; Outdoors</t>
        </is>
      </c>
      <c r="F2316" t="inlineStr">
        <is>
          <t>Maria Nowak</t>
        </is>
      </c>
      <c r="G2316" t="inlineStr">
        <is>
          <t>Poland</t>
        </is>
      </c>
      <c r="H2316" t="inlineStr">
        <is>
          <t>Marketplace</t>
        </is>
      </c>
      <c r="I2316" t="n">
        <v>1</v>
      </c>
      <c r="J2316" s="3" t="n">
        <v>212.21</v>
      </c>
      <c r="K2316" s="3" t="n">
        <v>10.61</v>
      </c>
      <c r="L2316" s="3" t="n">
        <v>201.6</v>
      </c>
      <c r="M2316" s="3" t="n">
        <v>153.81</v>
      </c>
      <c r="N2316" s="3" t="n">
        <v>47.79</v>
      </c>
      <c r="O2316">
        <f>TEXT(A2316,"yyyy-mm")</f>
        <v/>
      </c>
    </row>
    <row r="2317">
      <c r="A2317" s="2" t="n">
        <v>45890</v>
      </c>
      <c r="B2317" t="n">
        <v>2025</v>
      </c>
      <c r="C2317" t="inlineStr">
        <is>
          <t>August</t>
        </is>
      </c>
      <c r="D2317" t="inlineStr">
        <is>
          <t>Compact Jacket</t>
        </is>
      </c>
      <c r="E2317" t="inlineStr">
        <is>
          <t>Clothing</t>
        </is>
      </c>
      <c r="F2317" t="inlineStr">
        <is>
          <t>Maria Nowak</t>
        </is>
      </c>
      <c r="G2317" t="inlineStr">
        <is>
          <t>Poland</t>
        </is>
      </c>
      <c r="H2317" t="inlineStr">
        <is>
          <t>Marketplace</t>
        </is>
      </c>
      <c r="I2317" t="n">
        <v>1</v>
      </c>
      <c r="J2317" s="3" t="n">
        <v>36.32</v>
      </c>
      <c r="K2317" s="3" t="n">
        <v>0</v>
      </c>
      <c r="L2317" s="3" t="n">
        <v>36.32</v>
      </c>
      <c r="M2317" s="3" t="n">
        <v>20.4</v>
      </c>
      <c r="N2317" s="3" t="n">
        <v>15.92</v>
      </c>
      <c r="O2317">
        <f>TEXT(A2317,"yyyy-mm")</f>
        <v/>
      </c>
    </row>
    <row r="2318">
      <c r="A2318" s="2" t="n">
        <v>45890</v>
      </c>
      <c r="B2318" t="n">
        <v>2025</v>
      </c>
      <c r="C2318" t="inlineStr">
        <is>
          <t>August</t>
        </is>
      </c>
      <c r="D2318" t="inlineStr">
        <is>
          <t>Wireless Coffee Beans</t>
        </is>
      </c>
      <c r="E2318" t="inlineStr">
        <is>
          <t>Grocery</t>
        </is>
      </c>
      <c r="F2318" t="inlineStr">
        <is>
          <t>Mark Wilson</t>
        </is>
      </c>
      <c r="G2318" t="inlineStr">
        <is>
          <t>Italy</t>
        </is>
      </c>
      <c r="H2318" t="inlineStr">
        <is>
          <t>Retail Store</t>
        </is>
      </c>
      <c r="I2318" t="n">
        <v>1</v>
      </c>
      <c r="J2318" s="3" t="n">
        <v>216.1</v>
      </c>
      <c r="K2318" s="3" t="n">
        <v>0</v>
      </c>
      <c r="L2318" s="3" t="n">
        <v>216.1</v>
      </c>
      <c r="M2318" s="3" t="n">
        <v>130.13</v>
      </c>
      <c r="N2318" s="3" t="n">
        <v>85.97</v>
      </c>
      <c r="O2318">
        <f>TEXT(A2318,"yyyy-mm")</f>
        <v/>
      </c>
    </row>
    <row r="2319">
      <c r="A2319" s="2" t="n">
        <v>45890</v>
      </c>
      <c r="B2319" t="n">
        <v>2025</v>
      </c>
      <c r="C2319" t="inlineStr">
        <is>
          <t>August</t>
        </is>
      </c>
      <c r="D2319" t="inlineStr">
        <is>
          <t>Smart Honey</t>
        </is>
      </c>
      <c r="E2319" t="inlineStr">
        <is>
          <t>Grocery</t>
        </is>
      </c>
      <c r="F2319" t="inlineStr">
        <is>
          <t>Mark Wilson</t>
        </is>
      </c>
      <c r="G2319" t="inlineStr">
        <is>
          <t>Italy</t>
        </is>
      </c>
      <c r="H2319" t="inlineStr">
        <is>
          <t>Retail Store</t>
        </is>
      </c>
      <c r="I2319" t="n">
        <v>2</v>
      </c>
      <c r="J2319" s="3" t="n">
        <v>259.12</v>
      </c>
      <c r="K2319" s="3" t="n">
        <v>0</v>
      </c>
      <c r="L2319" s="3" t="n">
        <v>259.12</v>
      </c>
      <c r="M2319" s="3" t="n">
        <v>142.88</v>
      </c>
      <c r="N2319" s="3" t="n">
        <v>116.24</v>
      </c>
      <c r="O2319">
        <f>TEXT(A2319,"yyyy-mm")</f>
        <v/>
      </c>
    </row>
    <row r="2320">
      <c r="A2320" s="2" t="n">
        <v>45890</v>
      </c>
      <c r="B2320" t="n">
        <v>2025</v>
      </c>
      <c r="C2320" t="inlineStr">
        <is>
          <t>August</t>
        </is>
      </c>
      <c r="D2320" t="inlineStr">
        <is>
          <t>Essential Rug</t>
        </is>
      </c>
      <c r="E2320" t="inlineStr">
        <is>
          <t>Home &amp; Garden</t>
        </is>
      </c>
      <c r="F2320" t="inlineStr">
        <is>
          <t>Mark Wilson</t>
        </is>
      </c>
      <c r="G2320" t="inlineStr">
        <is>
          <t>Italy</t>
        </is>
      </c>
      <c r="H2320" t="inlineStr">
        <is>
          <t>Retail Store</t>
        </is>
      </c>
      <c r="I2320" t="n">
        <v>3</v>
      </c>
      <c r="J2320" s="3" t="n">
        <v>410.46</v>
      </c>
      <c r="K2320" s="3" t="n">
        <v>82.09</v>
      </c>
      <c r="L2320" s="3" t="n">
        <v>328.37</v>
      </c>
      <c r="M2320" s="3" t="n">
        <v>228.99</v>
      </c>
      <c r="N2320" s="3" t="n">
        <v>99.38</v>
      </c>
      <c r="O2320">
        <f>TEXT(A2320,"yyyy-mm")</f>
        <v/>
      </c>
    </row>
    <row r="2321">
      <c r="A2321" s="2" t="n">
        <v>45890</v>
      </c>
      <c r="B2321" t="n">
        <v>2025</v>
      </c>
      <c r="C2321" t="inlineStr">
        <is>
          <t>August</t>
        </is>
      </c>
      <c r="D2321" t="inlineStr">
        <is>
          <t>Deluxe Scarf</t>
        </is>
      </c>
      <c r="E2321" t="inlineStr">
        <is>
          <t>Clothing</t>
        </is>
      </c>
      <c r="F2321" t="inlineStr">
        <is>
          <t>Clara Fischer</t>
        </is>
      </c>
      <c r="G2321" t="inlineStr">
        <is>
          <t>Poland</t>
        </is>
      </c>
      <c r="H2321" t="inlineStr">
        <is>
          <t>Retail Store</t>
        </is>
      </c>
      <c r="I2321" t="n">
        <v>1</v>
      </c>
      <c r="J2321" s="3" t="n">
        <v>204.29</v>
      </c>
      <c r="K2321" s="3" t="n">
        <v>30.64</v>
      </c>
      <c r="L2321" s="3" t="n">
        <v>173.65</v>
      </c>
      <c r="M2321" s="3" t="n">
        <v>108.52</v>
      </c>
      <c r="N2321" s="3" t="n">
        <v>65.13</v>
      </c>
      <c r="O2321">
        <f>TEXT(A2321,"yyyy-mm")</f>
        <v/>
      </c>
    </row>
    <row r="2322">
      <c r="A2322" s="2" t="n">
        <v>45890</v>
      </c>
      <c r="B2322" t="n">
        <v>2025</v>
      </c>
      <c r="C2322" t="inlineStr">
        <is>
          <t>August</t>
        </is>
      </c>
      <c r="D2322" t="inlineStr">
        <is>
          <t>Essential Planter</t>
        </is>
      </c>
      <c r="E2322" t="inlineStr">
        <is>
          <t>Home &amp; Garden</t>
        </is>
      </c>
      <c r="F2322" t="inlineStr">
        <is>
          <t>Olivia Fischer</t>
        </is>
      </c>
      <c r="G2322" t="inlineStr">
        <is>
          <t>France</t>
        </is>
      </c>
      <c r="H2322" t="inlineStr">
        <is>
          <t>Mobile App</t>
        </is>
      </c>
      <c r="I2322" t="n">
        <v>5</v>
      </c>
      <c r="J2322" s="3" t="n">
        <v>129.5</v>
      </c>
      <c r="K2322" s="3" t="n">
        <v>0</v>
      </c>
      <c r="L2322" s="3" t="n">
        <v>129.5</v>
      </c>
      <c r="M2322" s="3" t="n">
        <v>98.2</v>
      </c>
      <c r="N2322" s="3" t="n">
        <v>31.3</v>
      </c>
      <c r="O2322">
        <f>TEXT(A2322,"yyyy-mm")</f>
        <v/>
      </c>
    </row>
    <row r="2323">
      <c r="A2323" s="2" t="n">
        <v>45890</v>
      </c>
      <c r="B2323" t="n">
        <v>2025</v>
      </c>
      <c r="C2323" t="inlineStr">
        <is>
          <t>August</t>
        </is>
      </c>
      <c r="D2323" t="inlineStr">
        <is>
          <t>Essential Rug</t>
        </is>
      </c>
      <c r="E2323" t="inlineStr">
        <is>
          <t>Home &amp; Garden</t>
        </is>
      </c>
      <c r="F2323" t="inlineStr">
        <is>
          <t>Olivia Fischer</t>
        </is>
      </c>
      <c r="G2323" t="inlineStr">
        <is>
          <t>France</t>
        </is>
      </c>
      <c r="H2323" t="inlineStr">
        <is>
          <t>Mobile App</t>
        </is>
      </c>
      <c r="I2323" t="n">
        <v>4</v>
      </c>
      <c r="J2323" s="3" t="n">
        <v>534.92</v>
      </c>
      <c r="K2323" s="3" t="n">
        <v>0</v>
      </c>
      <c r="L2323" s="3" t="n">
        <v>534.92</v>
      </c>
      <c r="M2323" s="3" t="n">
        <v>305.32</v>
      </c>
      <c r="N2323" s="3" t="n">
        <v>229.6</v>
      </c>
      <c r="O2323">
        <f>TEXT(A2323,"yyyy-mm")</f>
        <v/>
      </c>
    </row>
    <row r="2324">
      <c r="A2324" s="2" t="n">
        <v>45890</v>
      </c>
      <c r="B2324" t="n">
        <v>2025</v>
      </c>
      <c r="C2324" t="inlineStr">
        <is>
          <t>August</t>
        </is>
      </c>
      <c r="D2324" t="inlineStr">
        <is>
          <t>Compact Biography</t>
        </is>
      </c>
      <c r="E2324" t="inlineStr">
        <is>
          <t>Books</t>
        </is>
      </c>
      <c r="F2324" t="inlineStr">
        <is>
          <t>Olivia Fischer</t>
        </is>
      </c>
      <c r="G2324" t="inlineStr">
        <is>
          <t>France</t>
        </is>
      </c>
      <c r="H2324" t="inlineStr">
        <is>
          <t>Mobile App</t>
        </is>
      </c>
      <c r="I2324" t="n">
        <v>2</v>
      </c>
      <c r="J2324" s="3" t="n">
        <v>532.5599999999999</v>
      </c>
      <c r="K2324" s="3" t="n">
        <v>79.88</v>
      </c>
      <c r="L2324" s="3" t="n">
        <v>452.68</v>
      </c>
      <c r="M2324" s="3" t="n">
        <v>280.66</v>
      </c>
      <c r="N2324" s="3" t="n">
        <v>172.02</v>
      </c>
      <c r="O2324">
        <f>TEXT(A2324,"yyyy-mm")</f>
        <v/>
      </c>
    </row>
    <row r="2325">
      <c r="A2325" s="2" t="n">
        <v>45890</v>
      </c>
      <c r="B2325" t="n">
        <v>2025</v>
      </c>
      <c r="C2325" t="inlineStr">
        <is>
          <t>August</t>
        </is>
      </c>
      <c r="D2325" t="inlineStr">
        <is>
          <t>Portable Notebook</t>
        </is>
      </c>
      <c r="E2325" t="inlineStr">
        <is>
          <t>Books</t>
        </is>
      </c>
      <c r="F2325" t="inlineStr">
        <is>
          <t>Maria Dubois</t>
        </is>
      </c>
      <c r="G2325" t="inlineStr">
        <is>
          <t>United Kingdom</t>
        </is>
      </c>
      <c r="H2325" t="inlineStr">
        <is>
          <t>Retail Store</t>
        </is>
      </c>
      <c r="I2325" t="n">
        <v>3</v>
      </c>
      <c r="J2325" s="3" t="n">
        <v>361.56</v>
      </c>
      <c r="K2325" s="3" t="n">
        <v>36.16</v>
      </c>
      <c r="L2325" s="3" t="n">
        <v>325.4</v>
      </c>
      <c r="M2325" s="3" t="n">
        <v>213.84</v>
      </c>
      <c r="N2325" s="3" t="n">
        <v>111.56</v>
      </c>
      <c r="O2325">
        <f>TEXT(A2325,"yyyy-mm")</f>
        <v/>
      </c>
    </row>
    <row r="2326">
      <c r="A2326" s="2" t="n">
        <v>45890</v>
      </c>
      <c r="B2326" t="n">
        <v>2025</v>
      </c>
      <c r="C2326" t="inlineStr">
        <is>
          <t>August</t>
        </is>
      </c>
      <c r="D2326" t="inlineStr">
        <is>
          <t>Smart Cookbook</t>
        </is>
      </c>
      <c r="E2326" t="inlineStr">
        <is>
          <t>Books</t>
        </is>
      </c>
      <c r="F2326" t="inlineStr">
        <is>
          <t>Maria Dubois</t>
        </is>
      </c>
      <c r="G2326" t="inlineStr">
        <is>
          <t>United Kingdom</t>
        </is>
      </c>
      <c r="H2326" t="inlineStr">
        <is>
          <t>Retail Store</t>
        </is>
      </c>
      <c r="I2326" t="n">
        <v>1</v>
      </c>
      <c r="J2326" s="3" t="n">
        <v>17.88</v>
      </c>
      <c r="K2326" s="3" t="n">
        <v>2.68</v>
      </c>
      <c r="L2326" s="3" t="n">
        <v>15.2</v>
      </c>
      <c r="M2326" s="3" t="n">
        <v>9.880000000000001</v>
      </c>
      <c r="N2326" s="3" t="n">
        <v>5.32</v>
      </c>
      <c r="O2326">
        <f>TEXT(A2326,"yyyy-mm")</f>
        <v/>
      </c>
    </row>
    <row r="2327">
      <c r="A2327" s="2" t="n">
        <v>45890</v>
      </c>
      <c r="B2327" t="n">
        <v>2025</v>
      </c>
      <c r="C2327" t="inlineStr">
        <is>
          <t>August</t>
        </is>
      </c>
      <c r="D2327" t="inlineStr">
        <is>
          <t>Compact Sunscreen</t>
        </is>
      </c>
      <c r="E2327" t="inlineStr">
        <is>
          <t>Beauty &amp; Health</t>
        </is>
      </c>
      <c r="F2327" t="inlineStr">
        <is>
          <t>Maria Dubois</t>
        </is>
      </c>
      <c r="G2327" t="inlineStr">
        <is>
          <t>United Kingdom</t>
        </is>
      </c>
      <c r="H2327" t="inlineStr">
        <is>
          <t>Retail Store</t>
        </is>
      </c>
      <c r="I2327" t="n">
        <v>1</v>
      </c>
      <c r="J2327" s="3" t="n">
        <v>295.89</v>
      </c>
      <c r="K2327" s="3" t="n">
        <v>44.38</v>
      </c>
      <c r="L2327" s="3" t="n">
        <v>251.51</v>
      </c>
      <c r="M2327" s="3" t="n">
        <v>177.66</v>
      </c>
      <c r="N2327" s="3" t="n">
        <v>73.84999999999999</v>
      </c>
      <c r="O2327">
        <f>TEXT(A2327,"yyyy-mm")</f>
        <v/>
      </c>
    </row>
    <row r="2328">
      <c r="A2328" s="2" t="n">
        <v>45890</v>
      </c>
      <c r="B2328" t="n">
        <v>2025</v>
      </c>
      <c r="C2328" t="inlineStr">
        <is>
          <t>August</t>
        </is>
      </c>
      <c r="D2328" t="inlineStr">
        <is>
          <t>Deluxe Scarf</t>
        </is>
      </c>
      <c r="E2328" t="inlineStr">
        <is>
          <t>Clothing</t>
        </is>
      </c>
      <c r="F2328" t="inlineStr">
        <is>
          <t>Mark Wilson</t>
        </is>
      </c>
      <c r="G2328" t="inlineStr">
        <is>
          <t>Italy</t>
        </is>
      </c>
      <c r="H2328" t="inlineStr">
        <is>
          <t>Retail Store</t>
        </is>
      </c>
      <c r="I2328" t="n">
        <v>2</v>
      </c>
      <c r="J2328" s="3" t="n">
        <v>398.68</v>
      </c>
      <c r="K2328" s="3" t="n">
        <v>0</v>
      </c>
      <c r="L2328" s="3" t="n">
        <v>398.68</v>
      </c>
      <c r="M2328" s="3" t="n">
        <v>217.04</v>
      </c>
      <c r="N2328" s="3" t="n">
        <v>181.64</v>
      </c>
      <c r="O2328">
        <f>TEXT(A2328,"yyyy-mm")</f>
        <v/>
      </c>
    </row>
    <row r="2329">
      <c r="A2329" s="2" t="n">
        <v>45890</v>
      </c>
      <c r="B2329" t="n">
        <v>2025</v>
      </c>
      <c r="C2329" t="inlineStr">
        <is>
          <t>August</t>
        </is>
      </c>
      <c r="D2329" t="inlineStr">
        <is>
          <t>Essential Lamp</t>
        </is>
      </c>
      <c r="E2329" t="inlineStr">
        <is>
          <t>Home &amp; Garden</t>
        </is>
      </c>
      <c r="F2329" t="inlineStr">
        <is>
          <t>Maria Dubois</t>
        </is>
      </c>
      <c r="G2329" t="inlineStr">
        <is>
          <t>United Kingdom</t>
        </is>
      </c>
      <c r="H2329" t="inlineStr">
        <is>
          <t>Retail Store</t>
        </is>
      </c>
      <c r="I2329" t="n">
        <v>4</v>
      </c>
      <c r="J2329" s="3" t="n">
        <v>247.68</v>
      </c>
      <c r="K2329" s="3" t="n">
        <v>0</v>
      </c>
      <c r="L2329" s="3" t="n">
        <v>247.68</v>
      </c>
      <c r="M2329" s="3" t="n">
        <v>181.6</v>
      </c>
      <c r="N2329" s="3" t="n">
        <v>66.08</v>
      </c>
      <c r="O2329">
        <f>TEXT(A2329,"yyyy-mm")</f>
        <v/>
      </c>
    </row>
    <row r="2330">
      <c r="A2330" s="2" t="n">
        <v>45890</v>
      </c>
      <c r="B2330" t="n">
        <v>2025</v>
      </c>
      <c r="C2330" t="inlineStr">
        <is>
          <t>August</t>
        </is>
      </c>
      <c r="D2330" t="inlineStr">
        <is>
          <t>Classic Bike Helmet</t>
        </is>
      </c>
      <c r="E2330" t="inlineStr">
        <is>
          <t>Sports &amp; Outdoors</t>
        </is>
      </c>
      <c r="F2330" t="inlineStr">
        <is>
          <t>Clara Fischer</t>
        </is>
      </c>
      <c r="G2330" t="inlineStr">
        <is>
          <t>Poland</t>
        </is>
      </c>
      <c r="H2330" t="inlineStr">
        <is>
          <t>Retail Store</t>
        </is>
      </c>
      <c r="I2330" t="n">
        <v>4</v>
      </c>
      <c r="J2330" s="3" t="n">
        <v>870.3200000000001</v>
      </c>
      <c r="K2330" s="3" t="n">
        <v>0</v>
      </c>
      <c r="L2330" s="3" t="n">
        <v>870.3200000000001</v>
      </c>
      <c r="M2330" s="3" t="n">
        <v>615.24</v>
      </c>
      <c r="N2330" s="3" t="n">
        <v>255.08</v>
      </c>
      <c r="O2330">
        <f>TEXT(A2330,"yyyy-mm")</f>
        <v/>
      </c>
    </row>
    <row r="2331">
      <c r="A2331" s="2" t="n">
        <v>45890</v>
      </c>
      <c r="B2331" t="n">
        <v>2025</v>
      </c>
      <c r="C2331" t="inlineStr">
        <is>
          <t>August</t>
        </is>
      </c>
      <c r="D2331" t="inlineStr">
        <is>
          <t>Deluxe Puzzle</t>
        </is>
      </c>
      <c r="E2331" t="inlineStr">
        <is>
          <t>Toys &amp; Games</t>
        </is>
      </c>
      <c r="F2331" t="inlineStr">
        <is>
          <t>Clara Fischer</t>
        </is>
      </c>
      <c r="G2331" t="inlineStr">
        <is>
          <t>Poland</t>
        </is>
      </c>
      <c r="H2331" t="inlineStr">
        <is>
          <t>Retail Store</t>
        </is>
      </c>
      <c r="I2331" t="n">
        <v>2</v>
      </c>
      <c r="J2331" s="3" t="n">
        <v>426.1</v>
      </c>
      <c r="K2331" s="3" t="n">
        <v>0</v>
      </c>
      <c r="L2331" s="3" t="n">
        <v>426.1</v>
      </c>
      <c r="M2331" s="3" t="n">
        <v>222.34</v>
      </c>
      <c r="N2331" s="3" t="n">
        <v>203.76</v>
      </c>
      <c r="O2331">
        <f>TEXT(A2331,"yyyy-mm")</f>
        <v/>
      </c>
    </row>
    <row r="2332">
      <c r="A2332" s="2" t="n">
        <v>45890</v>
      </c>
      <c r="B2332" t="n">
        <v>2025</v>
      </c>
      <c r="C2332" t="inlineStr">
        <is>
          <t>August</t>
        </is>
      </c>
      <c r="D2332" t="inlineStr">
        <is>
          <t>Smart Olive Oil</t>
        </is>
      </c>
      <c r="E2332" t="inlineStr">
        <is>
          <t>Grocery</t>
        </is>
      </c>
      <c r="F2332" t="inlineStr">
        <is>
          <t>Clara Fischer</t>
        </is>
      </c>
      <c r="G2332" t="inlineStr">
        <is>
          <t>Poland</t>
        </is>
      </c>
      <c r="H2332" t="inlineStr">
        <is>
          <t>Retail Store</t>
        </is>
      </c>
      <c r="I2332" t="n">
        <v>1</v>
      </c>
      <c r="J2332" s="3" t="n">
        <v>172.75</v>
      </c>
      <c r="K2332" s="3" t="n">
        <v>25.91</v>
      </c>
      <c r="L2332" s="3" t="n">
        <v>146.84</v>
      </c>
      <c r="M2332" s="3" t="n">
        <v>110.02</v>
      </c>
      <c r="N2332" s="3" t="n">
        <v>36.82</v>
      </c>
      <c r="O2332">
        <f>TEXT(A2332,"yyyy-mm")</f>
        <v/>
      </c>
    </row>
    <row r="2333">
      <c r="A2333" s="2" t="n">
        <v>45890</v>
      </c>
      <c r="B2333" t="n">
        <v>2025</v>
      </c>
      <c r="C2333" t="inlineStr">
        <is>
          <t>August</t>
        </is>
      </c>
      <c r="D2333" t="inlineStr">
        <is>
          <t>Smart Sweater</t>
        </is>
      </c>
      <c r="E2333" t="inlineStr">
        <is>
          <t>Clothing</t>
        </is>
      </c>
      <c r="F2333" t="inlineStr">
        <is>
          <t>Maria Nowak</t>
        </is>
      </c>
      <c r="G2333" t="inlineStr">
        <is>
          <t>Poland</t>
        </is>
      </c>
      <c r="H2333" t="inlineStr">
        <is>
          <t>Marketplace</t>
        </is>
      </c>
      <c r="I2333" t="n">
        <v>4</v>
      </c>
      <c r="J2333" s="3" t="n">
        <v>599.5599999999999</v>
      </c>
      <c r="K2333" s="3" t="n">
        <v>29.98</v>
      </c>
      <c r="L2333" s="3" t="n">
        <v>569.58</v>
      </c>
      <c r="M2333" s="3" t="n">
        <v>309.4</v>
      </c>
      <c r="N2333" s="3" t="n">
        <v>260.18</v>
      </c>
      <c r="O2333">
        <f>TEXT(A2333,"yyyy-mm")</f>
        <v/>
      </c>
    </row>
    <row r="2334">
      <c r="A2334" s="2" t="n">
        <v>45890</v>
      </c>
      <c r="B2334" t="n">
        <v>2025</v>
      </c>
      <c r="C2334" t="inlineStr">
        <is>
          <t>August</t>
        </is>
      </c>
      <c r="D2334" t="inlineStr">
        <is>
          <t>Essential Charger</t>
        </is>
      </c>
      <c r="E2334" t="inlineStr">
        <is>
          <t>Electronics</t>
        </is>
      </c>
      <c r="F2334" t="inlineStr">
        <is>
          <t>Maria Nowak</t>
        </is>
      </c>
      <c r="G2334" t="inlineStr">
        <is>
          <t>Poland</t>
        </is>
      </c>
      <c r="H2334" t="inlineStr">
        <is>
          <t>Marketplace</t>
        </is>
      </c>
      <c r="I2334" t="n">
        <v>2</v>
      </c>
      <c r="J2334" s="3" t="n">
        <v>84.98</v>
      </c>
      <c r="K2334" s="3" t="n">
        <v>0</v>
      </c>
      <c r="L2334" s="3" t="n">
        <v>84.98</v>
      </c>
      <c r="M2334" s="3" t="n">
        <v>58.2</v>
      </c>
      <c r="N2334" s="3" t="n">
        <v>26.78</v>
      </c>
      <c r="O2334">
        <f>TEXT(A2334,"yyyy-mm")</f>
        <v/>
      </c>
    </row>
    <row r="2335">
      <c r="A2335" s="2" t="n">
        <v>45893</v>
      </c>
      <c r="B2335" t="n">
        <v>2025</v>
      </c>
      <c r="C2335" t="inlineStr">
        <is>
          <t>August</t>
        </is>
      </c>
      <c r="D2335" t="inlineStr">
        <is>
          <t>Deluxe Toothbrush</t>
        </is>
      </c>
      <c r="E2335" t="inlineStr">
        <is>
          <t>Beauty &amp; Health</t>
        </is>
      </c>
      <c r="F2335" t="inlineStr">
        <is>
          <t>Michael Brown</t>
        </is>
      </c>
      <c r="G2335" t="inlineStr">
        <is>
          <t>Spain</t>
        </is>
      </c>
      <c r="H2335" t="inlineStr">
        <is>
          <t>Retail Store</t>
        </is>
      </c>
      <c r="I2335" t="n">
        <v>3</v>
      </c>
      <c r="J2335" s="3" t="n">
        <v>986.88</v>
      </c>
      <c r="K2335" s="3" t="n">
        <v>0</v>
      </c>
      <c r="L2335" s="3" t="n">
        <v>986.88</v>
      </c>
      <c r="M2335" s="3" t="n">
        <v>523.71</v>
      </c>
      <c r="N2335" s="3" t="n">
        <v>463.17</v>
      </c>
      <c r="O2335">
        <f>TEXT(A2335,"yyyy-mm")</f>
        <v/>
      </c>
    </row>
    <row r="2336">
      <c r="A2336" s="2" t="n">
        <v>45893</v>
      </c>
      <c r="B2336" t="n">
        <v>2025</v>
      </c>
      <c r="C2336" t="inlineStr">
        <is>
          <t>August</t>
        </is>
      </c>
      <c r="D2336" t="inlineStr">
        <is>
          <t>Essential Jacket</t>
        </is>
      </c>
      <c r="E2336" t="inlineStr">
        <is>
          <t>Clothing</t>
        </is>
      </c>
      <c r="F2336" t="inlineStr">
        <is>
          <t>Michael Brown</t>
        </is>
      </c>
      <c r="G2336" t="inlineStr">
        <is>
          <t>Spain</t>
        </is>
      </c>
      <c r="H2336" t="inlineStr">
        <is>
          <t>Retail Store</t>
        </is>
      </c>
      <c r="I2336" t="n">
        <v>2</v>
      </c>
      <c r="J2336" s="3" t="n">
        <v>302.06</v>
      </c>
      <c r="K2336" s="3" t="n">
        <v>45.31</v>
      </c>
      <c r="L2336" s="3" t="n">
        <v>256.75</v>
      </c>
      <c r="M2336" s="3" t="n">
        <v>170.7</v>
      </c>
      <c r="N2336" s="3" t="n">
        <v>86.05</v>
      </c>
      <c r="O2336">
        <f>TEXT(A2336,"yyyy-mm")</f>
        <v/>
      </c>
    </row>
    <row r="2337">
      <c r="A2337" s="2" t="n">
        <v>45893</v>
      </c>
      <c r="B2337" t="n">
        <v>2025</v>
      </c>
      <c r="C2337" t="inlineStr">
        <is>
          <t>August</t>
        </is>
      </c>
      <c r="D2337" t="inlineStr">
        <is>
          <t>Eco Backpack</t>
        </is>
      </c>
      <c r="E2337" t="inlineStr">
        <is>
          <t>Sports &amp; Outdoors</t>
        </is>
      </c>
      <c r="F2337" t="inlineStr">
        <is>
          <t>Sophie Smith</t>
        </is>
      </c>
      <c r="G2337" t="inlineStr">
        <is>
          <t>United Kingdom</t>
        </is>
      </c>
      <c r="H2337" t="inlineStr">
        <is>
          <t>Retail Store</t>
        </is>
      </c>
      <c r="I2337" t="n">
        <v>3</v>
      </c>
      <c r="J2337" s="3" t="n">
        <v>780.09</v>
      </c>
      <c r="K2337" s="3" t="n">
        <v>0</v>
      </c>
      <c r="L2337" s="3" t="n">
        <v>780.09</v>
      </c>
      <c r="M2337" s="3" t="n">
        <v>439.74</v>
      </c>
      <c r="N2337" s="3" t="n">
        <v>340.35</v>
      </c>
      <c r="O2337">
        <f>TEXT(A2337,"yyyy-mm")</f>
        <v/>
      </c>
    </row>
    <row r="2338">
      <c r="A2338" s="2" t="n">
        <v>45893</v>
      </c>
      <c r="B2338" t="n">
        <v>2025</v>
      </c>
      <c r="C2338" t="inlineStr">
        <is>
          <t>August</t>
        </is>
      </c>
      <c r="D2338" t="inlineStr">
        <is>
          <t>Smart Board Game</t>
        </is>
      </c>
      <c r="E2338" t="inlineStr">
        <is>
          <t>Toys &amp; Games</t>
        </is>
      </c>
      <c r="F2338" t="inlineStr">
        <is>
          <t>Sophie Smith</t>
        </is>
      </c>
      <c r="G2338" t="inlineStr">
        <is>
          <t>United Kingdom</t>
        </is>
      </c>
      <c r="H2338" t="inlineStr">
        <is>
          <t>Retail Store</t>
        </is>
      </c>
      <c r="I2338" t="n">
        <v>1</v>
      </c>
      <c r="J2338" s="3" t="n">
        <v>137.67</v>
      </c>
      <c r="K2338" s="3" t="n">
        <v>0</v>
      </c>
      <c r="L2338" s="3" t="n">
        <v>137.67</v>
      </c>
      <c r="M2338" s="3" t="n">
        <v>91.72</v>
      </c>
      <c r="N2338" s="3" t="n">
        <v>45.95</v>
      </c>
      <c r="O2338">
        <f>TEXT(A2338,"yyyy-mm")</f>
        <v/>
      </c>
    </row>
    <row r="2339">
      <c r="A2339" s="2" t="n">
        <v>45894</v>
      </c>
      <c r="B2339" t="n">
        <v>2025</v>
      </c>
      <c r="C2339" t="inlineStr">
        <is>
          <t>August</t>
        </is>
      </c>
      <c r="D2339" t="inlineStr">
        <is>
          <t>Deluxe Toothbrush</t>
        </is>
      </c>
      <c r="E2339" t="inlineStr">
        <is>
          <t>Beauty &amp; Health</t>
        </is>
      </c>
      <c r="F2339" t="inlineStr">
        <is>
          <t>Emily Brown</t>
        </is>
      </c>
      <c r="G2339" t="inlineStr">
        <is>
          <t>United States</t>
        </is>
      </c>
      <c r="H2339" t="inlineStr">
        <is>
          <t>Marketplace</t>
        </is>
      </c>
      <c r="I2339" t="n">
        <v>4</v>
      </c>
      <c r="J2339" s="3" t="n">
        <v>1253.64</v>
      </c>
      <c r="K2339" s="3" t="n">
        <v>0</v>
      </c>
      <c r="L2339" s="3" t="n">
        <v>1253.64</v>
      </c>
      <c r="M2339" s="3" t="n">
        <v>698.28</v>
      </c>
      <c r="N2339" s="3" t="n">
        <v>555.36</v>
      </c>
      <c r="O2339">
        <f>TEXT(A2339,"yyyy-mm")</f>
        <v/>
      </c>
    </row>
    <row r="2340">
      <c r="A2340" s="2" t="n">
        <v>45894</v>
      </c>
      <c r="B2340" t="n">
        <v>2025</v>
      </c>
      <c r="C2340" t="inlineStr">
        <is>
          <t>August</t>
        </is>
      </c>
      <c r="D2340" t="inlineStr">
        <is>
          <t>Smart Charger</t>
        </is>
      </c>
      <c r="E2340" t="inlineStr">
        <is>
          <t>Electronics</t>
        </is>
      </c>
      <c r="F2340" t="inlineStr">
        <is>
          <t>Emily Brown</t>
        </is>
      </c>
      <c r="G2340" t="inlineStr">
        <is>
          <t>United States</t>
        </is>
      </c>
      <c r="H2340" t="inlineStr">
        <is>
          <t>Marketplace</t>
        </is>
      </c>
      <c r="I2340" t="n">
        <v>1</v>
      </c>
      <c r="J2340" s="3" t="n">
        <v>245.5</v>
      </c>
      <c r="K2340" s="3" t="n">
        <v>24.55</v>
      </c>
      <c r="L2340" s="3" t="n">
        <v>220.95</v>
      </c>
      <c r="M2340" s="3" t="n">
        <v>142.52</v>
      </c>
      <c r="N2340" s="3" t="n">
        <v>78.43000000000001</v>
      </c>
      <c r="O2340">
        <f>TEXT(A2340,"yyyy-mm")</f>
        <v/>
      </c>
    </row>
    <row r="2341">
      <c r="A2341" s="2" t="n">
        <v>45894</v>
      </c>
      <c r="B2341" t="n">
        <v>2025</v>
      </c>
      <c r="C2341" t="inlineStr">
        <is>
          <t>August</t>
        </is>
      </c>
      <c r="D2341" t="inlineStr">
        <is>
          <t>Compact Sunscreen</t>
        </is>
      </c>
      <c r="E2341" t="inlineStr">
        <is>
          <t>Beauty &amp; Health</t>
        </is>
      </c>
      <c r="F2341" t="inlineStr">
        <is>
          <t>Emily Brown</t>
        </is>
      </c>
      <c r="G2341" t="inlineStr">
        <is>
          <t>United States</t>
        </is>
      </c>
      <c r="H2341" t="inlineStr">
        <is>
          <t>Marketplace</t>
        </is>
      </c>
      <c r="I2341" t="n">
        <v>4</v>
      </c>
      <c r="J2341" s="3" t="n">
        <v>1190.52</v>
      </c>
      <c r="K2341" s="3" t="n">
        <v>0</v>
      </c>
      <c r="L2341" s="3" t="n">
        <v>1190.52</v>
      </c>
      <c r="M2341" s="3" t="n">
        <v>710.64</v>
      </c>
      <c r="N2341" s="3" t="n">
        <v>479.88</v>
      </c>
      <c r="O2341">
        <f>TEXT(A2341,"yyyy-mm")</f>
        <v/>
      </c>
    </row>
    <row r="2342">
      <c r="A2342" s="2" t="n">
        <v>45894</v>
      </c>
      <c r="B2342" t="n">
        <v>2025</v>
      </c>
      <c r="C2342" t="inlineStr">
        <is>
          <t>August</t>
        </is>
      </c>
      <c r="D2342" t="inlineStr">
        <is>
          <t>Ultra Rug</t>
        </is>
      </c>
      <c r="E2342" t="inlineStr">
        <is>
          <t>Home &amp; Garden</t>
        </is>
      </c>
      <c r="F2342" t="inlineStr">
        <is>
          <t>Emily Brown</t>
        </is>
      </c>
      <c r="G2342" t="inlineStr">
        <is>
          <t>United States</t>
        </is>
      </c>
      <c r="H2342" t="inlineStr">
        <is>
          <t>Marketplace</t>
        </is>
      </c>
      <c r="I2342" t="n">
        <v>4</v>
      </c>
      <c r="J2342" s="3" t="n">
        <v>213.76</v>
      </c>
      <c r="K2342" s="3" t="n">
        <v>0</v>
      </c>
      <c r="L2342" s="3" t="n">
        <v>213.76</v>
      </c>
      <c r="M2342" s="3" t="n">
        <v>131.64</v>
      </c>
      <c r="N2342" s="3" t="n">
        <v>82.12</v>
      </c>
      <c r="O2342">
        <f>TEXT(A2342,"yyyy-mm")</f>
        <v/>
      </c>
    </row>
    <row r="2343">
      <c r="A2343" s="2" t="n">
        <v>45895</v>
      </c>
      <c r="B2343" t="n">
        <v>2025</v>
      </c>
      <c r="C2343" t="inlineStr">
        <is>
          <t>August</t>
        </is>
      </c>
      <c r="D2343" t="inlineStr">
        <is>
          <t>Smart Face Cream</t>
        </is>
      </c>
      <c r="E2343" t="inlineStr">
        <is>
          <t>Beauty &amp; Health</t>
        </is>
      </c>
      <c r="F2343" t="inlineStr">
        <is>
          <t>David Wojcik</t>
        </is>
      </c>
      <c r="G2343" t="inlineStr">
        <is>
          <t>Germany</t>
        </is>
      </c>
      <c r="H2343" t="inlineStr">
        <is>
          <t>Web Store</t>
        </is>
      </c>
      <c r="I2343" t="n">
        <v>5</v>
      </c>
      <c r="J2343" s="3" t="n">
        <v>1314.95</v>
      </c>
      <c r="K2343" s="3" t="n">
        <v>197.24</v>
      </c>
      <c r="L2343" s="3" t="n">
        <v>1117.71</v>
      </c>
      <c r="M2343" s="3" t="n">
        <v>965.7</v>
      </c>
      <c r="N2343" s="3" t="n">
        <v>152.01</v>
      </c>
      <c r="O2343">
        <f>TEXT(A2343,"yyyy-mm")</f>
        <v/>
      </c>
    </row>
    <row r="2344">
      <c r="A2344" s="2" t="n">
        <v>45895</v>
      </c>
      <c r="B2344" t="n">
        <v>2025</v>
      </c>
      <c r="C2344" t="inlineStr">
        <is>
          <t>August</t>
        </is>
      </c>
      <c r="D2344" t="inlineStr">
        <is>
          <t>Classic Bike Helmet</t>
        </is>
      </c>
      <c r="E2344" t="inlineStr">
        <is>
          <t>Sports &amp; Outdoors</t>
        </is>
      </c>
      <c r="F2344" t="inlineStr">
        <is>
          <t>David Wojcik</t>
        </is>
      </c>
      <c r="G2344" t="inlineStr">
        <is>
          <t>Germany</t>
        </is>
      </c>
      <c r="H2344" t="inlineStr">
        <is>
          <t>Web Store</t>
        </is>
      </c>
      <c r="I2344" t="n">
        <v>1</v>
      </c>
      <c r="J2344" s="3" t="n">
        <v>219.5</v>
      </c>
      <c r="K2344" s="3" t="n">
        <v>0</v>
      </c>
      <c r="L2344" s="3" t="n">
        <v>219.5</v>
      </c>
      <c r="M2344" s="3" t="n">
        <v>153.81</v>
      </c>
      <c r="N2344" s="3" t="n">
        <v>65.69</v>
      </c>
      <c r="O2344">
        <f>TEXT(A2344,"yyyy-mm")</f>
        <v/>
      </c>
    </row>
    <row r="2345">
      <c r="A2345" s="2" t="n">
        <v>45896</v>
      </c>
      <c r="B2345" t="n">
        <v>2025</v>
      </c>
      <c r="C2345" t="inlineStr">
        <is>
          <t>August</t>
        </is>
      </c>
      <c r="D2345" t="inlineStr">
        <is>
          <t>Deluxe Toolset</t>
        </is>
      </c>
      <c r="E2345" t="inlineStr">
        <is>
          <t>Home &amp; Garden</t>
        </is>
      </c>
      <c r="F2345" t="inlineStr">
        <is>
          <t>Paul Zielinski</t>
        </is>
      </c>
      <c r="G2345" t="inlineStr">
        <is>
          <t>Poland</t>
        </is>
      </c>
      <c r="H2345" t="inlineStr">
        <is>
          <t>Marketplace</t>
        </is>
      </c>
      <c r="I2345" t="n">
        <v>2</v>
      </c>
      <c r="J2345" s="3" t="n">
        <v>138.02</v>
      </c>
      <c r="K2345" s="3" t="n">
        <v>6.9</v>
      </c>
      <c r="L2345" s="3" t="n">
        <v>131.12</v>
      </c>
      <c r="M2345" s="3" t="n">
        <v>95.42</v>
      </c>
      <c r="N2345" s="3" t="n">
        <v>35.7</v>
      </c>
      <c r="O2345">
        <f>TEXT(A2345,"yyyy-mm")</f>
        <v/>
      </c>
    </row>
    <row r="2346">
      <c r="A2346" s="2" t="n">
        <v>45896</v>
      </c>
      <c r="B2346" t="n">
        <v>2025</v>
      </c>
      <c r="C2346" t="inlineStr">
        <is>
          <t>August</t>
        </is>
      </c>
      <c r="D2346" t="inlineStr">
        <is>
          <t>Smart Sweater</t>
        </is>
      </c>
      <c r="E2346" t="inlineStr">
        <is>
          <t>Clothing</t>
        </is>
      </c>
      <c r="F2346" t="inlineStr">
        <is>
          <t>Paul Zielinski</t>
        </is>
      </c>
      <c r="G2346" t="inlineStr">
        <is>
          <t>Poland</t>
        </is>
      </c>
      <c r="H2346" t="inlineStr">
        <is>
          <t>Marketplace</t>
        </is>
      </c>
      <c r="I2346" t="n">
        <v>4</v>
      </c>
      <c r="J2346" s="3" t="n">
        <v>596.04</v>
      </c>
      <c r="K2346" s="3" t="n">
        <v>0</v>
      </c>
      <c r="L2346" s="3" t="n">
        <v>596.04</v>
      </c>
      <c r="M2346" s="3" t="n">
        <v>309.4</v>
      </c>
      <c r="N2346" s="3" t="n">
        <v>286.64</v>
      </c>
      <c r="O2346">
        <f>TEXT(A2346,"yyyy-mm")</f>
        <v/>
      </c>
    </row>
    <row r="2347">
      <c r="A2347" s="2" t="n">
        <v>45896</v>
      </c>
      <c r="B2347" t="n">
        <v>2025</v>
      </c>
      <c r="C2347" t="inlineStr">
        <is>
          <t>August</t>
        </is>
      </c>
      <c r="D2347" t="inlineStr">
        <is>
          <t>Premium Water Bottle</t>
        </is>
      </c>
      <c r="E2347" t="inlineStr">
        <is>
          <t>Sports &amp; Outdoors</t>
        </is>
      </c>
      <c r="F2347" t="inlineStr">
        <is>
          <t>Paul Zielinski</t>
        </is>
      </c>
      <c r="G2347" t="inlineStr">
        <is>
          <t>Poland</t>
        </is>
      </c>
      <c r="H2347" t="inlineStr">
        <is>
          <t>Marketplace</t>
        </is>
      </c>
      <c r="I2347" t="n">
        <v>2</v>
      </c>
      <c r="J2347" s="3" t="n">
        <v>60.86</v>
      </c>
      <c r="K2347" s="3" t="n">
        <v>3.04</v>
      </c>
      <c r="L2347" s="3" t="n">
        <v>57.82</v>
      </c>
      <c r="M2347" s="3" t="n">
        <v>33.26</v>
      </c>
      <c r="N2347" s="3" t="n">
        <v>24.56</v>
      </c>
      <c r="O2347">
        <f>TEXT(A2347,"yyyy-mm")</f>
        <v/>
      </c>
    </row>
    <row r="2348">
      <c r="A2348" s="2" t="n">
        <v>45896</v>
      </c>
      <c r="B2348" t="n">
        <v>2025</v>
      </c>
      <c r="C2348" t="inlineStr">
        <is>
          <t>August</t>
        </is>
      </c>
      <c r="D2348" t="inlineStr">
        <is>
          <t>Smart Tea Set</t>
        </is>
      </c>
      <c r="E2348" t="inlineStr">
        <is>
          <t>Grocery</t>
        </is>
      </c>
      <c r="F2348" t="inlineStr">
        <is>
          <t>Emma Rossi</t>
        </is>
      </c>
      <c r="G2348" t="inlineStr">
        <is>
          <t>France</t>
        </is>
      </c>
      <c r="H2348" t="inlineStr">
        <is>
          <t>Retail Store</t>
        </is>
      </c>
      <c r="I2348" t="n">
        <v>1</v>
      </c>
      <c r="J2348" s="3" t="n">
        <v>87.26000000000001</v>
      </c>
      <c r="K2348" s="3" t="n">
        <v>8.73</v>
      </c>
      <c r="L2348" s="3" t="n">
        <v>78.53</v>
      </c>
      <c r="M2348" s="3" t="n">
        <v>61.8</v>
      </c>
      <c r="N2348" s="3" t="n">
        <v>16.73</v>
      </c>
      <c r="O2348">
        <f>TEXT(A2348,"yyyy-mm")</f>
        <v/>
      </c>
    </row>
    <row r="2349">
      <c r="A2349" s="2" t="n">
        <v>45896</v>
      </c>
      <c r="B2349" t="n">
        <v>2025</v>
      </c>
      <c r="C2349" t="inlineStr">
        <is>
          <t>August</t>
        </is>
      </c>
      <c r="D2349" t="inlineStr">
        <is>
          <t>Compact Sunscreen</t>
        </is>
      </c>
      <c r="E2349" t="inlineStr">
        <is>
          <t>Beauty &amp; Health</t>
        </is>
      </c>
      <c r="F2349" t="inlineStr">
        <is>
          <t>Emma Rossi</t>
        </is>
      </c>
      <c r="G2349" t="inlineStr">
        <is>
          <t>France</t>
        </is>
      </c>
      <c r="H2349" t="inlineStr">
        <is>
          <t>Retail Store</t>
        </is>
      </c>
      <c r="I2349" t="n">
        <v>2</v>
      </c>
      <c r="J2349" s="3" t="n">
        <v>584.38</v>
      </c>
      <c r="K2349" s="3" t="n">
        <v>0</v>
      </c>
      <c r="L2349" s="3" t="n">
        <v>584.38</v>
      </c>
      <c r="M2349" s="3" t="n">
        <v>355.32</v>
      </c>
      <c r="N2349" s="3" t="n">
        <v>229.06</v>
      </c>
      <c r="O2349">
        <f>TEXT(A2349,"yyyy-mm")</f>
        <v/>
      </c>
    </row>
    <row r="2350">
      <c r="A2350" s="2" t="n">
        <v>45896</v>
      </c>
      <c r="B2350" t="n">
        <v>2025</v>
      </c>
      <c r="C2350" t="inlineStr">
        <is>
          <t>August</t>
        </is>
      </c>
      <c r="D2350" t="inlineStr">
        <is>
          <t>Ultra Vitamins</t>
        </is>
      </c>
      <c r="E2350" t="inlineStr">
        <is>
          <t>Beauty &amp; Health</t>
        </is>
      </c>
      <c r="F2350" t="inlineStr">
        <is>
          <t>Emma Rossi</t>
        </is>
      </c>
      <c r="G2350" t="inlineStr">
        <is>
          <t>France</t>
        </is>
      </c>
      <c r="H2350" t="inlineStr">
        <is>
          <t>Retail Store</t>
        </is>
      </c>
      <c r="I2350" t="n">
        <v>2</v>
      </c>
      <c r="J2350" s="3" t="n">
        <v>434.6</v>
      </c>
      <c r="K2350" s="3" t="n">
        <v>21.73</v>
      </c>
      <c r="L2350" s="3" t="n">
        <v>412.87</v>
      </c>
      <c r="M2350" s="3" t="n">
        <v>252.2</v>
      </c>
      <c r="N2350" s="3" t="n">
        <v>160.67</v>
      </c>
      <c r="O2350">
        <f>TEXT(A2350,"yyyy-mm")</f>
        <v/>
      </c>
    </row>
    <row r="2351">
      <c r="A2351" s="2" t="n">
        <v>45896</v>
      </c>
      <c r="B2351" t="n">
        <v>2025</v>
      </c>
      <c r="C2351" t="inlineStr">
        <is>
          <t>August</t>
        </is>
      </c>
      <c r="D2351" t="inlineStr">
        <is>
          <t>Essential Rug</t>
        </is>
      </c>
      <c r="E2351" t="inlineStr">
        <is>
          <t>Home &amp; Garden</t>
        </is>
      </c>
      <c r="F2351" t="inlineStr">
        <is>
          <t>Emma Rossi</t>
        </is>
      </c>
      <c r="G2351" t="inlineStr">
        <is>
          <t>France</t>
        </is>
      </c>
      <c r="H2351" t="inlineStr">
        <is>
          <t>Retail Store</t>
        </is>
      </c>
      <c r="I2351" t="n">
        <v>1</v>
      </c>
      <c r="J2351" s="3" t="n">
        <v>139.34</v>
      </c>
      <c r="K2351" s="3" t="n">
        <v>0</v>
      </c>
      <c r="L2351" s="3" t="n">
        <v>139.34</v>
      </c>
      <c r="M2351" s="3" t="n">
        <v>76.33</v>
      </c>
      <c r="N2351" s="3" t="n">
        <v>63.01</v>
      </c>
      <c r="O2351">
        <f>TEXT(A2351,"yyyy-mm")</f>
        <v/>
      </c>
    </row>
    <row r="2352">
      <c r="A2352" s="2" t="n">
        <v>45897</v>
      </c>
      <c r="B2352" t="n">
        <v>2025</v>
      </c>
      <c r="C2352" t="inlineStr">
        <is>
          <t>August</t>
        </is>
      </c>
      <c r="D2352" t="inlineStr">
        <is>
          <t>Smart Board Game</t>
        </is>
      </c>
      <c r="E2352" t="inlineStr">
        <is>
          <t>Toys &amp; Games</t>
        </is>
      </c>
      <c r="F2352" t="inlineStr">
        <is>
          <t>David Wojcik</t>
        </is>
      </c>
      <c r="G2352" t="inlineStr">
        <is>
          <t>Germany</t>
        </is>
      </c>
      <c r="H2352" t="inlineStr">
        <is>
          <t>Marketplace</t>
        </is>
      </c>
      <c r="I2352" t="n">
        <v>3</v>
      </c>
      <c r="J2352" s="3" t="n">
        <v>411.66</v>
      </c>
      <c r="K2352" s="3" t="n">
        <v>20.58</v>
      </c>
      <c r="L2352" s="3" t="n">
        <v>391.08</v>
      </c>
      <c r="M2352" s="3" t="n">
        <v>275.16</v>
      </c>
      <c r="N2352" s="3" t="n">
        <v>115.92</v>
      </c>
      <c r="O2352">
        <f>TEXT(A2352,"yyyy-mm")</f>
        <v/>
      </c>
    </row>
    <row r="2353">
      <c r="A2353" s="2" t="n">
        <v>45897</v>
      </c>
      <c r="B2353" t="n">
        <v>2025</v>
      </c>
      <c r="C2353" t="inlineStr">
        <is>
          <t>August</t>
        </is>
      </c>
      <c r="D2353" t="inlineStr">
        <is>
          <t>Portable Tea Set</t>
        </is>
      </c>
      <c r="E2353" t="inlineStr">
        <is>
          <t>Grocery</t>
        </is>
      </c>
      <c r="F2353" t="inlineStr">
        <is>
          <t>David Wojcik</t>
        </is>
      </c>
      <c r="G2353" t="inlineStr">
        <is>
          <t>Germany</t>
        </is>
      </c>
      <c r="H2353" t="inlineStr">
        <is>
          <t>Marketplace</t>
        </is>
      </c>
      <c r="I2353" t="n">
        <v>1</v>
      </c>
      <c r="J2353" s="3" t="n">
        <v>276.76</v>
      </c>
      <c r="K2353" s="3" t="n">
        <v>0</v>
      </c>
      <c r="L2353" s="3" t="n">
        <v>276.76</v>
      </c>
      <c r="M2353" s="3" t="n">
        <v>188.12</v>
      </c>
      <c r="N2353" s="3" t="n">
        <v>88.64</v>
      </c>
      <c r="O2353">
        <f>TEXT(A2353,"yyyy-mm")</f>
        <v/>
      </c>
    </row>
    <row r="2354">
      <c r="A2354" s="2" t="n">
        <v>45897</v>
      </c>
      <c r="B2354" t="n">
        <v>2025</v>
      </c>
      <c r="C2354" t="inlineStr">
        <is>
          <t>August</t>
        </is>
      </c>
      <c r="D2354" t="inlineStr">
        <is>
          <t>Wireless Coffee Beans</t>
        </is>
      </c>
      <c r="E2354" t="inlineStr">
        <is>
          <t>Grocery</t>
        </is>
      </c>
      <c r="F2354" t="inlineStr">
        <is>
          <t>David Wojcik</t>
        </is>
      </c>
      <c r="G2354" t="inlineStr">
        <is>
          <t>Germany</t>
        </is>
      </c>
      <c r="H2354" t="inlineStr">
        <is>
          <t>Marketplace</t>
        </is>
      </c>
      <c r="I2354" t="n">
        <v>4</v>
      </c>
      <c r="J2354" s="3" t="n">
        <v>464.04</v>
      </c>
      <c r="K2354" s="3" t="n">
        <v>69.61</v>
      </c>
      <c r="L2354" s="3" t="n">
        <v>394.43</v>
      </c>
      <c r="M2354" s="3" t="n">
        <v>317.48</v>
      </c>
      <c r="N2354" s="3" t="n">
        <v>76.95</v>
      </c>
      <c r="O2354">
        <f>TEXT(A2354,"yyyy-mm")</f>
        <v/>
      </c>
    </row>
    <row r="2355">
      <c r="A2355" s="2" t="n">
        <v>45897</v>
      </c>
      <c r="B2355" t="n">
        <v>2025</v>
      </c>
      <c r="C2355" t="inlineStr">
        <is>
          <t>August</t>
        </is>
      </c>
      <c r="D2355" t="inlineStr">
        <is>
          <t>Wireless Drone</t>
        </is>
      </c>
      <c r="E2355" t="inlineStr">
        <is>
          <t>Toys &amp; Games</t>
        </is>
      </c>
      <c r="F2355" t="inlineStr">
        <is>
          <t>David Wojcik</t>
        </is>
      </c>
      <c r="G2355" t="inlineStr">
        <is>
          <t>Germany</t>
        </is>
      </c>
      <c r="H2355" t="inlineStr">
        <is>
          <t>Marketplace</t>
        </is>
      </c>
      <c r="I2355" t="n">
        <v>1</v>
      </c>
      <c r="J2355" s="3" t="n">
        <v>214.11</v>
      </c>
      <c r="K2355" s="3" t="n">
        <v>42.82</v>
      </c>
      <c r="L2355" s="3" t="n">
        <v>171.29</v>
      </c>
      <c r="M2355" s="3" t="n">
        <v>131.29</v>
      </c>
      <c r="N2355" s="3" t="n">
        <v>40</v>
      </c>
      <c r="O2355">
        <f>TEXT(A2355,"yyyy-mm")</f>
        <v/>
      </c>
    </row>
    <row r="2356">
      <c r="A2356" s="2" t="n">
        <v>45898</v>
      </c>
      <c r="B2356" t="n">
        <v>2025</v>
      </c>
      <c r="C2356" t="inlineStr">
        <is>
          <t>August</t>
        </is>
      </c>
      <c r="D2356" t="inlineStr">
        <is>
          <t>Portable Toolset</t>
        </is>
      </c>
      <c r="E2356" t="inlineStr">
        <is>
          <t>Home &amp; Garden</t>
        </is>
      </c>
      <c r="F2356" t="inlineStr">
        <is>
          <t>Mark Moreau</t>
        </is>
      </c>
      <c r="G2356" t="inlineStr">
        <is>
          <t>Italy</t>
        </is>
      </c>
      <c r="H2356" t="inlineStr">
        <is>
          <t>Mobile App</t>
        </is>
      </c>
      <c r="I2356" t="n">
        <v>4</v>
      </c>
      <c r="J2356" s="3" t="n">
        <v>360.48</v>
      </c>
      <c r="K2356" s="3" t="n">
        <v>18.02</v>
      </c>
      <c r="L2356" s="3" t="n">
        <v>342.46</v>
      </c>
      <c r="M2356" s="3" t="n">
        <v>202.16</v>
      </c>
      <c r="N2356" s="3" t="n">
        <v>140.3</v>
      </c>
      <c r="O2356">
        <f>TEXT(A2356,"yyyy-mm")</f>
        <v/>
      </c>
    </row>
    <row r="2357">
      <c r="A2357" s="2" t="n">
        <v>45898</v>
      </c>
      <c r="B2357" t="n">
        <v>2025</v>
      </c>
      <c r="C2357" t="inlineStr">
        <is>
          <t>August</t>
        </is>
      </c>
      <c r="D2357" t="inlineStr">
        <is>
          <t>Portable Notebook</t>
        </is>
      </c>
      <c r="E2357" t="inlineStr">
        <is>
          <t>Books</t>
        </is>
      </c>
      <c r="F2357" t="inlineStr">
        <is>
          <t>Mark Moreau</t>
        </is>
      </c>
      <c r="G2357" t="inlineStr">
        <is>
          <t>Italy</t>
        </is>
      </c>
      <c r="H2357" t="inlineStr">
        <is>
          <t>Mobile App</t>
        </is>
      </c>
      <c r="I2357" t="n">
        <v>1</v>
      </c>
      <c r="J2357" s="3" t="n">
        <v>128.71</v>
      </c>
      <c r="K2357" s="3" t="n">
        <v>12.87</v>
      </c>
      <c r="L2357" s="3" t="n">
        <v>115.84</v>
      </c>
      <c r="M2357" s="3" t="n">
        <v>71.28</v>
      </c>
      <c r="N2357" s="3" t="n">
        <v>44.56</v>
      </c>
      <c r="O2357">
        <f>TEXT(A2357,"yyyy-mm")</f>
        <v/>
      </c>
    </row>
    <row r="2358">
      <c r="A2358" s="2" t="n">
        <v>45898</v>
      </c>
      <c r="B2358" t="n">
        <v>2025</v>
      </c>
      <c r="C2358" t="inlineStr">
        <is>
          <t>August</t>
        </is>
      </c>
      <c r="D2358" t="inlineStr">
        <is>
          <t>Smart Face Cream</t>
        </is>
      </c>
      <c r="E2358" t="inlineStr">
        <is>
          <t>Beauty &amp; Health</t>
        </is>
      </c>
      <c r="F2358" t="inlineStr">
        <is>
          <t>Mark Moreau</t>
        </is>
      </c>
      <c r="G2358" t="inlineStr">
        <is>
          <t>Italy</t>
        </is>
      </c>
      <c r="H2358" t="inlineStr">
        <is>
          <t>Mobile App</t>
        </is>
      </c>
      <c r="I2358" t="n">
        <v>2</v>
      </c>
      <c r="J2358" s="3" t="n">
        <v>539.16</v>
      </c>
      <c r="K2358" s="3" t="n">
        <v>0</v>
      </c>
      <c r="L2358" s="3" t="n">
        <v>539.16</v>
      </c>
      <c r="M2358" s="3" t="n">
        <v>386.28</v>
      </c>
      <c r="N2358" s="3" t="n">
        <v>152.88</v>
      </c>
      <c r="O2358">
        <f>TEXT(A2358,"yyyy-mm")</f>
        <v/>
      </c>
    </row>
    <row r="2359">
      <c r="A2359" s="2" t="n">
        <v>45898</v>
      </c>
      <c r="B2359" t="n">
        <v>2025</v>
      </c>
      <c r="C2359" t="inlineStr">
        <is>
          <t>August</t>
        </is>
      </c>
      <c r="D2359" t="inlineStr">
        <is>
          <t>Wireless Honey</t>
        </is>
      </c>
      <c r="E2359" t="inlineStr">
        <is>
          <t>Grocery</t>
        </is>
      </c>
      <c r="F2359" t="inlineStr">
        <is>
          <t>Mark Moreau</t>
        </is>
      </c>
      <c r="G2359" t="inlineStr">
        <is>
          <t>Italy</t>
        </is>
      </c>
      <c r="H2359" t="inlineStr">
        <is>
          <t>Mobile App</t>
        </is>
      </c>
      <c r="I2359" t="n">
        <v>4</v>
      </c>
      <c r="J2359" s="3" t="n">
        <v>532.92</v>
      </c>
      <c r="K2359" s="3" t="n">
        <v>0</v>
      </c>
      <c r="L2359" s="3" t="n">
        <v>532.92</v>
      </c>
      <c r="M2359" s="3" t="n">
        <v>376.28</v>
      </c>
      <c r="N2359" s="3" t="n">
        <v>156.64</v>
      </c>
      <c r="O2359">
        <f>TEXT(A2359,"yyyy-mm")</f>
        <v/>
      </c>
    </row>
    <row r="2360">
      <c r="A2360" s="2" t="n">
        <v>45898</v>
      </c>
      <c r="B2360" t="n">
        <v>2025</v>
      </c>
      <c r="C2360" t="inlineStr">
        <is>
          <t>August</t>
        </is>
      </c>
      <c r="D2360" t="inlineStr">
        <is>
          <t>Portable Bike Helmet</t>
        </is>
      </c>
      <c r="E2360" t="inlineStr">
        <is>
          <t>Sports &amp; Outdoors</t>
        </is>
      </c>
      <c r="F2360" t="inlineStr">
        <is>
          <t>James Dubois</t>
        </is>
      </c>
      <c r="G2360" t="inlineStr">
        <is>
          <t>France</t>
        </is>
      </c>
      <c r="H2360" t="inlineStr">
        <is>
          <t>Mobile App</t>
        </is>
      </c>
      <c r="I2360" t="n">
        <v>5</v>
      </c>
      <c r="J2360" s="3" t="n">
        <v>1604.6</v>
      </c>
      <c r="K2360" s="3" t="n">
        <v>240.69</v>
      </c>
      <c r="L2360" s="3" t="n">
        <v>1363.91</v>
      </c>
      <c r="M2360" s="3" t="n">
        <v>826.85</v>
      </c>
      <c r="N2360" s="3" t="n">
        <v>537.0599999999999</v>
      </c>
      <c r="O2360">
        <f>TEXT(A2360,"yyyy-mm")</f>
        <v/>
      </c>
    </row>
    <row r="2361">
      <c r="A2361" s="2" t="n">
        <v>45899</v>
      </c>
      <c r="B2361" t="n">
        <v>2025</v>
      </c>
      <c r="C2361" t="inlineStr">
        <is>
          <t>August</t>
        </is>
      </c>
      <c r="D2361" t="inlineStr">
        <is>
          <t>Compact Sunscreen</t>
        </is>
      </c>
      <c r="E2361" t="inlineStr">
        <is>
          <t>Beauty &amp; Health</t>
        </is>
      </c>
      <c r="F2361" t="inlineStr">
        <is>
          <t>Nina Muller</t>
        </is>
      </c>
      <c r="G2361" t="inlineStr">
        <is>
          <t>Spain</t>
        </is>
      </c>
      <c r="H2361" t="inlineStr">
        <is>
          <t>Web Store</t>
        </is>
      </c>
      <c r="I2361" t="n">
        <v>5</v>
      </c>
      <c r="J2361" s="3" t="n">
        <v>1435.7</v>
      </c>
      <c r="K2361" s="3" t="n">
        <v>143.57</v>
      </c>
      <c r="L2361" s="3" t="n">
        <v>1292.13</v>
      </c>
      <c r="M2361" s="3" t="n">
        <v>888.3</v>
      </c>
      <c r="N2361" s="3" t="n">
        <v>403.83</v>
      </c>
      <c r="O2361">
        <f>TEXT(A2361,"yyyy-mm")</f>
        <v/>
      </c>
    </row>
    <row r="2362">
      <c r="A2362" s="2" t="n">
        <v>45899</v>
      </c>
      <c r="B2362" t="n">
        <v>2025</v>
      </c>
      <c r="C2362" t="inlineStr">
        <is>
          <t>August</t>
        </is>
      </c>
      <c r="D2362" t="inlineStr">
        <is>
          <t>Smart Cookbook</t>
        </is>
      </c>
      <c r="E2362" t="inlineStr">
        <is>
          <t>Books</t>
        </is>
      </c>
      <c r="F2362" t="inlineStr">
        <is>
          <t>Nina Muller</t>
        </is>
      </c>
      <c r="G2362" t="inlineStr">
        <is>
          <t>Spain</t>
        </is>
      </c>
      <c r="H2362" t="inlineStr">
        <is>
          <t>Web Store</t>
        </is>
      </c>
      <c r="I2362" t="n">
        <v>3</v>
      </c>
      <c r="J2362" s="3" t="n">
        <v>54.48</v>
      </c>
      <c r="K2362" s="3" t="n">
        <v>8.17</v>
      </c>
      <c r="L2362" s="3" t="n">
        <v>46.31</v>
      </c>
      <c r="M2362" s="3" t="n">
        <v>29.64</v>
      </c>
      <c r="N2362" s="3" t="n">
        <v>16.67</v>
      </c>
      <c r="O2362">
        <f>TEXT(A2362,"yyyy-mm")</f>
        <v/>
      </c>
    </row>
    <row r="2363">
      <c r="A2363" s="2" t="n">
        <v>45899</v>
      </c>
      <c r="B2363" t="n">
        <v>2025</v>
      </c>
      <c r="C2363" t="inlineStr">
        <is>
          <t>August</t>
        </is>
      </c>
      <c r="D2363" t="inlineStr">
        <is>
          <t>Premium Tent</t>
        </is>
      </c>
      <c r="E2363" t="inlineStr">
        <is>
          <t>Sports &amp; Outdoors</t>
        </is>
      </c>
      <c r="F2363" t="inlineStr">
        <is>
          <t>James Weber</t>
        </is>
      </c>
      <c r="G2363" t="inlineStr">
        <is>
          <t>Germany</t>
        </is>
      </c>
      <c r="H2363" t="inlineStr">
        <is>
          <t>Mobile App</t>
        </is>
      </c>
      <c r="I2363" t="n">
        <v>1</v>
      </c>
      <c r="J2363" s="3" t="n">
        <v>261.42</v>
      </c>
      <c r="K2363" s="3" t="n">
        <v>52.28</v>
      </c>
      <c r="L2363" s="3" t="n">
        <v>209.14</v>
      </c>
      <c r="M2363" s="3" t="n">
        <v>165.31</v>
      </c>
      <c r="N2363" s="3" t="n">
        <v>43.83</v>
      </c>
      <c r="O2363">
        <f>TEXT(A2363,"yyyy-mm")</f>
        <v/>
      </c>
    </row>
    <row r="2364">
      <c r="A2364" s="2" t="n">
        <v>45899</v>
      </c>
      <c r="B2364" t="n">
        <v>2025</v>
      </c>
      <c r="C2364" t="inlineStr">
        <is>
          <t>August</t>
        </is>
      </c>
      <c r="D2364" t="inlineStr">
        <is>
          <t>Smart Jeans</t>
        </is>
      </c>
      <c r="E2364" t="inlineStr">
        <is>
          <t>Clothing</t>
        </is>
      </c>
      <c r="F2364" t="inlineStr">
        <is>
          <t>James Weber</t>
        </is>
      </c>
      <c r="G2364" t="inlineStr">
        <is>
          <t>Germany</t>
        </is>
      </c>
      <c r="H2364" t="inlineStr">
        <is>
          <t>Mobile App</t>
        </is>
      </c>
      <c r="I2364" t="n">
        <v>2</v>
      </c>
      <c r="J2364" s="3" t="n">
        <v>549.16</v>
      </c>
      <c r="K2364" s="3" t="n">
        <v>0</v>
      </c>
      <c r="L2364" s="3" t="n">
        <v>549.16</v>
      </c>
      <c r="M2364" s="3" t="n">
        <v>387.28</v>
      </c>
      <c r="N2364" s="3" t="n">
        <v>161.88</v>
      </c>
      <c r="O2364">
        <f>TEXT(A2364,"yyyy-mm")</f>
        <v/>
      </c>
    </row>
    <row r="2365">
      <c r="A2365" s="2" t="n">
        <v>45899</v>
      </c>
      <c r="B2365" t="n">
        <v>2025</v>
      </c>
      <c r="C2365" t="inlineStr">
        <is>
          <t>August</t>
        </is>
      </c>
      <c r="D2365" t="inlineStr">
        <is>
          <t>Smart Camera</t>
        </is>
      </c>
      <c r="E2365" t="inlineStr">
        <is>
          <t>Electronics</t>
        </is>
      </c>
      <c r="F2365" t="inlineStr">
        <is>
          <t>James Weber</t>
        </is>
      </c>
      <c r="G2365" t="inlineStr">
        <is>
          <t>Germany</t>
        </is>
      </c>
      <c r="H2365" t="inlineStr">
        <is>
          <t>Mobile App</t>
        </is>
      </c>
      <c r="I2365" t="n">
        <v>3</v>
      </c>
      <c r="J2365" s="3" t="n">
        <v>937.14</v>
      </c>
      <c r="K2365" s="3" t="n">
        <v>140.57</v>
      </c>
      <c r="L2365" s="3" t="n">
        <v>796.5700000000001</v>
      </c>
      <c r="M2365" s="3" t="n">
        <v>502.2</v>
      </c>
      <c r="N2365" s="3" t="n">
        <v>294.37</v>
      </c>
      <c r="O2365">
        <f>TEXT(A2365,"yyyy-mm")</f>
        <v/>
      </c>
    </row>
    <row r="2366">
      <c r="A2366" s="2" t="n">
        <v>45899</v>
      </c>
      <c r="B2366" t="n">
        <v>2025</v>
      </c>
      <c r="C2366" t="inlineStr">
        <is>
          <t>August</t>
        </is>
      </c>
      <c r="D2366" t="inlineStr">
        <is>
          <t>Essential Toolset</t>
        </is>
      </c>
      <c r="E2366" t="inlineStr">
        <is>
          <t>Home &amp; Garden</t>
        </is>
      </c>
      <c r="F2366" t="inlineStr">
        <is>
          <t>James Weber</t>
        </is>
      </c>
      <c r="G2366" t="inlineStr">
        <is>
          <t>Germany</t>
        </is>
      </c>
      <c r="H2366" t="inlineStr">
        <is>
          <t>Mobile App</t>
        </is>
      </c>
      <c r="I2366" t="n">
        <v>3</v>
      </c>
      <c r="J2366" s="3" t="n">
        <v>620.3099999999999</v>
      </c>
      <c r="K2366" s="3" t="n">
        <v>0</v>
      </c>
      <c r="L2366" s="3" t="n">
        <v>620.3099999999999</v>
      </c>
      <c r="M2366" s="3" t="n">
        <v>451.59</v>
      </c>
      <c r="N2366" s="3" t="n">
        <v>168.72</v>
      </c>
      <c r="O2366">
        <f>TEXT(A2366,"yyyy-mm")</f>
        <v/>
      </c>
    </row>
    <row r="2367">
      <c r="A2367" s="2" t="n">
        <v>45899</v>
      </c>
      <c r="B2367" t="n">
        <v>2025</v>
      </c>
      <c r="C2367" t="inlineStr">
        <is>
          <t>August</t>
        </is>
      </c>
      <c r="D2367" t="inlineStr">
        <is>
          <t>Essential Toolset</t>
        </is>
      </c>
      <c r="E2367" t="inlineStr">
        <is>
          <t>Home &amp; Garden</t>
        </is>
      </c>
      <c r="F2367" t="inlineStr">
        <is>
          <t>Robert Smith</t>
        </is>
      </c>
      <c r="G2367" t="inlineStr">
        <is>
          <t>Spain</t>
        </is>
      </c>
      <c r="H2367" t="inlineStr">
        <is>
          <t>Web Store</t>
        </is>
      </c>
      <c r="I2367" t="n">
        <v>5</v>
      </c>
      <c r="J2367" s="3" t="n">
        <v>1082.65</v>
      </c>
      <c r="K2367" s="3" t="n">
        <v>0</v>
      </c>
      <c r="L2367" s="3" t="n">
        <v>1082.65</v>
      </c>
      <c r="M2367" s="3" t="n">
        <v>752.65</v>
      </c>
      <c r="N2367" s="3" t="n">
        <v>330</v>
      </c>
      <c r="O2367">
        <f>TEXT(A2367,"yyyy-mm")</f>
        <v/>
      </c>
    </row>
    <row r="2368">
      <c r="A2368" s="2" t="n">
        <v>45899</v>
      </c>
      <c r="B2368" t="n">
        <v>2025</v>
      </c>
      <c r="C2368" t="inlineStr">
        <is>
          <t>August</t>
        </is>
      </c>
      <c r="D2368" t="inlineStr">
        <is>
          <t>Compact Sunscreen</t>
        </is>
      </c>
      <c r="E2368" t="inlineStr">
        <is>
          <t>Beauty &amp; Health</t>
        </is>
      </c>
      <c r="F2368" t="inlineStr">
        <is>
          <t>Robert Smith</t>
        </is>
      </c>
      <c r="G2368" t="inlineStr">
        <is>
          <t>Spain</t>
        </is>
      </c>
      <c r="H2368" t="inlineStr">
        <is>
          <t>Web Store</t>
        </is>
      </c>
      <c r="I2368" t="n">
        <v>4</v>
      </c>
      <c r="J2368" s="3" t="n">
        <v>1172.52</v>
      </c>
      <c r="K2368" s="3" t="n">
        <v>234.5</v>
      </c>
      <c r="L2368" s="3" t="n">
        <v>938.02</v>
      </c>
      <c r="M2368" s="3" t="n">
        <v>710.64</v>
      </c>
      <c r="N2368" s="3" t="n">
        <v>227.38</v>
      </c>
      <c r="O2368">
        <f>TEXT(A2368,"yyyy-mm")</f>
        <v/>
      </c>
    </row>
    <row r="2369">
      <c r="A2369" s="2" t="n">
        <v>45899</v>
      </c>
      <c r="B2369" t="n">
        <v>2025</v>
      </c>
      <c r="C2369" t="inlineStr">
        <is>
          <t>August</t>
        </is>
      </c>
      <c r="D2369" t="inlineStr">
        <is>
          <t>Deluxe Scarf</t>
        </is>
      </c>
      <c r="E2369" t="inlineStr">
        <is>
          <t>Clothing</t>
        </is>
      </c>
      <c r="F2369" t="inlineStr">
        <is>
          <t>Robert Smith</t>
        </is>
      </c>
      <c r="G2369" t="inlineStr">
        <is>
          <t>Spain</t>
        </is>
      </c>
      <c r="H2369" t="inlineStr">
        <is>
          <t>Web Store</t>
        </is>
      </c>
      <c r="I2369" t="n">
        <v>1</v>
      </c>
      <c r="J2369" s="3" t="n">
        <v>207.77</v>
      </c>
      <c r="K2369" s="3" t="n">
        <v>20.78</v>
      </c>
      <c r="L2369" s="3" t="n">
        <v>186.99</v>
      </c>
      <c r="M2369" s="3" t="n">
        <v>108.52</v>
      </c>
      <c r="N2369" s="3" t="n">
        <v>78.47</v>
      </c>
      <c r="O2369">
        <f>TEXT(A2369,"yyyy-mm")</f>
        <v/>
      </c>
    </row>
    <row r="2370">
      <c r="A2370" s="2" t="n">
        <v>45899</v>
      </c>
      <c r="B2370" t="n">
        <v>2025</v>
      </c>
      <c r="C2370" t="inlineStr">
        <is>
          <t>August</t>
        </is>
      </c>
      <c r="D2370" t="inlineStr">
        <is>
          <t>Premium Tent</t>
        </is>
      </c>
      <c r="E2370" t="inlineStr">
        <is>
          <t>Sports &amp; Outdoors</t>
        </is>
      </c>
      <c r="F2370" t="inlineStr">
        <is>
          <t>Emily Brown</t>
        </is>
      </c>
      <c r="G2370" t="inlineStr">
        <is>
          <t>United States</t>
        </is>
      </c>
      <c r="H2370" t="inlineStr">
        <is>
          <t>Mobile App</t>
        </is>
      </c>
      <c r="I2370" t="n">
        <v>5</v>
      </c>
      <c r="J2370" s="3" t="n">
        <v>682.75</v>
      </c>
      <c r="K2370" s="3" t="n">
        <v>102.41</v>
      </c>
      <c r="L2370" s="3" t="n">
        <v>580.34</v>
      </c>
      <c r="M2370" s="3" t="n">
        <v>482</v>
      </c>
      <c r="N2370" s="3" t="n">
        <v>98.34</v>
      </c>
      <c r="O2370">
        <f>TEXT(A2370,"yyyy-mm")</f>
        <v/>
      </c>
    </row>
    <row r="2371">
      <c r="A2371" s="2" t="n">
        <v>45899</v>
      </c>
      <c r="B2371" t="n">
        <v>2025</v>
      </c>
      <c r="C2371" t="inlineStr">
        <is>
          <t>August</t>
        </is>
      </c>
      <c r="D2371" t="inlineStr">
        <is>
          <t>Portable Pasta</t>
        </is>
      </c>
      <c r="E2371" t="inlineStr">
        <is>
          <t>Grocery</t>
        </is>
      </c>
      <c r="F2371" t="inlineStr">
        <is>
          <t>Emily Brown</t>
        </is>
      </c>
      <c r="G2371" t="inlineStr">
        <is>
          <t>United States</t>
        </is>
      </c>
      <c r="H2371" t="inlineStr">
        <is>
          <t>Mobile App</t>
        </is>
      </c>
      <c r="I2371" t="n">
        <v>1</v>
      </c>
      <c r="J2371" s="3" t="n">
        <v>37.19</v>
      </c>
      <c r="K2371" s="3" t="n">
        <v>3.72</v>
      </c>
      <c r="L2371" s="3" t="n">
        <v>33.47</v>
      </c>
      <c r="M2371" s="3" t="n">
        <v>27.75</v>
      </c>
      <c r="N2371" s="3" t="n">
        <v>5.72</v>
      </c>
      <c r="O2371">
        <f>TEXT(A2371,"yyyy-mm")</f>
        <v/>
      </c>
    </row>
    <row r="2372">
      <c r="A2372" s="2" t="n">
        <v>45899</v>
      </c>
      <c r="B2372" t="n">
        <v>2025</v>
      </c>
      <c r="C2372" t="inlineStr">
        <is>
          <t>August</t>
        </is>
      </c>
      <c r="D2372" t="inlineStr">
        <is>
          <t>Compact Jacket</t>
        </is>
      </c>
      <c r="E2372" t="inlineStr">
        <is>
          <t>Clothing</t>
        </is>
      </c>
      <c r="F2372" t="inlineStr">
        <is>
          <t>Emily Brown</t>
        </is>
      </c>
      <c r="G2372" t="inlineStr">
        <is>
          <t>United States</t>
        </is>
      </c>
      <c r="H2372" t="inlineStr">
        <is>
          <t>Mobile App</t>
        </is>
      </c>
      <c r="I2372" t="n">
        <v>2</v>
      </c>
      <c r="J2372" s="3" t="n">
        <v>77.44</v>
      </c>
      <c r="K2372" s="3" t="n">
        <v>11.62</v>
      </c>
      <c r="L2372" s="3" t="n">
        <v>65.81999999999999</v>
      </c>
      <c r="M2372" s="3" t="n">
        <v>40.8</v>
      </c>
      <c r="N2372" s="3" t="n">
        <v>25.02</v>
      </c>
      <c r="O2372">
        <f>TEXT(A2372,"yyyy-mm")</f>
        <v/>
      </c>
    </row>
    <row r="2373">
      <c r="A2373" s="2" t="n">
        <v>45899</v>
      </c>
      <c r="B2373" t="n">
        <v>2025</v>
      </c>
      <c r="C2373" t="inlineStr">
        <is>
          <t>August</t>
        </is>
      </c>
      <c r="D2373" t="inlineStr">
        <is>
          <t>Premium Water Bottle</t>
        </is>
      </c>
      <c r="E2373" t="inlineStr">
        <is>
          <t>Sports &amp; Outdoors</t>
        </is>
      </c>
      <c r="F2373" t="inlineStr">
        <is>
          <t>Emily Brown</t>
        </is>
      </c>
      <c r="G2373" t="inlineStr">
        <is>
          <t>United States</t>
        </is>
      </c>
      <c r="H2373" t="inlineStr">
        <is>
          <t>Mobile App</t>
        </is>
      </c>
      <c r="I2373" t="n">
        <v>5</v>
      </c>
      <c r="J2373" s="3" t="n">
        <v>151.65</v>
      </c>
      <c r="K2373" s="3" t="n">
        <v>0</v>
      </c>
      <c r="L2373" s="3" t="n">
        <v>151.65</v>
      </c>
      <c r="M2373" s="3" t="n">
        <v>83.15000000000001</v>
      </c>
      <c r="N2373" s="3" t="n">
        <v>68.5</v>
      </c>
      <c r="O2373">
        <f>TEXT(A2373,"yyyy-mm")</f>
        <v/>
      </c>
    </row>
    <row r="2374">
      <c r="A2374" s="2" t="n">
        <v>45900</v>
      </c>
      <c r="B2374" t="n">
        <v>2025</v>
      </c>
      <c r="C2374" t="inlineStr">
        <is>
          <t>August</t>
        </is>
      </c>
      <c r="D2374" t="inlineStr">
        <is>
          <t>Essential Charger</t>
        </is>
      </c>
      <c r="E2374" t="inlineStr">
        <is>
          <t>Electronics</t>
        </is>
      </c>
      <c r="F2374" t="inlineStr">
        <is>
          <t>Michael Nowak</t>
        </is>
      </c>
      <c r="G2374" t="inlineStr">
        <is>
          <t>United Kingdom</t>
        </is>
      </c>
      <c r="H2374" t="inlineStr">
        <is>
          <t>Mobile App</t>
        </is>
      </c>
      <c r="I2374" t="n">
        <v>1</v>
      </c>
      <c r="J2374" s="3" t="n">
        <v>43.74</v>
      </c>
      <c r="K2374" s="3" t="n">
        <v>0</v>
      </c>
      <c r="L2374" s="3" t="n">
        <v>43.74</v>
      </c>
      <c r="M2374" s="3" t="n">
        <v>29.1</v>
      </c>
      <c r="N2374" s="3" t="n">
        <v>14.64</v>
      </c>
      <c r="O2374">
        <f>TEXT(A2374,"yyyy-mm")</f>
        <v/>
      </c>
    </row>
    <row r="2375">
      <c r="A2375" s="2" t="n">
        <v>45900</v>
      </c>
      <c r="B2375" t="n">
        <v>2025</v>
      </c>
      <c r="C2375" t="inlineStr">
        <is>
          <t>August</t>
        </is>
      </c>
      <c r="D2375" t="inlineStr">
        <is>
          <t>Smart Jeans</t>
        </is>
      </c>
      <c r="E2375" t="inlineStr">
        <is>
          <t>Clothing</t>
        </is>
      </c>
      <c r="F2375" t="inlineStr">
        <is>
          <t>Michael Nowak</t>
        </is>
      </c>
      <c r="G2375" t="inlineStr">
        <is>
          <t>United Kingdom</t>
        </is>
      </c>
      <c r="H2375" t="inlineStr">
        <is>
          <t>Mobile App</t>
        </is>
      </c>
      <c r="I2375" t="n">
        <v>4</v>
      </c>
      <c r="J2375" s="3" t="n">
        <v>1159.16</v>
      </c>
      <c r="K2375" s="3" t="n">
        <v>0</v>
      </c>
      <c r="L2375" s="3" t="n">
        <v>1159.16</v>
      </c>
      <c r="M2375" s="3" t="n">
        <v>774.5599999999999</v>
      </c>
      <c r="N2375" s="3" t="n">
        <v>384.6</v>
      </c>
      <c r="O2375">
        <f>TEXT(A2375,"yyyy-mm")</f>
        <v/>
      </c>
    </row>
    <row r="2376">
      <c r="A2376" s="2" t="n">
        <v>45900</v>
      </c>
      <c r="B2376" t="n">
        <v>2025</v>
      </c>
      <c r="C2376" t="inlineStr">
        <is>
          <t>August</t>
        </is>
      </c>
      <c r="D2376" t="inlineStr">
        <is>
          <t>Deluxe Toolset</t>
        </is>
      </c>
      <c r="E2376" t="inlineStr">
        <is>
          <t>Home &amp; Garden</t>
        </is>
      </c>
      <c r="F2376" t="inlineStr">
        <is>
          <t>Michael Nowak</t>
        </is>
      </c>
      <c r="G2376" t="inlineStr">
        <is>
          <t>United Kingdom</t>
        </is>
      </c>
      <c r="H2376" t="inlineStr">
        <is>
          <t>Mobile App</t>
        </is>
      </c>
      <c r="I2376" t="n">
        <v>2</v>
      </c>
      <c r="J2376" s="3" t="n">
        <v>136.84</v>
      </c>
      <c r="K2376" s="3" t="n">
        <v>0</v>
      </c>
      <c r="L2376" s="3" t="n">
        <v>136.84</v>
      </c>
      <c r="M2376" s="3" t="n">
        <v>95.42</v>
      </c>
      <c r="N2376" s="3" t="n">
        <v>41.42</v>
      </c>
      <c r="O2376">
        <f>TEXT(A2376,"yyyy-mm")</f>
        <v/>
      </c>
    </row>
    <row r="2377">
      <c r="A2377" s="2" t="n">
        <v>45900</v>
      </c>
      <c r="B2377" t="n">
        <v>2025</v>
      </c>
      <c r="C2377" t="inlineStr">
        <is>
          <t>August</t>
        </is>
      </c>
      <c r="D2377" t="inlineStr">
        <is>
          <t>Eco Tent</t>
        </is>
      </c>
      <c r="E2377" t="inlineStr">
        <is>
          <t>Sports &amp; Outdoors</t>
        </is>
      </c>
      <c r="F2377" t="inlineStr">
        <is>
          <t>Paul Zielinski</t>
        </is>
      </c>
      <c r="G2377" t="inlineStr">
        <is>
          <t>Germany</t>
        </is>
      </c>
      <c r="H2377" t="inlineStr">
        <is>
          <t>Web Store</t>
        </is>
      </c>
      <c r="I2377" t="n">
        <v>4</v>
      </c>
      <c r="J2377" s="3" t="n">
        <v>273.88</v>
      </c>
      <c r="K2377" s="3" t="n">
        <v>41.08</v>
      </c>
      <c r="L2377" s="3" t="n">
        <v>232.8</v>
      </c>
      <c r="M2377" s="3" t="n">
        <v>175.4</v>
      </c>
      <c r="N2377" s="3" t="n">
        <v>57.4</v>
      </c>
      <c r="O2377">
        <f>TEXT(A2377,"yyyy-mm")</f>
        <v/>
      </c>
    </row>
    <row r="2378">
      <c r="A2378" s="2" t="n">
        <v>45900</v>
      </c>
      <c r="B2378" t="n">
        <v>2025</v>
      </c>
      <c r="C2378" t="inlineStr">
        <is>
          <t>August</t>
        </is>
      </c>
      <c r="D2378" t="inlineStr">
        <is>
          <t>Deluxe Toolset</t>
        </is>
      </c>
      <c r="E2378" t="inlineStr">
        <is>
          <t>Home &amp; Garden</t>
        </is>
      </c>
      <c r="F2378" t="inlineStr">
        <is>
          <t>Paul Zielinski</t>
        </is>
      </c>
      <c r="G2378" t="inlineStr">
        <is>
          <t>Germany</t>
        </is>
      </c>
      <c r="H2378" t="inlineStr">
        <is>
          <t>Web Store</t>
        </is>
      </c>
      <c r="I2378" t="n">
        <v>2</v>
      </c>
      <c r="J2378" s="3" t="n">
        <v>137.96</v>
      </c>
      <c r="K2378" s="3" t="n">
        <v>13.8</v>
      </c>
      <c r="L2378" s="3" t="n">
        <v>124.16</v>
      </c>
      <c r="M2378" s="3" t="n">
        <v>95.42</v>
      </c>
      <c r="N2378" s="3" t="n">
        <v>28.74</v>
      </c>
      <c r="O2378">
        <f>TEXT(A2378,"yyyy-mm")</f>
        <v/>
      </c>
    </row>
    <row r="2379">
      <c r="A2379" s="2" t="n">
        <v>45900</v>
      </c>
      <c r="B2379" t="n">
        <v>2025</v>
      </c>
      <c r="C2379" t="inlineStr">
        <is>
          <t>August</t>
        </is>
      </c>
      <c r="D2379" t="inlineStr">
        <is>
          <t>Ultra Backpack</t>
        </is>
      </c>
      <c r="E2379" t="inlineStr">
        <is>
          <t>Sports &amp; Outdoors</t>
        </is>
      </c>
      <c r="F2379" t="inlineStr">
        <is>
          <t>Paul Zielinski</t>
        </is>
      </c>
      <c r="G2379" t="inlineStr">
        <is>
          <t>Germany</t>
        </is>
      </c>
      <c r="H2379" t="inlineStr">
        <is>
          <t>Web Store</t>
        </is>
      </c>
      <c r="I2379" t="n">
        <v>5</v>
      </c>
      <c r="J2379" s="3" t="n">
        <v>1470.7</v>
      </c>
      <c r="K2379" s="3" t="n">
        <v>0</v>
      </c>
      <c r="L2379" s="3" t="n">
        <v>1470.7</v>
      </c>
      <c r="M2379" s="3" t="n">
        <v>868.45</v>
      </c>
      <c r="N2379" s="3" t="n">
        <v>602.25</v>
      </c>
      <c r="O2379">
        <f>TEXT(A2379,"yyyy-mm")</f>
        <v/>
      </c>
    </row>
    <row r="2380">
      <c r="A2380" s="2" t="n">
        <v>45900</v>
      </c>
      <c r="B2380" t="n">
        <v>2025</v>
      </c>
      <c r="C2380" t="inlineStr">
        <is>
          <t>August</t>
        </is>
      </c>
      <c r="D2380" t="inlineStr">
        <is>
          <t>Smart Face Cream</t>
        </is>
      </c>
      <c r="E2380" t="inlineStr">
        <is>
          <t>Beauty &amp; Health</t>
        </is>
      </c>
      <c r="F2380" t="inlineStr">
        <is>
          <t>Paul Zielinski</t>
        </is>
      </c>
      <c r="G2380" t="inlineStr">
        <is>
          <t>Germany</t>
        </is>
      </c>
      <c r="H2380" t="inlineStr">
        <is>
          <t>Web Store</t>
        </is>
      </c>
      <c r="I2380" t="n">
        <v>5</v>
      </c>
      <c r="J2380" s="3" t="n">
        <v>1340.9</v>
      </c>
      <c r="K2380" s="3" t="n">
        <v>201.14</v>
      </c>
      <c r="L2380" s="3" t="n">
        <v>1139.77</v>
      </c>
      <c r="M2380" s="3" t="n">
        <v>965.7</v>
      </c>
      <c r="N2380" s="3" t="n">
        <v>174.07</v>
      </c>
      <c r="O2380">
        <f>TEXT(A2380,"yyyy-mm")</f>
        <v/>
      </c>
    </row>
    <row r="2381">
      <c r="A2381" s="2" t="n">
        <v>45900</v>
      </c>
      <c r="B2381" t="n">
        <v>2025</v>
      </c>
      <c r="C2381" t="inlineStr">
        <is>
          <t>August</t>
        </is>
      </c>
      <c r="D2381" t="inlineStr">
        <is>
          <t>Smart Charger</t>
        </is>
      </c>
      <c r="E2381" t="inlineStr">
        <is>
          <t>Electronics</t>
        </is>
      </c>
      <c r="F2381" t="inlineStr">
        <is>
          <t>Michael Brown</t>
        </is>
      </c>
      <c r="G2381" t="inlineStr">
        <is>
          <t>Spain</t>
        </is>
      </c>
      <c r="H2381" t="inlineStr">
        <is>
          <t>Retail Store</t>
        </is>
      </c>
      <c r="I2381" t="n">
        <v>4</v>
      </c>
      <c r="J2381" s="3" t="n">
        <v>157</v>
      </c>
      <c r="K2381" s="3" t="n">
        <v>31.4</v>
      </c>
      <c r="L2381" s="3" t="n">
        <v>125.6</v>
      </c>
      <c r="M2381" s="3" t="n">
        <v>110.56</v>
      </c>
      <c r="N2381" s="3" t="n">
        <v>15.04</v>
      </c>
      <c r="O2381">
        <f>TEXT(A2381,"yyyy-mm")</f>
        <v/>
      </c>
    </row>
    <row r="2382">
      <c r="A2382" s="2" t="n">
        <v>45900</v>
      </c>
      <c r="B2382" t="n">
        <v>2025</v>
      </c>
      <c r="C2382" t="inlineStr">
        <is>
          <t>August</t>
        </is>
      </c>
      <c r="D2382" t="inlineStr">
        <is>
          <t>Smart Puzzle</t>
        </is>
      </c>
      <c r="E2382" t="inlineStr">
        <is>
          <t>Toys &amp; Games</t>
        </is>
      </c>
      <c r="F2382" t="inlineStr">
        <is>
          <t>Michael Brown</t>
        </is>
      </c>
      <c r="G2382" t="inlineStr">
        <is>
          <t>Spain</t>
        </is>
      </c>
      <c r="H2382" t="inlineStr">
        <is>
          <t>Retail Store</t>
        </is>
      </c>
      <c r="I2382" t="n">
        <v>5</v>
      </c>
      <c r="J2382" s="3" t="n">
        <v>1342.1</v>
      </c>
      <c r="K2382" s="3" t="n">
        <v>0</v>
      </c>
      <c r="L2382" s="3" t="n">
        <v>1342.1</v>
      </c>
      <c r="M2382" s="3" t="n">
        <v>963.8</v>
      </c>
      <c r="N2382" s="3" t="n">
        <v>378.3</v>
      </c>
      <c r="O2382">
        <f>TEXT(A2382,"yyyy-mm")</f>
        <v/>
      </c>
    </row>
    <row r="2383">
      <c r="A2383" s="2" t="n">
        <v>45900</v>
      </c>
      <c r="B2383" t="n">
        <v>2025</v>
      </c>
      <c r="C2383" t="inlineStr">
        <is>
          <t>August</t>
        </is>
      </c>
      <c r="D2383" t="inlineStr">
        <is>
          <t>Portable Notebook</t>
        </is>
      </c>
      <c r="E2383" t="inlineStr">
        <is>
          <t>Books</t>
        </is>
      </c>
      <c r="F2383" t="inlineStr">
        <is>
          <t>Michael Brown</t>
        </is>
      </c>
      <c r="G2383" t="inlineStr">
        <is>
          <t>Spain</t>
        </is>
      </c>
      <c r="H2383" t="inlineStr">
        <is>
          <t>Retail Store</t>
        </is>
      </c>
      <c r="I2383" t="n">
        <v>4</v>
      </c>
      <c r="J2383" s="3" t="n">
        <v>509.48</v>
      </c>
      <c r="K2383" s="3" t="n">
        <v>101.9</v>
      </c>
      <c r="L2383" s="3" t="n">
        <v>407.58</v>
      </c>
      <c r="M2383" s="3" t="n">
        <v>285.12</v>
      </c>
      <c r="N2383" s="3" t="n">
        <v>122.46</v>
      </c>
      <c r="O2383">
        <f>TEXT(A2383,"yyyy-mm")</f>
        <v/>
      </c>
    </row>
    <row r="2384">
      <c r="A2384" s="2" t="n">
        <v>45900</v>
      </c>
      <c r="B2384" t="n">
        <v>2025</v>
      </c>
      <c r="C2384" t="inlineStr">
        <is>
          <t>August</t>
        </is>
      </c>
      <c r="D2384" t="inlineStr">
        <is>
          <t>Wireless Coffee Beans</t>
        </is>
      </c>
      <c r="E2384" t="inlineStr">
        <is>
          <t>Grocery</t>
        </is>
      </c>
      <c r="F2384" t="inlineStr">
        <is>
          <t>Maria Rossi</t>
        </is>
      </c>
      <c r="G2384" t="inlineStr">
        <is>
          <t>Spain</t>
        </is>
      </c>
      <c r="H2384" t="inlineStr">
        <is>
          <t>Web Store</t>
        </is>
      </c>
      <c r="I2384" t="n">
        <v>5</v>
      </c>
      <c r="J2384" s="3" t="n">
        <v>618</v>
      </c>
      <c r="K2384" s="3" t="n">
        <v>0</v>
      </c>
      <c r="L2384" s="3" t="n">
        <v>618</v>
      </c>
      <c r="M2384" s="3" t="n">
        <v>396.85</v>
      </c>
      <c r="N2384" s="3" t="n">
        <v>221.15</v>
      </c>
      <c r="O2384">
        <f>TEXT(A2384,"yyyy-mm")</f>
        <v/>
      </c>
    </row>
    <row r="2385">
      <c r="A2385" s="2" t="n">
        <v>45900</v>
      </c>
      <c r="B2385" t="n">
        <v>2025</v>
      </c>
      <c r="C2385" t="inlineStr">
        <is>
          <t>August</t>
        </is>
      </c>
      <c r="D2385" t="inlineStr">
        <is>
          <t>Deluxe Toothbrush</t>
        </is>
      </c>
      <c r="E2385" t="inlineStr">
        <is>
          <t>Beauty &amp; Health</t>
        </is>
      </c>
      <c r="F2385" t="inlineStr">
        <is>
          <t>Maria Rossi</t>
        </is>
      </c>
      <c r="G2385" t="inlineStr">
        <is>
          <t>Spain</t>
        </is>
      </c>
      <c r="H2385" t="inlineStr">
        <is>
          <t>Web Store</t>
        </is>
      </c>
      <c r="I2385" t="n">
        <v>3</v>
      </c>
      <c r="J2385" s="3" t="n">
        <v>960.33</v>
      </c>
      <c r="K2385" s="3" t="n">
        <v>96.03</v>
      </c>
      <c r="L2385" s="3" t="n">
        <v>864.3</v>
      </c>
      <c r="M2385" s="3" t="n">
        <v>523.71</v>
      </c>
      <c r="N2385" s="3" t="n">
        <v>340.59</v>
      </c>
      <c r="O2385">
        <f>TEXT(A2385,"yyyy-mm")</f>
        <v/>
      </c>
    </row>
    <row r="2386">
      <c r="A2386" s="2" t="n">
        <v>45900</v>
      </c>
      <c r="B2386" t="n">
        <v>2025</v>
      </c>
      <c r="C2386" t="inlineStr">
        <is>
          <t>August</t>
        </is>
      </c>
      <c r="D2386" t="inlineStr">
        <is>
          <t>Ultra Vitamins</t>
        </is>
      </c>
      <c r="E2386" t="inlineStr">
        <is>
          <t>Beauty &amp; Health</t>
        </is>
      </c>
      <c r="F2386" t="inlineStr">
        <is>
          <t>Michael Brown</t>
        </is>
      </c>
      <c r="G2386" t="inlineStr">
        <is>
          <t>Spain</t>
        </is>
      </c>
      <c r="H2386" t="inlineStr">
        <is>
          <t>Retail Store</t>
        </is>
      </c>
      <c r="I2386" t="n">
        <v>2</v>
      </c>
      <c r="J2386" s="3" t="n">
        <v>419.58</v>
      </c>
      <c r="K2386" s="3" t="n">
        <v>62.94</v>
      </c>
      <c r="L2386" s="3" t="n">
        <v>356.64</v>
      </c>
      <c r="M2386" s="3" t="n">
        <v>252.2</v>
      </c>
      <c r="N2386" s="3" t="n">
        <v>104.44</v>
      </c>
      <c r="O2386">
        <f>TEXT(A2386,"yyyy-mm")</f>
        <v/>
      </c>
    </row>
    <row r="2387">
      <c r="A2387" s="2" t="n">
        <v>45900</v>
      </c>
      <c r="B2387" t="n">
        <v>2025</v>
      </c>
      <c r="C2387" t="inlineStr">
        <is>
          <t>August</t>
        </is>
      </c>
      <c r="D2387" t="inlineStr">
        <is>
          <t>Classic Yoga Mat</t>
        </is>
      </c>
      <c r="E2387" t="inlineStr">
        <is>
          <t>Sports &amp; Outdoors</t>
        </is>
      </c>
      <c r="F2387" t="inlineStr">
        <is>
          <t>Julia Nowak</t>
        </is>
      </c>
      <c r="G2387" t="inlineStr">
        <is>
          <t>Germany</t>
        </is>
      </c>
      <c r="H2387" t="inlineStr">
        <is>
          <t>Web Store</t>
        </is>
      </c>
      <c r="I2387" t="n">
        <v>5</v>
      </c>
      <c r="J2387" s="3" t="n">
        <v>1700.6</v>
      </c>
      <c r="K2387" s="3" t="n">
        <v>255.09</v>
      </c>
      <c r="L2387" s="3" t="n">
        <v>1445.51</v>
      </c>
      <c r="M2387" s="3" t="n">
        <v>978.5</v>
      </c>
      <c r="N2387" s="3" t="n">
        <v>467.01</v>
      </c>
      <c r="O2387">
        <f>TEXT(A2387,"yyyy-mm")</f>
        <v/>
      </c>
    </row>
    <row r="2388">
      <c r="A2388" s="2" t="n">
        <v>45900</v>
      </c>
      <c r="B2388" t="n">
        <v>2025</v>
      </c>
      <c r="C2388" t="inlineStr">
        <is>
          <t>August</t>
        </is>
      </c>
      <c r="D2388" t="inlineStr">
        <is>
          <t>Eco Backpack</t>
        </is>
      </c>
      <c r="E2388" t="inlineStr">
        <is>
          <t>Sports &amp; Outdoors</t>
        </is>
      </c>
      <c r="F2388" t="inlineStr">
        <is>
          <t>Julia Nowak</t>
        </is>
      </c>
      <c r="G2388" t="inlineStr">
        <is>
          <t>Germany</t>
        </is>
      </c>
      <c r="H2388" t="inlineStr">
        <is>
          <t>Web Store</t>
        </is>
      </c>
      <c r="I2388" t="n">
        <v>5</v>
      </c>
      <c r="J2388" s="3" t="n">
        <v>1362.7</v>
      </c>
      <c r="K2388" s="3" t="n">
        <v>272.54</v>
      </c>
      <c r="L2388" s="3" t="n">
        <v>1090.16</v>
      </c>
      <c r="M2388" s="3" t="n">
        <v>732.9</v>
      </c>
      <c r="N2388" s="3" t="n">
        <v>357.26</v>
      </c>
      <c r="O2388">
        <f>TEXT(A2388,"yyyy-mm")</f>
        <v/>
      </c>
    </row>
    <row r="2389">
      <c r="A2389" s="2" t="n">
        <v>45900</v>
      </c>
      <c r="B2389" t="n">
        <v>2025</v>
      </c>
      <c r="C2389" t="inlineStr">
        <is>
          <t>August</t>
        </is>
      </c>
      <c r="D2389" t="inlineStr">
        <is>
          <t>Classic Coffee Beans</t>
        </is>
      </c>
      <c r="E2389" t="inlineStr">
        <is>
          <t>Grocery</t>
        </is>
      </c>
      <c r="F2389" t="inlineStr">
        <is>
          <t>Maria Rossi</t>
        </is>
      </c>
      <c r="G2389" t="inlineStr">
        <is>
          <t>Spain</t>
        </is>
      </c>
      <c r="H2389" t="inlineStr">
        <is>
          <t>Web Store</t>
        </is>
      </c>
      <c r="I2389" t="n">
        <v>3</v>
      </c>
      <c r="J2389" s="3" t="n">
        <v>976.38</v>
      </c>
      <c r="K2389" s="3" t="n">
        <v>0</v>
      </c>
      <c r="L2389" s="3" t="n">
        <v>976.38</v>
      </c>
      <c r="M2389" s="3" t="n">
        <v>584.28</v>
      </c>
      <c r="N2389" s="3" t="n">
        <v>392.1</v>
      </c>
      <c r="O2389">
        <f>TEXT(A2389,"yyyy-mm")</f>
        <v/>
      </c>
    </row>
    <row r="2390">
      <c r="A2390" s="2" t="n">
        <v>45901</v>
      </c>
      <c r="B2390" t="n">
        <v>2025</v>
      </c>
      <c r="C2390" t="inlineStr">
        <is>
          <t>September</t>
        </is>
      </c>
      <c r="D2390" t="inlineStr">
        <is>
          <t>Ultra Toolset</t>
        </is>
      </c>
      <c r="E2390" t="inlineStr">
        <is>
          <t>Home &amp; Garden</t>
        </is>
      </c>
      <c r="F2390" t="inlineStr">
        <is>
          <t>Olivia Schmidt</t>
        </is>
      </c>
      <c r="G2390" t="inlineStr">
        <is>
          <t>United States</t>
        </is>
      </c>
      <c r="H2390" t="inlineStr">
        <is>
          <t>Web Store</t>
        </is>
      </c>
      <c r="I2390" t="n">
        <v>2</v>
      </c>
      <c r="J2390" s="3" t="n">
        <v>715.9400000000001</v>
      </c>
      <c r="K2390" s="3" t="n">
        <v>0</v>
      </c>
      <c r="L2390" s="3" t="n">
        <v>715.9400000000001</v>
      </c>
      <c r="M2390" s="3" t="n">
        <v>380.8</v>
      </c>
      <c r="N2390" s="3" t="n">
        <v>335.14</v>
      </c>
      <c r="O2390">
        <f>TEXT(A2390,"yyyy-mm")</f>
        <v/>
      </c>
    </row>
    <row r="2391">
      <c r="A2391" s="2" t="n">
        <v>45901</v>
      </c>
      <c r="B2391" t="n">
        <v>2025</v>
      </c>
      <c r="C2391" t="inlineStr">
        <is>
          <t>September</t>
        </is>
      </c>
      <c r="D2391" t="inlineStr">
        <is>
          <t>Essential Charger</t>
        </is>
      </c>
      <c r="E2391" t="inlineStr">
        <is>
          <t>Electronics</t>
        </is>
      </c>
      <c r="F2391" t="inlineStr">
        <is>
          <t>Olivia Schmidt</t>
        </is>
      </c>
      <c r="G2391" t="inlineStr">
        <is>
          <t>United States</t>
        </is>
      </c>
      <c r="H2391" t="inlineStr">
        <is>
          <t>Web Store</t>
        </is>
      </c>
      <c r="I2391" t="n">
        <v>5</v>
      </c>
      <c r="J2391" s="3" t="n">
        <v>231.4</v>
      </c>
      <c r="K2391" s="3" t="n">
        <v>34.71</v>
      </c>
      <c r="L2391" s="3" t="n">
        <v>196.69</v>
      </c>
      <c r="M2391" s="3" t="n">
        <v>145.5</v>
      </c>
      <c r="N2391" s="3" t="n">
        <v>51.19</v>
      </c>
      <c r="O2391">
        <f>TEXT(A2391,"yyyy-mm")</f>
        <v/>
      </c>
    </row>
    <row r="2392">
      <c r="A2392" s="2" t="n">
        <v>45901</v>
      </c>
      <c r="B2392" t="n">
        <v>2025</v>
      </c>
      <c r="C2392" t="inlineStr">
        <is>
          <t>September</t>
        </is>
      </c>
      <c r="D2392" t="inlineStr">
        <is>
          <t>Portable Toolset</t>
        </is>
      </c>
      <c r="E2392" t="inlineStr">
        <is>
          <t>Home &amp; Garden</t>
        </is>
      </c>
      <c r="F2392" t="inlineStr">
        <is>
          <t>Paul Schmidt</t>
        </is>
      </c>
      <c r="G2392" t="inlineStr">
        <is>
          <t>Poland</t>
        </is>
      </c>
      <c r="H2392" t="inlineStr">
        <is>
          <t>Mobile App</t>
        </is>
      </c>
      <c r="I2392" t="n">
        <v>5</v>
      </c>
      <c r="J2392" s="3" t="n">
        <v>466.95</v>
      </c>
      <c r="K2392" s="3" t="n">
        <v>93.39</v>
      </c>
      <c r="L2392" s="3" t="n">
        <v>373.56</v>
      </c>
      <c r="M2392" s="3" t="n">
        <v>252.7</v>
      </c>
      <c r="N2392" s="3" t="n">
        <v>120.86</v>
      </c>
      <c r="O2392">
        <f>TEXT(A2392,"yyyy-mm")</f>
        <v/>
      </c>
    </row>
    <row r="2393">
      <c r="A2393" s="2" t="n">
        <v>45901</v>
      </c>
      <c r="B2393" t="n">
        <v>2025</v>
      </c>
      <c r="C2393" t="inlineStr">
        <is>
          <t>September</t>
        </is>
      </c>
      <c r="D2393" t="inlineStr">
        <is>
          <t>Smart Camera</t>
        </is>
      </c>
      <c r="E2393" t="inlineStr">
        <is>
          <t>Electronics</t>
        </is>
      </c>
      <c r="F2393" t="inlineStr">
        <is>
          <t>Olivia Schmidt</t>
        </is>
      </c>
      <c r="G2393" t="inlineStr">
        <is>
          <t>United States</t>
        </is>
      </c>
      <c r="H2393" t="inlineStr">
        <is>
          <t>Web Store</t>
        </is>
      </c>
      <c r="I2393" t="n">
        <v>3</v>
      </c>
      <c r="J2393" s="3" t="n">
        <v>366.06</v>
      </c>
      <c r="K2393" s="3" t="n">
        <v>0</v>
      </c>
      <c r="L2393" s="3" t="n">
        <v>366.06</v>
      </c>
      <c r="M2393" s="3" t="n">
        <v>256.74</v>
      </c>
      <c r="N2393" s="3" t="n">
        <v>109.32</v>
      </c>
      <c r="O2393">
        <f>TEXT(A2393,"yyyy-mm")</f>
        <v/>
      </c>
    </row>
    <row r="2394">
      <c r="A2394" s="2" t="n">
        <v>45901</v>
      </c>
      <c r="B2394" t="n">
        <v>2025</v>
      </c>
      <c r="C2394" t="inlineStr">
        <is>
          <t>September</t>
        </is>
      </c>
      <c r="D2394" t="inlineStr">
        <is>
          <t>Wireless Cookbook</t>
        </is>
      </c>
      <c r="E2394" t="inlineStr">
        <is>
          <t>Books</t>
        </is>
      </c>
      <c r="F2394" t="inlineStr">
        <is>
          <t>Olivia Schmidt</t>
        </is>
      </c>
      <c r="G2394" t="inlineStr">
        <is>
          <t>United States</t>
        </is>
      </c>
      <c r="H2394" t="inlineStr">
        <is>
          <t>Web Store</t>
        </is>
      </c>
      <c r="I2394" t="n">
        <v>4</v>
      </c>
      <c r="J2394" s="3" t="n">
        <v>297.6</v>
      </c>
      <c r="K2394" s="3" t="n">
        <v>0</v>
      </c>
      <c r="L2394" s="3" t="n">
        <v>297.6</v>
      </c>
      <c r="M2394" s="3" t="n">
        <v>226.44</v>
      </c>
      <c r="N2394" s="3" t="n">
        <v>71.16</v>
      </c>
      <c r="O2394">
        <f>TEXT(A2394,"yyyy-mm")</f>
        <v/>
      </c>
    </row>
    <row r="2395">
      <c r="A2395" s="2" t="n">
        <v>45901</v>
      </c>
      <c r="B2395" t="n">
        <v>2025</v>
      </c>
      <c r="C2395" t="inlineStr">
        <is>
          <t>September</t>
        </is>
      </c>
      <c r="D2395" t="inlineStr">
        <is>
          <t>Eco Tent</t>
        </is>
      </c>
      <c r="E2395" t="inlineStr">
        <is>
          <t>Sports &amp; Outdoors</t>
        </is>
      </c>
      <c r="F2395" t="inlineStr">
        <is>
          <t>Paul Schmidt</t>
        </is>
      </c>
      <c r="G2395" t="inlineStr">
        <is>
          <t>Poland</t>
        </is>
      </c>
      <c r="H2395" t="inlineStr">
        <is>
          <t>Mobile App</t>
        </is>
      </c>
      <c r="I2395" t="n">
        <v>5</v>
      </c>
      <c r="J2395" s="3" t="n">
        <v>337.2</v>
      </c>
      <c r="K2395" s="3" t="n">
        <v>0</v>
      </c>
      <c r="L2395" s="3" t="n">
        <v>337.2</v>
      </c>
      <c r="M2395" s="3" t="n">
        <v>219.25</v>
      </c>
      <c r="N2395" s="3" t="n">
        <v>117.95</v>
      </c>
      <c r="O2395">
        <f>TEXT(A2395,"yyyy-mm")</f>
        <v/>
      </c>
    </row>
    <row r="2396">
      <c r="A2396" s="2" t="n">
        <v>45902</v>
      </c>
      <c r="B2396" t="n">
        <v>2025</v>
      </c>
      <c r="C2396" t="inlineStr">
        <is>
          <t>September</t>
        </is>
      </c>
      <c r="D2396" t="inlineStr">
        <is>
          <t>Compact Biography</t>
        </is>
      </c>
      <c r="E2396" t="inlineStr">
        <is>
          <t>Books</t>
        </is>
      </c>
      <c r="F2396" t="inlineStr">
        <is>
          <t>Nina Muller</t>
        </is>
      </c>
      <c r="G2396" t="inlineStr">
        <is>
          <t>Spain</t>
        </is>
      </c>
      <c r="H2396" t="inlineStr">
        <is>
          <t>Marketplace</t>
        </is>
      </c>
      <c r="I2396" t="n">
        <v>2</v>
      </c>
      <c r="J2396" s="3" t="n">
        <v>529.04</v>
      </c>
      <c r="K2396" s="3" t="n">
        <v>79.36</v>
      </c>
      <c r="L2396" s="3" t="n">
        <v>449.68</v>
      </c>
      <c r="M2396" s="3" t="n">
        <v>280.66</v>
      </c>
      <c r="N2396" s="3" t="n">
        <v>169.02</v>
      </c>
      <c r="O2396">
        <f>TEXT(A2396,"yyyy-mm")</f>
        <v/>
      </c>
    </row>
    <row r="2397">
      <c r="A2397" s="2" t="n">
        <v>45902</v>
      </c>
      <c r="B2397" t="n">
        <v>2025</v>
      </c>
      <c r="C2397" t="inlineStr">
        <is>
          <t>September</t>
        </is>
      </c>
      <c r="D2397" t="inlineStr">
        <is>
          <t>Essential Pasta</t>
        </is>
      </c>
      <c r="E2397" t="inlineStr">
        <is>
          <t>Grocery</t>
        </is>
      </c>
      <c r="F2397" t="inlineStr">
        <is>
          <t>Thomas Conti</t>
        </is>
      </c>
      <c r="G2397" t="inlineStr">
        <is>
          <t>United States</t>
        </is>
      </c>
      <c r="H2397" t="inlineStr">
        <is>
          <t>Marketplace</t>
        </is>
      </c>
      <c r="I2397" t="n">
        <v>3</v>
      </c>
      <c r="J2397" s="3" t="n">
        <v>172.35</v>
      </c>
      <c r="K2397" s="3" t="n">
        <v>25.85</v>
      </c>
      <c r="L2397" s="3" t="n">
        <v>146.5</v>
      </c>
      <c r="M2397" s="3" t="n">
        <v>107.43</v>
      </c>
      <c r="N2397" s="3" t="n">
        <v>39.07</v>
      </c>
      <c r="O2397">
        <f>TEXT(A2397,"yyyy-mm")</f>
        <v/>
      </c>
    </row>
    <row r="2398">
      <c r="A2398" s="2" t="n">
        <v>45902</v>
      </c>
      <c r="B2398" t="n">
        <v>2025</v>
      </c>
      <c r="C2398" t="inlineStr">
        <is>
          <t>September</t>
        </is>
      </c>
      <c r="D2398" t="inlineStr">
        <is>
          <t>Essential Rug</t>
        </is>
      </c>
      <c r="E2398" t="inlineStr">
        <is>
          <t>Home &amp; Garden</t>
        </is>
      </c>
      <c r="F2398" t="inlineStr">
        <is>
          <t>Thomas Conti</t>
        </is>
      </c>
      <c r="G2398" t="inlineStr">
        <is>
          <t>United States</t>
        </is>
      </c>
      <c r="H2398" t="inlineStr">
        <is>
          <t>Marketplace</t>
        </is>
      </c>
      <c r="I2398" t="n">
        <v>3</v>
      </c>
      <c r="J2398" s="3" t="n">
        <v>425.58</v>
      </c>
      <c r="K2398" s="3" t="n">
        <v>63.84</v>
      </c>
      <c r="L2398" s="3" t="n">
        <v>361.74</v>
      </c>
      <c r="M2398" s="3" t="n">
        <v>228.99</v>
      </c>
      <c r="N2398" s="3" t="n">
        <v>132.75</v>
      </c>
      <c r="O2398">
        <f>TEXT(A2398,"yyyy-mm")</f>
        <v/>
      </c>
    </row>
    <row r="2399">
      <c r="A2399" s="2" t="n">
        <v>45902</v>
      </c>
      <c r="B2399" t="n">
        <v>2025</v>
      </c>
      <c r="C2399" t="inlineStr">
        <is>
          <t>September</t>
        </is>
      </c>
      <c r="D2399" t="inlineStr">
        <is>
          <t>Essential Cushion</t>
        </is>
      </c>
      <c r="E2399" t="inlineStr">
        <is>
          <t>Home &amp; Garden</t>
        </is>
      </c>
      <c r="F2399" t="inlineStr">
        <is>
          <t>Thomas Conti</t>
        </is>
      </c>
      <c r="G2399" t="inlineStr">
        <is>
          <t>United States</t>
        </is>
      </c>
      <c r="H2399" t="inlineStr">
        <is>
          <t>Marketplace</t>
        </is>
      </c>
      <c r="I2399" t="n">
        <v>1</v>
      </c>
      <c r="J2399" s="3" t="n">
        <v>44.23</v>
      </c>
      <c r="K2399" s="3" t="n">
        <v>6.63</v>
      </c>
      <c r="L2399" s="3" t="n">
        <v>37.6</v>
      </c>
      <c r="M2399" s="3" t="n">
        <v>30.55</v>
      </c>
      <c r="N2399" s="3" t="n">
        <v>7.05</v>
      </c>
      <c r="O2399">
        <f>TEXT(A2399,"yyyy-mm")</f>
        <v/>
      </c>
    </row>
    <row r="2400">
      <c r="A2400" s="2" t="n">
        <v>45902</v>
      </c>
      <c r="B2400" t="n">
        <v>2025</v>
      </c>
      <c r="C2400" t="inlineStr">
        <is>
          <t>September</t>
        </is>
      </c>
      <c r="D2400" t="inlineStr">
        <is>
          <t>Premium Cookbook</t>
        </is>
      </c>
      <c r="E2400" t="inlineStr">
        <is>
          <t>Books</t>
        </is>
      </c>
      <c r="F2400" t="inlineStr">
        <is>
          <t>Maria Martin</t>
        </is>
      </c>
      <c r="G2400" t="inlineStr">
        <is>
          <t>Poland</t>
        </is>
      </c>
      <c r="H2400" t="inlineStr">
        <is>
          <t>Mobile App</t>
        </is>
      </c>
      <c r="I2400" t="n">
        <v>1</v>
      </c>
      <c r="J2400" s="3" t="n">
        <v>132.43</v>
      </c>
      <c r="K2400" s="3" t="n">
        <v>6.62</v>
      </c>
      <c r="L2400" s="3" t="n">
        <v>125.81</v>
      </c>
      <c r="M2400" s="3" t="n">
        <v>94.98</v>
      </c>
      <c r="N2400" s="3" t="n">
        <v>30.83</v>
      </c>
      <c r="O2400">
        <f>TEXT(A2400,"yyyy-mm")</f>
        <v/>
      </c>
    </row>
    <row r="2401">
      <c r="A2401" s="2" t="n">
        <v>45902</v>
      </c>
      <c r="B2401" t="n">
        <v>2025</v>
      </c>
      <c r="C2401" t="inlineStr">
        <is>
          <t>September</t>
        </is>
      </c>
      <c r="D2401" t="inlineStr">
        <is>
          <t>Compact Pasta</t>
        </is>
      </c>
      <c r="E2401" t="inlineStr">
        <is>
          <t>Grocery</t>
        </is>
      </c>
      <c r="F2401" t="inlineStr">
        <is>
          <t>Julia Weber</t>
        </is>
      </c>
      <c r="G2401" t="inlineStr">
        <is>
          <t>Germany</t>
        </is>
      </c>
      <c r="H2401" t="inlineStr">
        <is>
          <t>Retail Store</t>
        </is>
      </c>
      <c r="I2401" t="n">
        <v>4</v>
      </c>
      <c r="J2401" s="3" t="n">
        <v>1184.6</v>
      </c>
      <c r="K2401" s="3" t="n">
        <v>177.69</v>
      </c>
      <c r="L2401" s="3" t="n">
        <v>1006.91</v>
      </c>
      <c r="M2401" s="3" t="n">
        <v>797.6</v>
      </c>
      <c r="N2401" s="3" t="n">
        <v>209.31</v>
      </c>
      <c r="O2401">
        <f>TEXT(A2401,"yyyy-mm")</f>
        <v/>
      </c>
    </row>
    <row r="2402">
      <c r="A2402" s="2" t="n">
        <v>45902</v>
      </c>
      <c r="B2402" t="n">
        <v>2025</v>
      </c>
      <c r="C2402" t="inlineStr">
        <is>
          <t>September</t>
        </is>
      </c>
      <c r="D2402" t="inlineStr">
        <is>
          <t>Eco Tent</t>
        </is>
      </c>
      <c r="E2402" t="inlineStr">
        <is>
          <t>Sports &amp; Outdoors</t>
        </is>
      </c>
      <c r="F2402" t="inlineStr">
        <is>
          <t>Julia Weber</t>
        </is>
      </c>
      <c r="G2402" t="inlineStr">
        <is>
          <t>Germany</t>
        </is>
      </c>
      <c r="H2402" t="inlineStr">
        <is>
          <t>Retail Store</t>
        </is>
      </c>
      <c r="I2402" t="n">
        <v>3</v>
      </c>
      <c r="J2402" s="3" t="n">
        <v>204.72</v>
      </c>
      <c r="K2402" s="3" t="n">
        <v>10.24</v>
      </c>
      <c r="L2402" s="3" t="n">
        <v>194.48</v>
      </c>
      <c r="M2402" s="3" t="n">
        <v>131.55</v>
      </c>
      <c r="N2402" s="3" t="n">
        <v>62.93</v>
      </c>
      <c r="O2402">
        <f>TEXT(A2402,"yyyy-mm")</f>
        <v/>
      </c>
    </row>
    <row r="2403">
      <c r="A2403" s="2" t="n">
        <v>45902</v>
      </c>
      <c r="B2403" t="n">
        <v>2025</v>
      </c>
      <c r="C2403" t="inlineStr">
        <is>
          <t>September</t>
        </is>
      </c>
      <c r="D2403" t="inlineStr">
        <is>
          <t>Essential Toolset</t>
        </is>
      </c>
      <c r="E2403" t="inlineStr">
        <is>
          <t>Home &amp; Garden</t>
        </is>
      </c>
      <c r="F2403" t="inlineStr">
        <is>
          <t>Clara Martin</t>
        </is>
      </c>
      <c r="G2403" t="inlineStr">
        <is>
          <t>United Kingdom</t>
        </is>
      </c>
      <c r="H2403" t="inlineStr">
        <is>
          <t>Retail Store</t>
        </is>
      </c>
      <c r="I2403" t="n">
        <v>3</v>
      </c>
      <c r="J2403" s="3" t="n">
        <v>631.53</v>
      </c>
      <c r="K2403" s="3" t="n">
        <v>0</v>
      </c>
      <c r="L2403" s="3" t="n">
        <v>631.53</v>
      </c>
      <c r="M2403" s="3" t="n">
        <v>451.59</v>
      </c>
      <c r="N2403" s="3" t="n">
        <v>179.94</v>
      </c>
      <c r="O2403">
        <f>TEXT(A2403,"yyyy-mm")</f>
        <v/>
      </c>
    </row>
    <row r="2404">
      <c r="A2404" s="2" t="n">
        <v>45902</v>
      </c>
      <c r="B2404" t="n">
        <v>2025</v>
      </c>
      <c r="C2404" t="inlineStr">
        <is>
          <t>September</t>
        </is>
      </c>
      <c r="D2404" t="inlineStr">
        <is>
          <t>Premium Tent</t>
        </is>
      </c>
      <c r="E2404" t="inlineStr">
        <is>
          <t>Sports &amp; Outdoors</t>
        </is>
      </c>
      <c r="F2404" t="inlineStr">
        <is>
          <t>Clara Martin</t>
        </is>
      </c>
      <c r="G2404" t="inlineStr">
        <is>
          <t>United Kingdom</t>
        </is>
      </c>
      <c r="H2404" t="inlineStr">
        <is>
          <t>Retail Store</t>
        </is>
      </c>
      <c r="I2404" t="n">
        <v>3</v>
      </c>
      <c r="J2404" s="3" t="n">
        <v>428.13</v>
      </c>
      <c r="K2404" s="3" t="n">
        <v>0</v>
      </c>
      <c r="L2404" s="3" t="n">
        <v>428.13</v>
      </c>
      <c r="M2404" s="3" t="n">
        <v>289.2</v>
      </c>
      <c r="N2404" s="3" t="n">
        <v>138.93</v>
      </c>
      <c r="O2404">
        <f>TEXT(A2404,"yyyy-mm")</f>
        <v/>
      </c>
    </row>
    <row r="2405">
      <c r="A2405" s="2" t="n">
        <v>45902</v>
      </c>
      <c r="B2405" t="n">
        <v>2025</v>
      </c>
      <c r="C2405" t="inlineStr">
        <is>
          <t>September</t>
        </is>
      </c>
      <c r="D2405" t="inlineStr">
        <is>
          <t>Portable Notebook</t>
        </is>
      </c>
      <c r="E2405" t="inlineStr">
        <is>
          <t>Books</t>
        </is>
      </c>
      <c r="F2405" t="inlineStr">
        <is>
          <t>Maria Martin</t>
        </is>
      </c>
      <c r="G2405" t="inlineStr">
        <is>
          <t>Poland</t>
        </is>
      </c>
      <c r="H2405" t="inlineStr">
        <is>
          <t>Mobile App</t>
        </is>
      </c>
      <c r="I2405" t="n">
        <v>2</v>
      </c>
      <c r="J2405" s="3" t="n">
        <v>242.32</v>
      </c>
      <c r="K2405" s="3" t="n">
        <v>0</v>
      </c>
      <c r="L2405" s="3" t="n">
        <v>242.32</v>
      </c>
      <c r="M2405" s="3" t="n">
        <v>142.56</v>
      </c>
      <c r="N2405" s="3" t="n">
        <v>99.76000000000001</v>
      </c>
      <c r="O2405">
        <f>TEXT(A2405,"yyyy-mm")</f>
        <v/>
      </c>
    </row>
    <row r="2406">
      <c r="A2406" s="2" t="n">
        <v>45902</v>
      </c>
      <c r="B2406" t="n">
        <v>2025</v>
      </c>
      <c r="C2406" t="inlineStr">
        <is>
          <t>September</t>
        </is>
      </c>
      <c r="D2406" t="inlineStr">
        <is>
          <t>Smart Sweater</t>
        </is>
      </c>
      <c r="E2406" t="inlineStr">
        <is>
          <t>Clothing</t>
        </is>
      </c>
      <c r="F2406" t="inlineStr">
        <is>
          <t>Maria Martin</t>
        </is>
      </c>
      <c r="G2406" t="inlineStr">
        <is>
          <t>Poland</t>
        </is>
      </c>
      <c r="H2406" t="inlineStr">
        <is>
          <t>Mobile App</t>
        </is>
      </c>
      <c r="I2406" t="n">
        <v>3</v>
      </c>
      <c r="J2406" s="3" t="n">
        <v>450.12</v>
      </c>
      <c r="K2406" s="3" t="n">
        <v>45.01</v>
      </c>
      <c r="L2406" s="3" t="n">
        <v>405.11</v>
      </c>
      <c r="M2406" s="3" t="n">
        <v>232.05</v>
      </c>
      <c r="N2406" s="3" t="n">
        <v>173.06</v>
      </c>
      <c r="O2406">
        <f>TEXT(A2406,"yyyy-mm")</f>
        <v/>
      </c>
    </row>
    <row r="2407">
      <c r="A2407" s="2" t="n">
        <v>45902</v>
      </c>
      <c r="B2407" t="n">
        <v>2025</v>
      </c>
      <c r="C2407" t="inlineStr">
        <is>
          <t>September</t>
        </is>
      </c>
      <c r="D2407" t="inlineStr">
        <is>
          <t>Compact Jacket</t>
        </is>
      </c>
      <c r="E2407" t="inlineStr">
        <is>
          <t>Clothing</t>
        </is>
      </c>
      <c r="F2407" t="inlineStr">
        <is>
          <t>Julia Weber</t>
        </is>
      </c>
      <c r="G2407" t="inlineStr">
        <is>
          <t>Germany</t>
        </is>
      </c>
      <c r="H2407" t="inlineStr">
        <is>
          <t>Retail Store</t>
        </is>
      </c>
      <c r="I2407" t="n">
        <v>1</v>
      </c>
      <c r="J2407" s="3" t="n">
        <v>36.49</v>
      </c>
      <c r="K2407" s="3" t="n">
        <v>0</v>
      </c>
      <c r="L2407" s="3" t="n">
        <v>36.49</v>
      </c>
      <c r="M2407" s="3" t="n">
        <v>20.4</v>
      </c>
      <c r="N2407" s="3" t="n">
        <v>16.09</v>
      </c>
      <c r="O2407">
        <f>TEXT(A2407,"yyyy-mm")</f>
        <v/>
      </c>
    </row>
    <row r="2408">
      <c r="A2408" s="2" t="n">
        <v>45904</v>
      </c>
      <c r="B2408" t="n">
        <v>2025</v>
      </c>
      <c r="C2408" t="inlineStr">
        <is>
          <t>September</t>
        </is>
      </c>
      <c r="D2408" t="inlineStr">
        <is>
          <t>Compact Sunscreen</t>
        </is>
      </c>
      <c r="E2408" t="inlineStr">
        <is>
          <t>Beauty &amp; Health</t>
        </is>
      </c>
      <c r="F2408" t="inlineStr">
        <is>
          <t>Sophie Rossi</t>
        </is>
      </c>
      <c r="G2408" t="inlineStr">
        <is>
          <t>France</t>
        </is>
      </c>
      <c r="H2408" t="inlineStr">
        <is>
          <t>Web Store</t>
        </is>
      </c>
      <c r="I2408" t="n">
        <v>4</v>
      </c>
      <c r="J2408" s="3" t="n">
        <v>1201.56</v>
      </c>
      <c r="K2408" s="3" t="n">
        <v>60.08</v>
      </c>
      <c r="L2408" s="3" t="n">
        <v>1141.48</v>
      </c>
      <c r="M2408" s="3" t="n">
        <v>710.64</v>
      </c>
      <c r="N2408" s="3" t="n">
        <v>430.84</v>
      </c>
      <c r="O2408">
        <f>TEXT(A2408,"yyyy-mm")</f>
        <v/>
      </c>
    </row>
    <row r="2409">
      <c r="A2409" s="2" t="n">
        <v>45904</v>
      </c>
      <c r="B2409" t="n">
        <v>2025</v>
      </c>
      <c r="C2409" t="inlineStr">
        <is>
          <t>September</t>
        </is>
      </c>
      <c r="D2409" t="inlineStr">
        <is>
          <t>Essential Charger</t>
        </is>
      </c>
      <c r="E2409" t="inlineStr">
        <is>
          <t>Electronics</t>
        </is>
      </c>
      <c r="F2409" t="inlineStr">
        <is>
          <t>Sophie Rossi</t>
        </is>
      </c>
      <c r="G2409" t="inlineStr">
        <is>
          <t>France</t>
        </is>
      </c>
      <c r="H2409" t="inlineStr">
        <is>
          <t>Web Store</t>
        </is>
      </c>
      <c r="I2409" t="n">
        <v>3</v>
      </c>
      <c r="J2409" s="3" t="n">
        <v>130.77</v>
      </c>
      <c r="K2409" s="3" t="n">
        <v>13.08</v>
      </c>
      <c r="L2409" s="3" t="n">
        <v>117.69</v>
      </c>
      <c r="M2409" s="3" t="n">
        <v>87.3</v>
      </c>
      <c r="N2409" s="3" t="n">
        <v>30.39</v>
      </c>
      <c r="O2409">
        <f>TEXT(A2409,"yyyy-mm")</f>
        <v/>
      </c>
    </row>
    <row r="2410">
      <c r="A2410" s="2" t="n">
        <v>45904</v>
      </c>
      <c r="B2410" t="n">
        <v>2025</v>
      </c>
      <c r="C2410" t="inlineStr">
        <is>
          <t>September</t>
        </is>
      </c>
      <c r="D2410" t="inlineStr">
        <is>
          <t>Essential Vitamins</t>
        </is>
      </c>
      <c r="E2410" t="inlineStr">
        <is>
          <t>Beauty &amp; Health</t>
        </is>
      </c>
      <c r="F2410" t="inlineStr">
        <is>
          <t>Maria Moreau</t>
        </is>
      </c>
      <c r="G2410" t="inlineStr">
        <is>
          <t>United Kingdom</t>
        </is>
      </c>
      <c r="H2410" t="inlineStr">
        <is>
          <t>Marketplace</t>
        </is>
      </c>
      <c r="I2410" t="n">
        <v>1</v>
      </c>
      <c r="J2410" s="3" t="n">
        <v>180.4</v>
      </c>
      <c r="K2410" s="3" t="n">
        <v>18.04</v>
      </c>
      <c r="L2410" s="3" t="n">
        <v>162.36</v>
      </c>
      <c r="M2410" s="3" t="n">
        <v>110.3</v>
      </c>
      <c r="N2410" s="3" t="n">
        <v>52.06</v>
      </c>
      <c r="O2410">
        <f>TEXT(A2410,"yyyy-mm")</f>
        <v/>
      </c>
    </row>
    <row r="2411">
      <c r="A2411" s="2" t="n">
        <v>45904</v>
      </c>
      <c r="B2411" t="n">
        <v>2025</v>
      </c>
      <c r="C2411" t="inlineStr">
        <is>
          <t>September</t>
        </is>
      </c>
      <c r="D2411" t="inlineStr">
        <is>
          <t>Deluxe Toolset</t>
        </is>
      </c>
      <c r="E2411" t="inlineStr">
        <is>
          <t>Home &amp; Garden</t>
        </is>
      </c>
      <c r="F2411" t="inlineStr">
        <is>
          <t>Daniel Wilson</t>
        </is>
      </c>
      <c r="G2411" t="inlineStr">
        <is>
          <t>France</t>
        </is>
      </c>
      <c r="H2411" t="inlineStr">
        <is>
          <t>Web Store</t>
        </is>
      </c>
      <c r="I2411" t="n">
        <v>2</v>
      </c>
      <c r="J2411" s="3" t="n">
        <v>129.04</v>
      </c>
      <c r="K2411" s="3" t="n">
        <v>0</v>
      </c>
      <c r="L2411" s="3" t="n">
        <v>129.04</v>
      </c>
      <c r="M2411" s="3" t="n">
        <v>95.42</v>
      </c>
      <c r="N2411" s="3" t="n">
        <v>33.62</v>
      </c>
      <c r="O2411">
        <f>TEXT(A2411,"yyyy-mm")</f>
        <v/>
      </c>
    </row>
    <row r="2412">
      <c r="A2412" s="2" t="n">
        <v>45904</v>
      </c>
      <c r="B2412" t="n">
        <v>2025</v>
      </c>
      <c r="C2412" t="inlineStr">
        <is>
          <t>September</t>
        </is>
      </c>
      <c r="D2412" t="inlineStr">
        <is>
          <t>Wireless Backpack</t>
        </is>
      </c>
      <c r="E2412" t="inlineStr">
        <is>
          <t>Sports &amp; Outdoors</t>
        </is>
      </c>
      <c r="F2412" t="inlineStr">
        <is>
          <t>Daniel Wilson</t>
        </is>
      </c>
      <c r="G2412" t="inlineStr">
        <is>
          <t>France</t>
        </is>
      </c>
      <c r="H2412" t="inlineStr">
        <is>
          <t>Web Store</t>
        </is>
      </c>
      <c r="I2412" t="n">
        <v>5</v>
      </c>
      <c r="J2412" s="3" t="n">
        <v>245.6</v>
      </c>
      <c r="K2412" s="3" t="n">
        <v>0</v>
      </c>
      <c r="L2412" s="3" t="n">
        <v>245.6</v>
      </c>
      <c r="M2412" s="3" t="n">
        <v>140.5</v>
      </c>
      <c r="N2412" s="3" t="n">
        <v>105.1</v>
      </c>
      <c r="O2412">
        <f>TEXT(A2412,"yyyy-mm")</f>
        <v/>
      </c>
    </row>
    <row r="2413">
      <c r="A2413" s="2" t="n">
        <v>45904</v>
      </c>
      <c r="B2413" t="n">
        <v>2025</v>
      </c>
      <c r="C2413" t="inlineStr">
        <is>
          <t>September</t>
        </is>
      </c>
      <c r="D2413" t="inlineStr">
        <is>
          <t>Ultra Rug</t>
        </is>
      </c>
      <c r="E2413" t="inlineStr">
        <is>
          <t>Home &amp; Garden</t>
        </is>
      </c>
      <c r="F2413" t="inlineStr">
        <is>
          <t>Daniel Wilson</t>
        </is>
      </c>
      <c r="G2413" t="inlineStr">
        <is>
          <t>France</t>
        </is>
      </c>
      <c r="H2413" t="inlineStr">
        <is>
          <t>Web Store</t>
        </is>
      </c>
      <c r="I2413" t="n">
        <v>3</v>
      </c>
      <c r="J2413" s="3" t="n">
        <v>151.92</v>
      </c>
      <c r="K2413" s="3" t="n">
        <v>15.19</v>
      </c>
      <c r="L2413" s="3" t="n">
        <v>136.73</v>
      </c>
      <c r="M2413" s="3" t="n">
        <v>98.73</v>
      </c>
      <c r="N2413" s="3" t="n">
        <v>38</v>
      </c>
      <c r="O2413">
        <f>TEXT(A2413,"yyyy-mm")</f>
        <v/>
      </c>
    </row>
    <row r="2414">
      <c r="A2414" s="2" t="n">
        <v>45904</v>
      </c>
      <c r="B2414" t="n">
        <v>2025</v>
      </c>
      <c r="C2414" t="inlineStr">
        <is>
          <t>September</t>
        </is>
      </c>
      <c r="D2414" t="inlineStr">
        <is>
          <t>Portable Puzzle</t>
        </is>
      </c>
      <c r="E2414" t="inlineStr">
        <is>
          <t>Toys &amp; Games</t>
        </is>
      </c>
      <c r="F2414" t="inlineStr">
        <is>
          <t>Daniel Wilson</t>
        </is>
      </c>
      <c r="G2414" t="inlineStr">
        <is>
          <t>France</t>
        </is>
      </c>
      <c r="H2414" t="inlineStr">
        <is>
          <t>Web Store</t>
        </is>
      </c>
      <c r="I2414" t="n">
        <v>5</v>
      </c>
      <c r="J2414" s="3" t="n">
        <v>534.35</v>
      </c>
      <c r="K2414" s="3" t="n">
        <v>0</v>
      </c>
      <c r="L2414" s="3" t="n">
        <v>534.35</v>
      </c>
      <c r="M2414" s="3" t="n">
        <v>294</v>
      </c>
      <c r="N2414" s="3" t="n">
        <v>240.35</v>
      </c>
      <c r="O2414">
        <f>TEXT(A2414,"yyyy-mm")</f>
        <v/>
      </c>
    </row>
    <row r="2415">
      <c r="A2415" s="2" t="n">
        <v>45905</v>
      </c>
      <c r="B2415" t="n">
        <v>2025</v>
      </c>
      <c r="C2415" t="inlineStr">
        <is>
          <t>September</t>
        </is>
      </c>
      <c r="D2415" t="inlineStr">
        <is>
          <t>Essential Planter</t>
        </is>
      </c>
      <c r="E2415" t="inlineStr">
        <is>
          <t>Home &amp; Garden</t>
        </is>
      </c>
      <c r="F2415" t="inlineStr">
        <is>
          <t>James Dubois</t>
        </is>
      </c>
      <c r="G2415" t="inlineStr">
        <is>
          <t>Poland</t>
        </is>
      </c>
      <c r="H2415" t="inlineStr">
        <is>
          <t>Mobile App</t>
        </is>
      </c>
      <c r="I2415" t="n">
        <v>5</v>
      </c>
      <c r="J2415" s="3" t="n">
        <v>128.85</v>
      </c>
      <c r="K2415" s="3" t="n">
        <v>6.44</v>
      </c>
      <c r="L2415" s="3" t="n">
        <v>122.41</v>
      </c>
      <c r="M2415" s="3" t="n">
        <v>98.2</v>
      </c>
      <c r="N2415" s="3" t="n">
        <v>24.21</v>
      </c>
      <c r="O2415">
        <f>TEXT(A2415,"yyyy-mm")</f>
        <v/>
      </c>
    </row>
    <row r="2416">
      <c r="A2416" s="2" t="n">
        <v>45905</v>
      </c>
      <c r="B2416" t="n">
        <v>2025</v>
      </c>
      <c r="C2416" t="inlineStr">
        <is>
          <t>September</t>
        </is>
      </c>
      <c r="D2416" t="inlineStr">
        <is>
          <t>Smart Honey</t>
        </is>
      </c>
      <c r="E2416" t="inlineStr">
        <is>
          <t>Grocery</t>
        </is>
      </c>
      <c r="F2416" t="inlineStr">
        <is>
          <t>James Dubois</t>
        </is>
      </c>
      <c r="G2416" t="inlineStr">
        <is>
          <t>Poland</t>
        </is>
      </c>
      <c r="H2416" t="inlineStr">
        <is>
          <t>Mobile App</t>
        </is>
      </c>
      <c r="I2416" t="n">
        <v>3</v>
      </c>
      <c r="J2416" s="3" t="n">
        <v>407.49</v>
      </c>
      <c r="K2416" s="3" t="n">
        <v>81.5</v>
      </c>
      <c r="L2416" s="3" t="n">
        <v>325.99</v>
      </c>
      <c r="M2416" s="3" t="n">
        <v>214.32</v>
      </c>
      <c r="N2416" s="3" t="n">
        <v>111.67</v>
      </c>
      <c r="O2416">
        <f>TEXT(A2416,"yyyy-mm")</f>
        <v/>
      </c>
    </row>
    <row r="2417">
      <c r="A2417" s="2" t="n">
        <v>45906</v>
      </c>
      <c r="B2417" t="n">
        <v>2025</v>
      </c>
      <c r="C2417" t="inlineStr">
        <is>
          <t>September</t>
        </is>
      </c>
      <c r="D2417" t="inlineStr">
        <is>
          <t>Premium Cookbook</t>
        </is>
      </c>
      <c r="E2417" t="inlineStr">
        <is>
          <t>Books</t>
        </is>
      </c>
      <c r="F2417" t="inlineStr">
        <is>
          <t>Laura Muller</t>
        </is>
      </c>
      <c r="G2417" t="inlineStr">
        <is>
          <t>Italy</t>
        </is>
      </c>
      <c r="H2417" t="inlineStr">
        <is>
          <t>Marketplace</t>
        </is>
      </c>
      <c r="I2417" t="n">
        <v>4</v>
      </c>
      <c r="J2417" s="3" t="n">
        <v>546.52</v>
      </c>
      <c r="K2417" s="3" t="n">
        <v>109.3</v>
      </c>
      <c r="L2417" s="3" t="n">
        <v>437.22</v>
      </c>
      <c r="M2417" s="3" t="n">
        <v>379.92</v>
      </c>
      <c r="N2417" s="3" t="n">
        <v>57.3</v>
      </c>
      <c r="O2417">
        <f>TEXT(A2417,"yyyy-mm")</f>
        <v/>
      </c>
    </row>
    <row r="2418">
      <c r="A2418" s="2" t="n">
        <v>45906</v>
      </c>
      <c r="B2418" t="n">
        <v>2025</v>
      </c>
      <c r="C2418" t="inlineStr">
        <is>
          <t>September</t>
        </is>
      </c>
      <c r="D2418" t="inlineStr">
        <is>
          <t>Essential Lamp</t>
        </is>
      </c>
      <c r="E2418" t="inlineStr">
        <is>
          <t>Home &amp; Garden</t>
        </is>
      </c>
      <c r="F2418" t="inlineStr">
        <is>
          <t>Laura Muller</t>
        </is>
      </c>
      <c r="G2418" t="inlineStr">
        <is>
          <t>Italy</t>
        </is>
      </c>
      <c r="H2418" t="inlineStr">
        <is>
          <t>Marketplace</t>
        </is>
      </c>
      <c r="I2418" t="n">
        <v>1</v>
      </c>
      <c r="J2418" s="3" t="n">
        <v>62.4</v>
      </c>
      <c r="K2418" s="3" t="n">
        <v>0</v>
      </c>
      <c r="L2418" s="3" t="n">
        <v>62.4</v>
      </c>
      <c r="M2418" s="3" t="n">
        <v>45.4</v>
      </c>
      <c r="N2418" s="3" t="n">
        <v>17</v>
      </c>
      <c r="O2418">
        <f>TEXT(A2418,"yyyy-mm")</f>
        <v/>
      </c>
    </row>
    <row r="2419">
      <c r="A2419" s="2" t="n">
        <v>45906</v>
      </c>
      <c r="B2419" t="n">
        <v>2025</v>
      </c>
      <c r="C2419" t="inlineStr">
        <is>
          <t>September</t>
        </is>
      </c>
      <c r="D2419" t="inlineStr">
        <is>
          <t>Smart Cookbook</t>
        </is>
      </c>
      <c r="E2419" t="inlineStr">
        <is>
          <t>Books</t>
        </is>
      </c>
      <c r="F2419" t="inlineStr">
        <is>
          <t>Laura Muller</t>
        </is>
      </c>
      <c r="G2419" t="inlineStr">
        <is>
          <t>Italy</t>
        </is>
      </c>
      <c r="H2419" t="inlineStr">
        <is>
          <t>Marketplace</t>
        </is>
      </c>
      <c r="I2419" t="n">
        <v>4</v>
      </c>
      <c r="J2419" s="3" t="n">
        <v>70.48</v>
      </c>
      <c r="K2419" s="3" t="n">
        <v>10.57</v>
      </c>
      <c r="L2419" s="3" t="n">
        <v>59.91</v>
      </c>
      <c r="M2419" s="3" t="n">
        <v>39.52</v>
      </c>
      <c r="N2419" s="3" t="n">
        <v>20.39</v>
      </c>
      <c r="O2419">
        <f>TEXT(A2419,"yyyy-mm")</f>
        <v/>
      </c>
    </row>
    <row r="2420">
      <c r="A2420" s="2" t="n">
        <v>45906</v>
      </c>
      <c r="B2420" t="n">
        <v>2025</v>
      </c>
      <c r="C2420" t="inlineStr">
        <is>
          <t>September</t>
        </is>
      </c>
      <c r="D2420" t="inlineStr">
        <is>
          <t>Smart Cookbook</t>
        </is>
      </c>
      <c r="E2420" t="inlineStr">
        <is>
          <t>Books</t>
        </is>
      </c>
      <c r="F2420" t="inlineStr">
        <is>
          <t>Mark Bianchi</t>
        </is>
      </c>
      <c r="G2420" t="inlineStr">
        <is>
          <t>Spain</t>
        </is>
      </c>
      <c r="H2420" t="inlineStr">
        <is>
          <t>Mobile App</t>
        </is>
      </c>
      <c r="I2420" t="n">
        <v>2</v>
      </c>
      <c r="J2420" s="3" t="n">
        <v>36.48</v>
      </c>
      <c r="K2420" s="3" t="n">
        <v>0</v>
      </c>
      <c r="L2420" s="3" t="n">
        <v>36.48</v>
      </c>
      <c r="M2420" s="3" t="n">
        <v>19.76</v>
      </c>
      <c r="N2420" s="3" t="n">
        <v>16.72</v>
      </c>
      <c r="O2420">
        <f>TEXT(A2420,"yyyy-mm")</f>
        <v/>
      </c>
    </row>
    <row r="2421">
      <c r="A2421" s="2" t="n">
        <v>45906</v>
      </c>
      <c r="B2421" t="n">
        <v>2025</v>
      </c>
      <c r="C2421" t="inlineStr">
        <is>
          <t>September</t>
        </is>
      </c>
      <c r="D2421" t="inlineStr">
        <is>
          <t>Wireless Coffee Beans</t>
        </is>
      </c>
      <c r="E2421" t="inlineStr">
        <is>
          <t>Grocery</t>
        </is>
      </c>
      <c r="F2421" t="inlineStr">
        <is>
          <t>Mark Bianchi</t>
        </is>
      </c>
      <c r="G2421" t="inlineStr">
        <is>
          <t>Spain</t>
        </is>
      </c>
      <c r="H2421" t="inlineStr">
        <is>
          <t>Mobile App</t>
        </is>
      </c>
      <c r="I2421" t="n">
        <v>1</v>
      </c>
      <c r="J2421" s="3" t="n">
        <v>207.82</v>
      </c>
      <c r="K2421" s="3" t="n">
        <v>31.17</v>
      </c>
      <c r="L2421" s="3" t="n">
        <v>176.65</v>
      </c>
      <c r="M2421" s="3" t="n">
        <v>130.13</v>
      </c>
      <c r="N2421" s="3" t="n">
        <v>46.52</v>
      </c>
      <c r="O2421">
        <f>TEXT(A2421,"yyyy-mm")</f>
        <v/>
      </c>
    </row>
    <row r="2422">
      <c r="A2422" s="2" t="n">
        <v>45906</v>
      </c>
      <c r="B2422" t="n">
        <v>2025</v>
      </c>
      <c r="C2422" t="inlineStr">
        <is>
          <t>September</t>
        </is>
      </c>
      <c r="D2422" t="inlineStr">
        <is>
          <t>Portable Puzzle</t>
        </is>
      </c>
      <c r="E2422" t="inlineStr">
        <is>
          <t>Toys &amp; Games</t>
        </is>
      </c>
      <c r="F2422" t="inlineStr">
        <is>
          <t>Peter Schmidt</t>
        </is>
      </c>
      <c r="G2422" t="inlineStr">
        <is>
          <t>France</t>
        </is>
      </c>
      <c r="H2422" t="inlineStr">
        <is>
          <t>Marketplace</t>
        </is>
      </c>
      <c r="I2422" t="n">
        <v>2</v>
      </c>
      <c r="J2422" s="3" t="n">
        <v>221.9</v>
      </c>
      <c r="K2422" s="3" t="n">
        <v>11.1</v>
      </c>
      <c r="L2422" s="3" t="n">
        <v>210.8</v>
      </c>
      <c r="M2422" s="3" t="n">
        <v>117.6</v>
      </c>
      <c r="N2422" s="3" t="n">
        <v>93.20999999999999</v>
      </c>
      <c r="O2422">
        <f>TEXT(A2422,"yyyy-mm")</f>
        <v/>
      </c>
    </row>
    <row r="2423">
      <c r="A2423" s="2" t="n">
        <v>45906</v>
      </c>
      <c r="B2423" t="n">
        <v>2025</v>
      </c>
      <c r="C2423" t="inlineStr">
        <is>
          <t>September</t>
        </is>
      </c>
      <c r="D2423" t="inlineStr">
        <is>
          <t>Premium Water Bottle</t>
        </is>
      </c>
      <c r="E2423" t="inlineStr">
        <is>
          <t>Sports &amp; Outdoors</t>
        </is>
      </c>
      <c r="F2423" t="inlineStr">
        <is>
          <t>Olivia Bianchi</t>
        </is>
      </c>
      <c r="G2423" t="inlineStr">
        <is>
          <t>United Kingdom</t>
        </is>
      </c>
      <c r="H2423" t="inlineStr">
        <is>
          <t>Retail Store</t>
        </is>
      </c>
      <c r="I2423" t="n">
        <v>1</v>
      </c>
      <c r="J2423" s="3" t="n">
        <v>305.01</v>
      </c>
      <c r="K2423" s="3" t="n">
        <v>45.75</v>
      </c>
      <c r="L2423" s="3" t="n">
        <v>259.26</v>
      </c>
      <c r="M2423" s="3" t="n">
        <v>181.16</v>
      </c>
      <c r="N2423" s="3" t="n">
        <v>78.09999999999999</v>
      </c>
      <c r="O2423">
        <f>TEXT(A2423,"yyyy-mm")</f>
        <v/>
      </c>
    </row>
    <row r="2424">
      <c r="A2424" s="2" t="n">
        <v>45906</v>
      </c>
      <c r="B2424" t="n">
        <v>2025</v>
      </c>
      <c r="C2424" t="inlineStr">
        <is>
          <t>September</t>
        </is>
      </c>
      <c r="D2424" t="inlineStr">
        <is>
          <t>Portable Pasta</t>
        </is>
      </c>
      <c r="E2424" t="inlineStr">
        <is>
          <t>Grocery</t>
        </is>
      </c>
      <c r="F2424" t="inlineStr">
        <is>
          <t>Olivia Bianchi</t>
        </is>
      </c>
      <c r="G2424" t="inlineStr">
        <is>
          <t>United Kingdom</t>
        </is>
      </c>
      <c r="H2424" t="inlineStr">
        <is>
          <t>Retail Store</t>
        </is>
      </c>
      <c r="I2424" t="n">
        <v>5</v>
      </c>
      <c r="J2424" s="3" t="n">
        <v>178.15</v>
      </c>
      <c r="K2424" s="3" t="n">
        <v>0</v>
      </c>
      <c r="L2424" s="3" t="n">
        <v>178.15</v>
      </c>
      <c r="M2424" s="3" t="n">
        <v>138.75</v>
      </c>
      <c r="N2424" s="3" t="n">
        <v>39.4</v>
      </c>
      <c r="O2424">
        <f>TEXT(A2424,"yyyy-mm")</f>
        <v/>
      </c>
    </row>
    <row r="2425">
      <c r="A2425" s="2" t="n">
        <v>45906</v>
      </c>
      <c r="B2425" t="n">
        <v>2025</v>
      </c>
      <c r="C2425" t="inlineStr">
        <is>
          <t>September</t>
        </is>
      </c>
      <c r="D2425" t="inlineStr">
        <is>
          <t>Wireless Cookbook</t>
        </is>
      </c>
      <c r="E2425" t="inlineStr">
        <is>
          <t>Books</t>
        </is>
      </c>
      <c r="F2425" t="inlineStr">
        <is>
          <t>Olivia Bianchi</t>
        </is>
      </c>
      <c r="G2425" t="inlineStr">
        <is>
          <t>United Kingdom</t>
        </is>
      </c>
      <c r="H2425" t="inlineStr">
        <is>
          <t>Retail Store</t>
        </is>
      </c>
      <c r="I2425" t="n">
        <v>4</v>
      </c>
      <c r="J2425" s="3" t="n">
        <v>296.76</v>
      </c>
      <c r="K2425" s="3" t="n">
        <v>14.84</v>
      </c>
      <c r="L2425" s="3" t="n">
        <v>281.92</v>
      </c>
      <c r="M2425" s="3" t="n">
        <v>226.44</v>
      </c>
      <c r="N2425" s="3" t="n">
        <v>55.48</v>
      </c>
      <c r="O2425">
        <f>TEXT(A2425,"yyyy-mm")</f>
        <v/>
      </c>
    </row>
    <row r="2426">
      <c r="A2426" s="2" t="n">
        <v>45906</v>
      </c>
      <c r="B2426" t="n">
        <v>2025</v>
      </c>
      <c r="C2426" t="inlineStr">
        <is>
          <t>September</t>
        </is>
      </c>
      <c r="D2426" t="inlineStr">
        <is>
          <t>Deluxe Puzzle</t>
        </is>
      </c>
      <c r="E2426" t="inlineStr">
        <is>
          <t>Toys &amp; Games</t>
        </is>
      </c>
      <c r="F2426" t="inlineStr">
        <is>
          <t>Mark Bianchi</t>
        </is>
      </c>
      <c r="G2426" t="inlineStr">
        <is>
          <t>Spain</t>
        </is>
      </c>
      <c r="H2426" t="inlineStr">
        <is>
          <t>Mobile App</t>
        </is>
      </c>
      <c r="I2426" t="n">
        <v>3</v>
      </c>
      <c r="J2426" s="3" t="n">
        <v>612.78</v>
      </c>
      <c r="K2426" s="3" t="n">
        <v>0</v>
      </c>
      <c r="L2426" s="3" t="n">
        <v>612.78</v>
      </c>
      <c r="M2426" s="3" t="n">
        <v>333.51</v>
      </c>
      <c r="N2426" s="3" t="n">
        <v>279.27</v>
      </c>
      <c r="O2426">
        <f>TEXT(A2426,"yyyy-mm")</f>
        <v/>
      </c>
    </row>
    <row r="2427">
      <c r="A2427" s="2" t="n">
        <v>45906</v>
      </c>
      <c r="B2427" t="n">
        <v>2025</v>
      </c>
      <c r="C2427" t="inlineStr">
        <is>
          <t>September</t>
        </is>
      </c>
      <c r="D2427" t="inlineStr">
        <is>
          <t>Compact Jacket</t>
        </is>
      </c>
      <c r="E2427" t="inlineStr">
        <is>
          <t>Clothing</t>
        </is>
      </c>
      <c r="F2427" t="inlineStr">
        <is>
          <t>John Fischer</t>
        </is>
      </c>
      <c r="G2427" t="inlineStr">
        <is>
          <t>Netherlands</t>
        </is>
      </c>
      <c r="H2427" t="inlineStr">
        <is>
          <t>Marketplace</t>
        </is>
      </c>
      <c r="I2427" t="n">
        <v>3</v>
      </c>
      <c r="J2427" s="3" t="n">
        <v>110.34</v>
      </c>
      <c r="K2427" s="3" t="n">
        <v>16.55</v>
      </c>
      <c r="L2427" s="3" t="n">
        <v>93.79000000000001</v>
      </c>
      <c r="M2427" s="3" t="n">
        <v>61.2</v>
      </c>
      <c r="N2427" s="3" t="n">
        <v>32.59</v>
      </c>
      <c r="O2427">
        <f>TEXT(A2427,"yyyy-mm")</f>
        <v/>
      </c>
    </row>
    <row r="2428">
      <c r="A2428" s="2" t="n">
        <v>45906</v>
      </c>
      <c r="B2428" t="n">
        <v>2025</v>
      </c>
      <c r="C2428" t="inlineStr">
        <is>
          <t>September</t>
        </is>
      </c>
      <c r="D2428" t="inlineStr">
        <is>
          <t>Essential Cushion</t>
        </is>
      </c>
      <c r="E2428" t="inlineStr">
        <is>
          <t>Home &amp; Garden</t>
        </is>
      </c>
      <c r="F2428" t="inlineStr">
        <is>
          <t>Maria Garcia</t>
        </is>
      </c>
      <c r="G2428" t="inlineStr">
        <is>
          <t>United Kingdom</t>
        </is>
      </c>
      <c r="H2428" t="inlineStr">
        <is>
          <t>Retail Store</t>
        </is>
      </c>
      <c r="I2428" t="n">
        <v>5</v>
      </c>
      <c r="J2428" s="3" t="n">
        <v>216.15</v>
      </c>
      <c r="K2428" s="3" t="n">
        <v>21.62</v>
      </c>
      <c r="L2428" s="3" t="n">
        <v>194.53</v>
      </c>
      <c r="M2428" s="3" t="n">
        <v>152.75</v>
      </c>
      <c r="N2428" s="3" t="n">
        <v>41.78</v>
      </c>
      <c r="O2428">
        <f>TEXT(A2428,"yyyy-mm")</f>
        <v/>
      </c>
    </row>
    <row r="2429">
      <c r="A2429" s="2" t="n">
        <v>45906</v>
      </c>
      <c r="B2429" t="n">
        <v>2025</v>
      </c>
      <c r="C2429" t="inlineStr">
        <is>
          <t>September</t>
        </is>
      </c>
      <c r="D2429" t="inlineStr">
        <is>
          <t>Ultra Backpack</t>
        </is>
      </c>
      <c r="E2429" t="inlineStr">
        <is>
          <t>Sports &amp; Outdoors</t>
        </is>
      </c>
      <c r="F2429" t="inlineStr">
        <is>
          <t>John Fischer</t>
        </is>
      </c>
      <c r="G2429" t="inlineStr">
        <is>
          <t>Netherlands</t>
        </is>
      </c>
      <c r="H2429" t="inlineStr">
        <is>
          <t>Marketplace</t>
        </is>
      </c>
      <c r="I2429" t="n">
        <v>5</v>
      </c>
      <c r="J2429" s="3" t="n">
        <v>1530.3</v>
      </c>
      <c r="K2429" s="3" t="n">
        <v>306.06</v>
      </c>
      <c r="L2429" s="3" t="n">
        <v>1224.24</v>
      </c>
      <c r="M2429" s="3" t="n">
        <v>868.45</v>
      </c>
      <c r="N2429" s="3" t="n">
        <v>355.79</v>
      </c>
      <c r="O2429">
        <f>TEXT(A2429,"yyyy-mm")</f>
        <v/>
      </c>
    </row>
    <row r="2430">
      <c r="A2430" s="2" t="n">
        <v>45906</v>
      </c>
      <c r="B2430" t="n">
        <v>2025</v>
      </c>
      <c r="C2430" t="inlineStr">
        <is>
          <t>September</t>
        </is>
      </c>
      <c r="D2430" t="inlineStr">
        <is>
          <t>Deluxe Smartwatch</t>
        </is>
      </c>
      <c r="E2430" t="inlineStr">
        <is>
          <t>Electronics</t>
        </is>
      </c>
      <c r="F2430" t="inlineStr">
        <is>
          <t>Maria Garcia</t>
        </is>
      </c>
      <c r="G2430" t="inlineStr">
        <is>
          <t>United Kingdom</t>
        </is>
      </c>
      <c r="H2430" t="inlineStr">
        <is>
          <t>Retail Store</t>
        </is>
      </c>
      <c r="I2430" t="n">
        <v>5</v>
      </c>
      <c r="J2430" s="3" t="n">
        <v>769.75</v>
      </c>
      <c r="K2430" s="3" t="n">
        <v>0</v>
      </c>
      <c r="L2430" s="3" t="n">
        <v>769.75</v>
      </c>
      <c r="M2430" s="3" t="n">
        <v>613.6</v>
      </c>
      <c r="N2430" s="3" t="n">
        <v>156.15</v>
      </c>
      <c r="O2430">
        <f>TEXT(A2430,"yyyy-mm")</f>
        <v/>
      </c>
    </row>
    <row r="2431">
      <c r="A2431" s="2" t="n">
        <v>45907</v>
      </c>
      <c r="B2431" t="n">
        <v>2025</v>
      </c>
      <c r="C2431" t="inlineStr">
        <is>
          <t>September</t>
        </is>
      </c>
      <c r="D2431" t="inlineStr">
        <is>
          <t>Smart Drone</t>
        </is>
      </c>
      <c r="E2431" t="inlineStr">
        <is>
          <t>Toys &amp; Games</t>
        </is>
      </c>
      <c r="F2431" t="inlineStr">
        <is>
          <t>Maria Garcia</t>
        </is>
      </c>
      <c r="G2431" t="inlineStr">
        <is>
          <t>United Kingdom</t>
        </is>
      </c>
      <c r="H2431" t="inlineStr">
        <is>
          <t>Web Store</t>
        </is>
      </c>
      <c r="I2431" t="n">
        <v>2</v>
      </c>
      <c r="J2431" s="3" t="n">
        <v>435.56</v>
      </c>
      <c r="K2431" s="3" t="n">
        <v>43.56</v>
      </c>
      <c r="L2431" s="3" t="n">
        <v>392</v>
      </c>
      <c r="M2431" s="3" t="n">
        <v>253.9</v>
      </c>
      <c r="N2431" s="3" t="n">
        <v>138.1</v>
      </c>
      <c r="O2431">
        <f>TEXT(A2431,"yyyy-mm")</f>
        <v/>
      </c>
    </row>
    <row r="2432">
      <c r="A2432" s="2" t="n">
        <v>45907</v>
      </c>
      <c r="B2432" t="n">
        <v>2025</v>
      </c>
      <c r="C2432" t="inlineStr">
        <is>
          <t>September</t>
        </is>
      </c>
      <c r="D2432" t="inlineStr">
        <is>
          <t>Smart Charger</t>
        </is>
      </c>
      <c r="E2432" t="inlineStr">
        <is>
          <t>Electronics</t>
        </is>
      </c>
      <c r="F2432" t="inlineStr">
        <is>
          <t>Maria Garcia</t>
        </is>
      </c>
      <c r="G2432" t="inlineStr">
        <is>
          <t>United Kingdom</t>
        </is>
      </c>
      <c r="H2432" t="inlineStr">
        <is>
          <t>Web Store</t>
        </is>
      </c>
      <c r="I2432" t="n">
        <v>3</v>
      </c>
      <c r="J2432" s="3" t="n">
        <v>117.9</v>
      </c>
      <c r="K2432" s="3" t="n">
        <v>5.9</v>
      </c>
      <c r="L2432" s="3" t="n">
        <v>112</v>
      </c>
      <c r="M2432" s="3" t="n">
        <v>82.92</v>
      </c>
      <c r="N2432" s="3" t="n">
        <v>29.08</v>
      </c>
      <c r="O2432">
        <f>TEXT(A2432,"yyyy-mm")</f>
        <v/>
      </c>
    </row>
    <row r="2433">
      <c r="A2433" s="2" t="n">
        <v>45907</v>
      </c>
      <c r="B2433" t="n">
        <v>2025</v>
      </c>
      <c r="C2433" t="inlineStr">
        <is>
          <t>September</t>
        </is>
      </c>
      <c r="D2433" t="inlineStr">
        <is>
          <t>Smart Olive Oil</t>
        </is>
      </c>
      <c r="E2433" t="inlineStr">
        <is>
          <t>Grocery</t>
        </is>
      </c>
      <c r="F2433" t="inlineStr">
        <is>
          <t>Maria Garcia</t>
        </is>
      </c>
      <c r="G2433" t="inlineStr">
        <is>
          <t>United Kingdom</t>
        </is>
      </c>
      <c r="H2433" t="inlineStr">
        <is>
          <t>Web Store</t>
        </is>
      </c>
      <c r="I2433" t="n">
        <v>4</v>
      </c>
      <c r="J2433" s="3" t="n">
        <v>644.04</v>
      </c>
      <c r="K2433" s="3" t="n">
        <v>96.61</v>
      </c>
      <c r="L2433" s="3" t="n">
        <v>547.4299999999999</v>
      </c>
      <c r="M2433" s="3" t="n">
        <v>440.08</v>
      </c>
      <c r="N2433" s="3" t="n">
        <v>107.35</v>
      </c>
      <c r="O2433">
        <f>TEXT(A2433,"yyyy-mm")</f>
        <v/>
      </c>
    </row>
    <row r="2434">
      <c r="A2434" s="2" t="n">
        <v>45907</v>
      </c>
      <c r="B2434" t="n">
        <v>2025</v>
      </c>
      <c r="C2434" t="inlineStr">
        <is>
          <t>September</t>
        </is>
      </c>
      <c r="D2434" t="inlineStr">
        <is>
          <t>Deluxe Toolset</t>
        </is>
      </c>
      <c r="E2434" t="inlineStr">
        <is>
          <t>Home &amp; Garden</t>
        </is>
      </c>
      <c r="F2434" t="inlineStr">
        <is>
          <t>Clara Zielinski</t>
        </is>
      </c>
      <c r="G2434" t="inlineStr">
        <is>
          <t>United States</t>
        </is>
      </c>
      <c r="H2434" t="inlineStr">
        <is>
          <t>Mobile App</t>
        </is>
      </c>
      <c r="I2434" t="n">
        <v>4</v>
      </c>
      <c r="J2434" s="3" t="n">
        <v>262.16</v>
      </c>
      <c r="K2434" s="3" t="n">
        <v>39.32</v>
      </c>
      <c r="L2434" s="3" t="n">
        <v>222.84</v>
      </c>
      <c r="M2434" s="3" t="n">
        <v>190.84</v>
      </c>
      <c r="N2434" s="3" t="n">
        <v>32</v>
      </c>
      <c r="O2434">
        <f>TEXT(A2434,"yyyy-mm")</f>
        <v/>
      </c>
    </row>
    <row r="2435">
      <c r="A2435" s="2" t="n">
        <v>45907</v>
      </c>
      <c r="B2435" t="n">
        <v>2025</v>
      </c>
      <c r="C2435" t="inlineStr">
        <is>
          <t>September</t>
        </is>
      </c>
      <c r="D2435" t="inlineStr">
        <is>
          <t>Classic Bike Helmet</t>
        </is>
      </c>
      <c r="E2435" t="inlineStr">
        <is>
          <t>Sports &amp; Outdoors</t>
        </is>
      </c>
      <c r="F2435" t="inlineStr">
        <is>
          <t>Clara Zielinski</t>
        </is>
      </c>
      <c r="G2435" t="inlineStr">
        <is>
          <t>United States</t>
        </is>
      </c>
      <c r="H2435" t="inlineStr">
        <is>
          <t>Mobile App</t>
        </is>
      </c>
      <c r="I2435" t="n">
        <v>4</v>
      </c>
      <c r="J2435" s="3" t="n">
        <v>892.48</v>
      </c>
      <c r="K2435" s="3" t="n">
        <v>0</v>
      </c>
      <c r="L2435" s="3" t="n">
        <v>892.48</v>
      </c>
      <c r="M2435" s="3" t="n">
        <v>615.24</v>
      </c>
      <c r="N2435" s="3" t="n">
        <v>277.24</v>
      </c>
      <c r="O2435">
        <f>TEXT(A2435,"yyyy-mm")</f>
        <v/>
      </c>
    </row>
    <row r="2436">
      <c r="A2436" s="2" t="n">
        <v>45907</v>
      </c>
      <c r="B2436" t="n">
        <v>2025</v>
      </c>
      <c r="C2436" t="inlineStr">
        <is>
          <t>September</t>
        </is>
      </c>
      <c r="D2436" t="inlineStr">
        <is>
          <t>Wireless Coffee Beans</t>
        </is>
      </c>
      <c r="E2436" t="inlineStr">
        <is>
          <t>Grocery</t>
        </is>
      </c>
      <c r="F2436" t="inlineStr">
        <is>
          <t>Paul Zielinski</t>
        </is>
      </c>
      <c r="G2436" t="inlineStr">
        <is>
          <t>Poland</t>
        </is>
      </c>
      <c r="H2436" t="inlineStr">
        <is>
          <t>Retail Store</t>
        </is>
      </c>
      <c r="I2436" t="n">
        <v>1</v>
      </c>
      <c r="J2436" s="3" t="n">
        <v>115.26</v>
      </c>
      <c r="K2436" s="3" t="n">
        <v>0</v>
      </c>
      <c r="L2436" s="3" t="n">
        <v>115.26</v>
      </c>
      <c r="M2436" s="3" t="n">
        <v>79.37</v>
      </c>
      <c r="N2436" s="3" t="n">
        <v>35.89</v>
      </c>
      <c r="O2436">
        <f>TEXT(A2436,"yyyy-mm")</f>
        <v/>
      </c>
    </row>
    <row r="2437">
      <c r="A2437" s="2" t="n">
        <v>45907</v>
      </c>
      <c r="B2437" t="n">
        <v>2025</v>
      </c>
      <c r="C2437" t="inlineStr">
        <is>
          <t>September</t>
        </is>
      </c>
      <c r="D2437" t="inlineStr">
        <is>
          <t>Deluxe Scarf</t>
        </is>
      </c>
      <c r="E2437" t="inlineStr">
        <is>
          <t>Clothing</t>
        </is>
      </c>
      <c r="F2437" t="inlineStr">
        <is>
          <t>Paul Zielinski</t>
        </is>
      </c>
      <c r="G2437" t="inlineStr">
        <is>
          <t>Poland</t>
        </is>
      </c>
      <c r="H2437" t="inlineStr">
        <is>
          <t>Retail Store</t>
        </is>
      </c>
      <c r="I2437" t="n">
        <v>1</v>
      </c>
      <c r="J2437" s="3" t="n">
        <v>205.81</v>
      </c>
      <c r="K2437" s="3" t="n">
        <v>0</v>
      </c>
      <c r="L2437" s="3" t="n">
        <v>205.81</v>
      </c>
      <c r="M2437" s="3" t="n">
        <v>108.52</v>
      </c>
      <c r="N2437" s="3" t="n">
        <v>97.29000000000001</v>
      </c>
      <c r="O2437">
        <f>TEXT(A2437,"yyyy-mm")</f>
        <v/>
      </c>
    </row>
    <row r="2438">
      <c r="A2438" s="2" t="n">
        <v>45907</v>
      </c>
      <c r="B2438" t="n">
        <v>2025</v>
      </c>
      <c r="C2438" t="inlineStr">
        <is>
          <t>September</t>
        </is>
      </c>
      <c r="D2438" t="inlineStr">
        <is>
          <t>Eco Drone</t>
        </is>
      </c>
      <c r="E2438" t="inlineStr">
        <is>
          <t>Toys &amp; Games</t>
        </is>
      </c>
      <c r="F2438" t="inlineStr">
        <is>
          <t>Robert Martin</t>
        </is>
      </c>
      <c r="G2438" t="inlineStr">
        <is>
          <t>Italy</t>
        </is>
      </c>
      <c r="H2438" t="inlineStr">
        <is>
          <t>Marketplace</t>
        </is>
      </c>
      <c r="I2438" t="n">
        <v>5</v>
      </c>
      <c r="J2438" s="3" t="n">
        <v>979.9</v>
      </c>
      <c r="K2438" s="3" t="n">
        <v>0</v>
      </c>
      <c r="L2438" s="3" t="n">
        <v>979.9</v>
      </c>
      <c r="M2438" s="3" t="n">
        <v>647.95</v>
      </c>
      <c r="N2438" s="3" t="n">
        <v>331.95</v>
      </c>
      <c r="O2438">
        <f>TEXT(A2438,"yyyy-mm")</f>
        <v/>
      </c>
    </row>
    <row r="2439">
      <c r="A2439" s="2" t="n">
        <v>45907</v>
      </c>
      <c r="B2439" t="n">
        <v>2025</v>
      </c>
      <c r="C2439" t="inlineStr">
        <is>
          <t>September</t>
        </is>
      </c>
      <c r="D2439" t="inlineStr">
        <is>
          <t>Deluxe Cookbook</t>
        </is>
      </c>
      <c r="E2439" t="inlineStr">
        <is>
          <t>Books</t>
        </is>
      </c>
      <c r="F2439" t="inlineStr">
        <is>
          <t>Robert Martin</t>
        </is>
      </c>
      <c r="G2439" t="inlineStr">
        <is>
          <t>Italy</t>
        </is>
      </c>
      <c r="H2439" t="inlineStr">
        <is>
          <t>Marketplace</t>
        </is>
      </c>
      <c r="I2439" t="n">
        <v>4</v>
      </c>
      <c r="J2439" s="3" t="n">
        <v>525.6799999999999</v>
      </c>
      <c r="K2439" s="3" t="n">
        <v>0</v>
      </c>
      <c r="L2439" s="3" t="n">
        <v>525.6799999999999</v>
      </c>
      <c r="M2439" s="3" t="n">
        <v>341.08</v>
      </c>
      <c r="N2439" s="3" t="n">
        <v>184.6</v>
      </c>
      <c r="O2439">
        <f>TEXT(A2439,"yyyy-mm")</f>
        <v/>
      </c>
    </row>
    <row r="2440">
      <c r="A2440" s="2" t="n">
        <v>45907</v>
      </c>
      <c r="B2440" t="n">
        <v>2025</v>
      </c>
      <c r="C2440" t="inlineStr">
        <is>
          <t>September</t>
        </is>
      </c>
      <c r="D2440" t="inlineStr">
        <is>
          <t>Smart Charger</t>
        </is>
      </c>
      <c r="E2440" t="inlineStr">
        <is>
          <t>Electronics</t>
        </is>
      </c>
      <c r="F2440" t="inlineStr">
        <is>
          <t>Clara Zielinski</t>
        </is>
      </c>
      <c r="G2440" t="inlineStr">
        <is>
          <t>United States</t>
        </is>
      </c>
      <c r="H2440" t="inlineStr">
        <is>
          <t>Mobile App</t>
        </is>
      </c>
      <c r="I2440" t="n">
        <v>3</v>
      </c>
      <c r="J2440" s="3" t="n">
        <v>764.16</v>
      </c>
      <c r="K2440" s="3" t="n">
        <v>76.42</v>
      </c>
      <c r="L2440" s="3" t="n">
        <v>687.74</v>
      </c>
      <c r="M2440" s="3" t="n">
        <v>427.56</v>
      </c>
      <c r="N2440" s="3" t="n">
        <v>260.18</v>
      </c>
      <c r="O2440">
        <f>TEXT(A2440,"yyyy-mm")</f>
        <v/>
      </c>
    </row>
    <row r="2441">
      <c r="A2441" s="2" t="n">
        <v>45907</v>
      </c>
      <c r="B2441" t="n">
        <v>2025</v>
      </c>
      <c r="C2441" t="inlineStr">
        <is>
          <t>September</t>
        </is>
      </c>
      <c r="D2441" t="inlineStr">
        <is>
          <t>Portable Notebook</t>
        </is>
      </c>
      <c r="E2441" t="inlineStr">
        <is>
          <t>Books</t>
        </is>
      </c>
      <c r="F2441" t="inlineStr">
        <is>
          <t>Paul Zielinski</t>
        </is>
      </c>
      <c r="G2441" t="inlineStr">
        <is>
          <t>Poland</t>
        </is>
      </c>
      <c r="H2441" t="inlineStr">
        <is>
          <t>Retail Store</t>
        </is>
      </c>
      <c r="I2441" t="n">
        <v>4</v>
      </c>
      <c r="J2441" s="3" t="n">
        <v>520</v>
      </c>
      <c r="K2441" s="3" t="n">
        <v>52</v>
      </c>
      <c r="L2441" s="3" t="n">
        <v>468</v>
      </c>
      <c r="M2441" s="3" t="n">
        <v>285.12</v>
      </c>
      <c r="N2441" s="3" t="n">
        <v>182.88</v>
      </c>
      <c r="O2441">
        <f>TEXT(A2441,"yyyy-mm")</f>
        <v/>
      </c>
    </row>
    <row r="2442">
      <c r="A2442" s="2" t="n">
        <v>45907</v>
      </c>
      <c r="B2442" t="n">
        <v>2025</v>
      </c>
      <c r="C2442" t="inlineStr">
        <is>
          <t>September</t>
        </is>
      </c>
      <c r="D2442" t="inlineStr">
        <is>
          <t>Compact Biography</t>
        </is>
      </c>
      <c r="E2442" t="inlineStr">
        <is>
          <t>Books</t>
        </is>
      </c>
      <c r="F2442" t="inlineStr">
        <is>
          <t>Clara Zielinski</t>
        </is>
      </c>
      <c r="G2442" t="inlineStr">
        <is>
          <t>United States</t>
        </is>
      </c>
      <c r="H2442" t="inlineStr">
        <is>
          <t>Mobile App</t>
        </is>
      </c>
      <c r="I2442" t="n">
        <v>2</v>
      </c>
      <c r="J2442" s="3" t="n">
        <v>501.26</v>
      </c>
      <c r="K2442" s="3" t="n">
        <v>100.25</v>
      </c>
      <c r="L2442" s="3" t="n">
        <v>401.01</v>
      </c>
      <c r="M2442" s="3" t="n">
        <v>280.66</v>
      </c>
      <c r="N2442" s="3" t="n">
        <v>120.35</v>
      </c>
      <c r="O2442">
        <f>TEXT(A2442,"yyyy-mm")</f>
        <v/>
      </c>
    </row>
    <row r="2443">
      <c r="A2443" s="2" t="n">
        <v>45907</v>
      </c>
      <c r="B2443" t="n">
        <v>2025</v>
      </c>
      <c r="C2443" t="inlineStr">
        <is>
          <t>September</t>
        </is>
      </c>
      <c r="D2443" t="inlineStr">
        <is>
          <t>Smart Cookbook</t>
        </is>
      </c>
      <c r="E2443" t="inlineStr">
        <is>
          <t>Books</t>
        </is>
      </c>
      <c r="F2443" t="inlineStr">
        <is>
          <t>Robert Martin</t>
        </is>
      </c>
      <c r="G2443" t="inlineStr">
        <is>
          <t>Italy</t>
        </is>
      </c>
      <c r="H2443" t="inlineStr">
        <is>
          <t>Marketplace</t>
        </is>
      </c>
      <c r="I2443" t="n">
        <v>4</v>
      </c>
      <c r="J2443" s="3" t="n">
        <v>72.8</v>
      </c>
      <c r="K2443" s="3" t="n">
        <v>0</v>
      </c>
      <c r="L2443" s="3" t="n">
        <v>72.8</v>
      </c>
      <c r="M2443" s="3" t="n">
        <v>39.52</v>
      </c>
      <c r="N2443" s="3" t="n">
        <v>33.28</v>
      </c>
      <c r="O2443">
        <f>TEXT(A2443,"yyyy-mm")</f>
        <v/>
      </c>
    </row>
    <row r="2444">
      <c r="A2444" s="2" t="n">
        <v>45908</v>
      </c>
      <c r="B2444" t="n">
        <v>2025</v>
      </c>
      <c r="C2444" t="inlineStr">
        <is>
          <t>September</t>
        </is>
      </c>
      <c r="D2444" t="inlineStr">
        <is>
          <t>Compact Jacket</t>
        </is>
      </c>
      <c r="E2444" t="inlineStr">
        <is>
          <t>Clothing</t>
        </is>
      </c>
      <c r="F2444" t="inlineStr">
        <is>
          <t>Clara Martin</t>
        </is>
      </c>
      <c r="G2444" t="inlineStr">
        <is>
          <t>Italy</t>
        </is>
      </c>
      <c r="H2444" t="inlineStr">
        <is>
          <t>Marketplace</t>
        </is>
      </c>
      <c r="I2444" t="n">
        <v>1</v>
      </c>
      <c r="J2444" s="3" t="n">
        <v>38.45</v>
      </c>
      <c r="K2444" s="3" t="n">
        <v>5.77</v>
      </c>
      <c r="L2444" s="3" t="n">
        <v>32.68</v>
      </c>
      <c r="M2444" s="3" t="n">
        <v>20.4</v>
      </c>
      <c r="N2444" s="3" t="n">
        <v>12.28</v>
      </c>
      <c r="O2444">
        <f>TEXT(A2444,"yyyy-mm")</f>
        <v/>
      </c>
    </row>
    <row r="2445">
      <c r="A2445" s="2" t="n">
        <v>45908</v>
      </c>
      <c r="B2445" t="n">
        <v>2025</v>
      </c>
      <c r="C2445" t="inlineStr">
        <is>
          <t>September</t>
        </is>
      </c>
      <c r="D2445" t="inlineStr">
        <is>
          <t>Portable Speaker</t>
        </is>
      </c>
      <c r="E2445" t="inlineStr">
        <is>
          <t>Electronics</t>
        </is>
      </c>
      <c r="F2445" t="inlineStr">
        <is>
          <t>Clara Martin</t>
        </is>
      </c>
      <c r="G2445" t="inlineStr">
        <is>
          <t>Italy</t>
        </is>
      </c>
      <c r="H2445" t="inlineStr">
        <is>
          <t>Marketplace</t>
        </is>
      </c>
      <c r="I2445" t="n">
        <v>1</v>
      </c>
      <c r="J2445" s="3" t="n">
        <v>335.3</v>
      </c>
      <c r="K2445" s="3" t="n">
        <v>67.06</v>
      </c>
      <c r="L2445" s="3" t="n">
        <v>268.24</v>
      </c>
      <c r="M2445" s="3" t="n">
        <v>174.83</v>
      </c>
      <c r="N2445" s="3" t="n">
        <v>93.41</v>
      </c>
      <c r="O2445">
        <f>TEXT(A2445,"yyyy-mm")</f>
        <v/>
      </c>
    </row>
    <row r="2446">
      <c r="A2446" s="2" t="n">
        <v>45908</v>
      </c>
      <c r="B2446" t="n">
        <v>2025</v>
      </c>
      <c r="C2446" t="inlineStr">
        <is>
          <t>September</t>
        </is>
      </c>
      <c r="D2446" t="inlineStr">
        <is>
          <t>Classic Atlas</t>
        </is>
      </c>
      <c r="E2446" t="inlineStr">
        <is>
          <t>Books</t>
        </is>
      </c>
      <c r="F2446" t="inlineStr">
        <is>
          <t>Clara Martin</t>
        </is>
      </c>
      <c r="G2446" t="inlineStr">
        <is>
          <t>Italy</t>
        </is>
      </c>
      <c r="H2446" t="inlineStr">
        <is>
          <t>Marketplace</t>
        </is>
      </c>
      <c r="I2446" t="n">
        <v>2</v>
      </c>
      <c r="J2446" s="3" t="n">
        <v>120.54</v>
      </c>
      <c r="K2446" s="3" t="n">
        <v>6.03</v>
      </c>
      <c r="L2446" s="3" t="n">
        <v>114.51</v>
      </c>
      <c r="M2446" s="3" t="n">
        <v>69.18000000000001</v>
      </c>
      <c r="N2446" s="3" t="n">
        <v>45.33</v>
      </c>
      <c r="O2446">
        <f>TEXT(A2446,"yyyy-mm")</f>
        <v/>
      </c>
    </row>
    <row r="2447">
      <c r="A2447" s="2" t="n">
        <v>45908</v>
      </c>
      <c r="B2447" t="n">
        <v>2025</v>
      </c>
      <c r="C2447" t="inlineStr">
        <is>
          <t>September</t>
        </is>
      </c>
      <c r="D2447" t="inlineStr">
        <is>
          <t>Wireless Coffee Beans</t>
        </is>
      </c>
      <c r="E2447" t="inlineStr">
        <is>
          <t>Grocery</t>
        </is>
      </c>
      <c r="F2447" t="inlineStr">
        <is>
          <t>Clara Martin</t>
        </is>
      </c>
      <c r="G2447" t="inlineStr">
        <is>
          <t>Italy</t>
        </is>
      </c>
      <c r="H2447" t="inlineStr">
        <is>
          <t>Marketplace</t>
        </is>
      </c>
      <c r="I2447" t="n">
        <v>3</v>
      </c>
      <c r="J2447" s="3" t="n">
        <v>656.37</v>
      </c>
      <c r="K2447" s="3" t="n">
        <v>98.45999999999999</v>
      </c>
      <c r="L2447" s="3" t="n">
        <v>557.91</v>
      </c>
      <c r="M2447" s="3" t="n">
        <v>390.39</v>
      </c>
      <c r="N2447" s="3" t="n">
        <v>167.52</v>
      </c>
      <c r="O2447">
        <f>TEXT(A2447,"yyyy-mm")</f>
        <v/>
      </c>
    </row>
    <row r="2448">
      <c r="A2448" s="2" t="n">
        <v>45908</v>
      </c>
      <c r="B2448" t="n">
        <v>2025</v>
      </c>
      <c r="C2448" t="inlineStr">
        <is>
          <t>September</t>
        </is>
      </c>
      <c r="D2448" t="inlineStr">
        <is>
          <t>Ultra Rug</t>
        </is>
      </c>
      <c r="E2448" t="inlineStr">
        <is>
          <t>Home &amp; Garden</t>
        </is>
      </c>
      <c r="F2448" t="inlineStr">
        <is>
          <t>Peter Martin</t>
        </is>
      </c>
      <c r="G2448" t="inlineStr">
        <is>
          <t>Germany</t>
        </is>
      </c>
      <c r="H2448" t="inlineStr">
        <is>
          <t>Marketplace</t>
        </is>
      </c>
      <c r="I2448" t="n">
        <v>1</v>
      </c>
      <c r="J2448" s="3" t="n">
        <v>53.17</v>
      </c>
      <c r="K2448" s="3" t="n">
        <v>7.98</v>
      </c>
      <c r="L2448" s="3" t="n">
        <v>45.19</v>
      </c>
      <c r="M2448" s="3" t="n">
        <v>32.91</v>
      </c>
      <c r="N2448" s="3" t="n">
        <v>12.28</v>
      </c>
      <c r="O2448">
        <f>TEXT(A2448,"yyyy-mm")</f>
        <v/>
      </c>
    </row>
    <row r="2449">
      <c r="A2449" s="2" t="n">
        <v>45908</v>
      </c>
      <c r="B2449" t="n">
        <v>2025</v>
      </c>
      <c r="C2449" t="inlineStr">
        <is>
          <t>September</t>
        </is>
      </c>
      <c r="D2449" t="inlineStr">
        <is>
          <t>Wireless Drone</t>
        </is>
      </c>
      <c r="E2449" t="inlineStr">
        <is>
          <t>Toys &amp; Games</t>
        </is>
      </c>
      <c r="F2449" t="inlineStr">
        <is>
          <t>Peter Martin</t>
        </is>
      </c>
      <c r="G2449" t="inlineStr">
        <is>
          <t>Germany</t>
        </is>
      </c>
      <c r="H2449" t="inlineStr">
        <is>
          <t>Marketplace</t>
        </is>
      </c>
      <c r="I2449" t="n">
        <v>4</v>
      </c>
      <c r="J2449" s="3" t="n">
        <v>857.04</v>
      </c>
      <c r="K2449" s="3" t="n">
        <v>128.56</v>
      </c>
      <c r="L2449" s="3" t="n">
        <v>728.48</v>
      </c>
      <c r="M2449" s="3" t="n">
        <v>525.16</v>
      </c>
      <c r="N2449" s="3" t="n">
        <v>203.32</v>
      </c>
      <c r="O2449">
        <f>TEXT(A2449,"yyyy-mm")</f>
        <v/>
      </c>
    </row>
    <row r="2450">
      <c r="A2450" s="2" t="n">
        <v>45908</v>
      </c>
      <c r="B2450" t="n">
        <v>2025</v>
      </c>
      <c r="C2450" t="inlineStr">
        <is>
          <t>September</t>
        </is>
      </c>
      <c r="D2450" t="inlineStr">
        <is>
          <t>Deluxe Toolset</t>
        </is>
      </c>
      <c r="E2450" t="inlineStr">
        <is>
          <t>Home &amp; Garden</t>
        </is>
      </c>
      <c r="F2450" t="inlineStr">
        <is>
          <t>Peter Martin</t>
        </is>
      </c>
      <c r="G2450" t="inlineStr">
        <is>
          <t>Germany</t>
        </is>
      </c>
      <c r="H2450" t="inlineStr">
        <is>
          <t>Marketplace</t>
        </is>
      </c>
      <c r="I2450" t="n">
        <v>1</v>
      </c>
      <c r="J2450" s="3" t="n">
        <v>67.3</v>
      </c>
      <c r="K2450" s="3" t="n">
        <v>6.73</v>
      </c>
      <c r="L2450" s="3" t="n">
        <v>60.57</v>
      </c>
      <c r="M2450" s="3" t="n">
        <v>47.71</v>
      </c>
      <c r="N2450" s="3" t="n">
        <v>12.86</v>
      </c>
      <c r="O2450">
        <f>TEXT(A2450,"yyyy-mm")</f>
        <v/>
      </c>
    </row>
    <row r="2451">
      <c r="A2451" s="2" t="n">
        <v>45909</v>
      </c>
      <c r="B2451" t="n">
        <v>2025</v>
      </c>
      <c r="C2451" t="inlineStr">
        <is>
          <t>September</t>
        </is>
      </c>
      <c r="D2451" t="inlineStr">
        <is>
          <t>Eco Sweater</t>
        </is>
      </c>
      <c r="E2451" t="inlineStr">
        <is>
          <t>Clothing</t>
        </is>
      </c>
      <c r="F2451" t="inlineStr">
        <is>
          <t>James Kowalski</t>
        </is>
      </c>
      <c r="G2451" t="inlineStr">
        <is>
          <t>Poland</t>
        </is>
      </c>
      <c r="H2451" t="inlineStr">
        <is>
          <t>Retail Store</t>
        </is>
      </c>
      <c r="I2451" t="n">
        <v>4</v>
      </c>
      <c r="J2451" s="3" t="n">
        <v>600.16</v>
      </c>
      <c r="K2451" s="3" t="n">
        <v>120.03</v>
      </c>
      <c r="L2451" s="3" t="n">
        <v>480.13</v>
      </c>
      <c r="M2451" s="3" t="n">
        <v>416.92</v>
      </c>
      <c r="N2451" s="3" t="n">
        <v>63.21</v>
      </c>
      <c r="O2451">
        <f>TEXT(A2451,"yyyy-mm")</f>
        <v/>
      </c>
    </row>
    <row r="2452">
      <c r="A2452" s="2" t="n">
        <v>45909</v>
      </c>
      <c r="B2452" t="n">
        <v>2025</v>
      </c>
      <c r="C2452" t="inlineStr">
        <is>
          <t>September</t>
        </is>
      </c>
      <c r="D2452" t="inlineStr">
        <is>
          <t>Essential Charger</t>
        </is>
      </c>
      <c r="E2452" t="inlineStr">
        <is>
          <t>Electronics</t>
        </is>
      </c>
      <c r="F2452" t="inlineStr">
        <is>
          <t>David Nowak</t>
        </is>
      </c>
      <c r="G2452" t="inlineStr">
        <is>
          <t>United States</t>
        </is>
      </c>
      <c r="H2452" t="inlineStr">
        <is>
          <t>Retail Store</t>
        </is>
      </c>
      <c r="I2452" t="n">
        <v>1</v>
      </c>
      <c r="J2452" s="3" t="n">
        <v>42.7</v>
      </c>
      <c r="K2452" s="3" t="n">
        <v>0</v>
      </c>
      <c r="L2452" s="3" t="n">
        <v>42.7</v>
      </c>
      <c r="M2452" s="3" t="n">
        <v>29.1</v>
      </c>
      <c r="N2452" s="3" t="n">
        <v>13.6</v>
      </c>
      <c r="O2452">
        <f>TEXT(A2452,"yyyy-mm")</f>
        <v/>
      </c>
    </row>
    <row r="2453">
      <c r="A2453" s="2" t="n">
        <v>45909</v>
      </c>
      <c r="B2453" t="n">
        <v>2025</v>
      </c>
      <c r="C2453" t="inlineStr">
        <is>
          <t>September</t>
        </is>
      </c>
      <c r="D2453" t="inlineStr">
        <is>
          <t>Smart Camera</t>
        </is>
      </c>
      <c r="E2453" t="inlineStr">
        <is>
          <t>Electronics</t>
        </is>
      </c>
      <c r="F2453" t="inlineStr">
        <is>
          <t>David Nowak</t>
        </is>
      </c>
      <c r="G2453" t="inlineStr">
        <is>
          <t>United States</t>
        </is>
      </c>
      <c r="H2453" t="inlineStr">
        <is>
          <t>Retail Store</t>
        </is>
      </c>
      <c r="I2453" t="n">
        <v>5</v>
      </c>
      <c r="J2453" s="3" t="n">
        <v>1580.65</v>
      </c>
      <c r="K2453" s="3" t="n">
        <v>0</v>
      </c>
      <c r="L2453" s="3" t="n">
        <v>1580.65</v>
      </c>
      <c r="M2453" s="3" t="n">
        <v>837</v>
      </c>
      <c r="N2453" s="3" t="n">
        <v>743.65</v>
      </c>
      <c r="O2453">
        <f>TEXT(A2453,"yyyy-mm")</f>
        <v/>
      </c>
    </row>
    <row r="2454">
      <c r="A2454" s="2" t="n">
        <v>45909</v>
      </c>
      <c r="B2454" t="n">
        <v>2025</v>
      </c>
      <c r="C2454" t="inlineStr">
        <is>
          <t>September</t>
        </is>
      </c>
      <c r="D2454" t="inlineStr">
        <is>
          <t>Classic Yoga Mat</t>
        </is>
      </c>
      <c r="E2454" t="inlineStr">
        <is>
          <t>Sports &amp; Outdoors</t>
        </is>
      </c>
      <c r="F2454" t="inlineStr">
        <is>
          <t>David Nowak</t>
        </is>
      </c>
      <c r="G2454" t="inlineStr">
        <is>
          <t>United States</t>
        </is>
      </c>
      <c r="H2454" t="inlineStr">
        <is>
          <t>Retail Store</t>
        </is>
      </c>
      <c r="I2454" t="n">
        <v>2</v>
      </c>
      <c r="J2454" s="3" t="n">
        <v>654.54</v>
      </c>
      <c r="K2454" s="3" t="n">
        <v>98.18000000000001</v>
      </c>
      <c r="L2454" s="3" t="n">
        <v>556.36</v>
      </c>
      <c r="M2454" s="3" t="n">
        <v>391.4</v>
      </c>
      <c r="N2454" s="3" t="n">
        <v>164.96</v>
      </c>
      <c r="O2454">
        <f>TEXT(A2454,"yyyy-mm")</f>
        <v/>
      </c>
    </row>
    <row r="2455">
      <c r="A2455" s="2" t="n">
        <v>45909</v>
      </c>
      <c r="B2455" t="n">
        <v>2025</v>
      </c>
      <c r="C2455" t="inlineStr">
        <is>
          <t>September</t>
        </is>
      </c>
      <c r="D2455" t="inlineStr">
        <is>
          <t>Ultra Toolset</t>
        </is>
      </c>
      <c r="E2455" t="inlineStr">
        <is>
          <t>Home &amp; Garden</t>
        </is>
      </c>
      <c r="F2455" t="inlineStr">
        <is>
          <t>David Nowak</t>
        </is>
      </c>
      <c r="G2455" t="inlineStr">
        <is>
          <t>United States</t>
        </is>
      </c>
      <c r="H2455" t="inlineStr">
        <is>
          <t>Retail Store</t>
        </is>
      </c>
      <c r="I2455" t="n">
        <v>3</v>
      </c>
      <c r="J2455" s="3" t="n">
        <v>1046.28</v>
      </c>
      <c r="K2455" s="3" t="n">
        <v>0</v>
      </c>
      <c r="L2455" s="3" t="n">
        <v>1046.28</v>
      </c>
      <c r="M2455" s="3" t="n">
        <v>571.2</v>
      </c>
      <c r="N2455" s="3" t="n">
        <v>475.08</v>
      </c>
      <c r="O2455">
        <f>TEXT(A2455,"yyyy-mm")</f>
        <v/>
      </c>
    </row>
    <row r="2456">
      <c r="A2456" s="2" t="n">
        <v>45909</v>
      </c>
      <c r="B2456" t="n">
        <v>2025</v>
      </c>
      <c r="C2456" t="inlineStr">
        <is>
          <t>September</t>
        </is>
      </c>
      <c r="D2456" t="inlineStr">
        <is>
          <t>Eco Drone</t>
        </is>
      </c>
      <c r="E2456" t="inlineStr">
        <is>
          <t>Toys &amp; Games</t>
        </is>
      </c>
      <c r="F2456" t="inlineStr">
        <is>
          <t>Paul Zielinski</t>
        </is>
      </c>
      <c r="G2456" t="inlineStr">
        <is>
          <t>Poland</t>
        </is>
      </c>
      <c r="H2456" t="inlineStr">
        <is>
          <t>Mobile App</t>
        </is>
      </c>
      <c r="I2456" t="n">
        <v>1</v>
      </c>
      <c r="J2456" s="3" t="n">
        <v>210.57</v>
      </c>
      <c r="K2456" s="3" t="n">
        <v>21.06</v>
      </c>
      <c r="L2456" s="3" t="n">
        <v>189.51</v>
      </c>
      <c r="M2456" s="3" t="n">
        <v>129.59</v>
      </c>
      <c r="N2456" s="3" t="n">
        <v>59.92</v>
      </c>
      <c r="O2456">
        <f>TEXT(A2456,"yyyy-mm")</f>
        <v/>
      </c>
    </row>
    <row r="2457">
      <c r="A2457" s="2" t="n">
        <v>45909</v>
      </c>
      <c r="B2457" t="n">
        <v>2025</v>
      </c>
      <c r="C2457" t="inlineStr">
        <is>
          <t>September</t>
        </is>
      </c>
      <c r="D2457" t="inlineStr">
        <is>
          <t>Premium Tent</t>
        </is>
      </c>
      <c r="E2457" t="inlineStr">
        <is>
          <t>Sports &amp; Outdoors</t>
        </is>
      </c>
      <c r="F2457" t="inlineStr">
        <is>
          <t>John Conti</t>
        </is>
      </c>
      <c r="G2457" t="inlineStr">
        <is>
          <t>Germany</t>
        </is>
      </c>
      <c r="H2457" t="inlineStr">
        <is>
          <t>Retail Store</t>
        </is>
      </c>
      <c r="I2457" t="n">
        <v>4</v>
      </c>
      <c r="J2457" s="3" t="n">
        <v>975.16</v>
      </c>
      <c r="K2457" s="3" t="n">
        <v>97.52</v>
      </c>
      <c r="L2457" s="3" t="n">
        <v>877.64</v>
      </c>
      <c r="M2457" s="3" t="n">
        <v>661.24</v>
      </c>
      <c r="N2457" s="3" t="n">
        <v>216.4</v>
      </c>
      <c r="O2457">
        <f>TEXT(A2457,"yyyy-mm")</f>
        <v/>
      </c>
    </row>
    <row r="2458">
      <c r="A2458" s="2" t="n">
        <v>45909</v>
      </c>
      <c r="B2458" t="n">
        <v>2025</v>
      </c>
      <c r="C2458" t="inlineStr">
        <is>
          <t>September</t>
        </is>
      </c>
      <c r="D2458" t="inlineStr">
        <is>
          <t>Compact Pasta</t>
        </is>
      </c>
      <c r="E2458" t="inlineStr">
        <is>
          <t>Grocery</t>
        </is>
      </c>
      <c r="F2458" t="inlineStr">
        <is>
          <t>John Conti</t>
        </is>
      </c>
      <c r="G2458" t="inlineStr">
        <is>
          <t>Germany</t>
        </is>
      </c>
      <c r="H2458" t="inlineStr">
        <is>
          <t>Retail Store</t>
        </is>
      </c>
      <c r="I2458" t="n">
        <v>3</v>
      </c>
      <c r="J2458" s="3" t="n">
        <v>888.9299999999999</v>
      </c>
      <c r="K2458" s="3" t="n">
        <v>0</v>
      </c>
      <c r="L2458" s="3" t="n">
        <v>888.9299999999999</v>
      </c>
      <c r="M2458" s="3" t="n">
        <v>598.2</v>
      </c>
      <c r="N2458" s="3" t="n">
        <v>290.73</v>
      </c>
      <c r="O2458">
        <f>TEXT(A2458,"yyyy-mm")</f>
        <v/>
      </c>
    </row>
    <row r="2459">
      <c r="A2459" s="2" t="n">
        <v>45909</v>
      </c>
      <c r="B2459" t="n">
        <v>2025</v>
      </c>
      <c r="C2459" t="inlineStr">
        <is>
          <t>September</t>
        </is>
      </c>
      <c r="D2459" t="inlineStr">
        <is>
          <t>Deluxe Toolset</t>
        </is>
      </c>
      <c r="E2459" t="inlineStr">
        <is>
          <t>Home &amp; Garden</t>
        </is>
      </c>
      <c r="F2459" t="inlineStr">
        <is>
          <t>Laura Moreau</t>
        </is>
      </c>
      <c r="G2459" t="inlineStr">
        <is>
          <t>Spain</t>
        </is>
      </c>
      <c r="H2459" t="inlineStr">
        <is>
          <t>Mobile App</t>
        </is>
      </c>
      <c r="I2459" t="n">
        <v>3</v>
      </c>
      <c r="J2459" s="3" t="n">
        <v>200.49</v>
      </c>
      <c r="K2459" s="3" t="n">
        <v>0</v>
      </c>
      <c r="L2459" s="3" t="n">
        <v>200.49</v>
      </c>
      <c r="M2459" s="3" t="n">
        <v>143.13</v>
      </c>
      <c r="N2459" s="3" t="n">
        <v>57.36</v>
      </c>
      <c r="O2459">
        <f>TEXT(A2459,"yyyy-mm")</f>
        <v/>
      </c>
    </row>
    <row r="2460">
      <c r="A2460" s="2" t="n">
        <v>45909</v>
      </c>
      <c r="B2460" t="n">
        <v>2025</v>
      </c>
      <c r="C2460" t="inlineStr">
        <is>
          <t>September</t>
        </is>
      </c>
      <c r="D2460" t="inlineStr">
        <is>
          <t>Classic Bike Helmet</t>
        </is>
      </c>
      <c r="E2460" t="inlineStr">
        <is>
          <t>Sports &amp; Outdoors</t>
        </is>
      </c>
      <c r="F2460" t="inlineStr">
        <is>
          <t>Peter Muller</t>
        </is>
      </c>
      <c r="G2460" t="inlineStr">
        <is>
          <t>Italy</t>
        </is>
      </c>
      <c r="H2460" t="inlineStr">
        <is>
          <t>Web Store</t>
        </is>
      </c>
      <c r="I2460" t="n">
        <v>1</v>
      </c>
      <c r="J2460" s="3" t="n">
        <v>216.74</v>
      </c>
      <c r="K2460" s="3" t="n">
        <v>0</v>
      </c>
      <c r="L2460" s="3" t="n">
        <v>216.74</v>
      </c>
      <c r="M2460" s="3" t="n">
        <v>153.81</v>
      </c>
      <c r="N2460" s="3" t="n">
        <v>62.93</v>
      </c>
      <c r="O2460">
        <f>TEXT(A2460,"yyyy-mm")</f>
        <v/>
      </c>
    </row>
    <row r="2461">
      <c r="A2461" s="2" t="n">
        <v>45909</v>
      </c>
      <c r="B2461" t="n">
        <v>2025</v>
      </c>
      <c r="C2461" t="inlineStr">
        <is>
          <t>September</t>
        </is>
      </c>
      <c r="D2461" t="inlineStr">
        <is>
          <t>Wireless Coffee Beans</t>
        </is>
      </c>
      <c r="E2461" t="inlineStr">
        <is>
          <t>Grocery</t>
        </is>
      </c>
      <c r="F2461" t="inlineStr">
        <is>
          <t>Peter Muller</t>
        </is>
      </c>
      <c r="G2461" t="inlineStr">
        <is>
          <t>Italy</t>
        </is>
      </c>
      <c r="H2461" t="inlineStr">
        <is>
          <t>Web Store</t>
        </is>
      </c>
      <c r="I2461" t="n">
        <v>4</v>
      </c>
      <c r="J2461" s="3" t="n">
        <v>897.72</v>
      </c>
      <c r="K2461" s="3" t="n">
        <v>134.66</v>
      </c>
      <c r="L2461" s="3" t="n">
        <v>763.0599999999999</v>
      </c>
      <c r="M2461" s="3" t="n">
        <v>520.52</v>
      </c>
      <c r="N2461" s="3" t="n">
        <v>242.54</v>
      </c>
      <c r="O2461">
        <f>TEXT(A2461,"yyyy-mm")</f>
        <v/>
      </c>
    </row>
    <row r="2462">
      <c r="A2462" s="2" t="n">
        <v>45909</v>
      </c>
      <c r="B2462" t="n">
        <v>2025</v>
      </c>
      <c r="C2462" t="inlineStr">
        <is>
          <t>September</t>
        </is>
      </c>
      <c r="D2462" t="inlineStr">
        <is>
          <t>Smart Coffee Beans</t>
        </is>
      </c>
      <c r="E2462" t="inlineStr">
        <is>
          <t>Grocery</t>
        </is>
      </c>
      <c r="F2462" t="inlineStr">
        <is>
          <t>Laura Moreau</t>
        </is>
      </c>
      <c r="G2462" t="inlineStr">
        <is>
          <t>Spain</t>
        </is>
      </c>
      <c r="H2462" t="inlineStr">
        <is>
          <t>Mobile App</t>
        </is>
      </c>
      <c r="I2462" t="n">
        <v>1</v>
      </c>
      <c r="J2462" s="3" t="n">
        <v>108.79</v>
      </c>
      <c r="K2462" s="3" t="n">
        <v>5.44</v>
      </c>
      <c r="L2462" s="3" t="n">
        <v>103.35</v>
      </c>
      <c r="M2462" s="3" t="n">
        <v>72.84999999999999</v>
      </c>
      <c r="N2462" s="3" t="n">
        <v>30.5</v>
      </c>
      <c r="O2462">
        <f>TEXT(A2462,"yyyy-mm")</f>
        <v/>
      </c>
    </row>
    <row r="2463">
      <c r="A2463" s="2" t="n">
        <v>45909</v>
      </c>
      <c r="B2463" t="n">
        <v>2025</v>
      </c>
      <c r="C2463" t="inlineStr">
        <is>
          <t>September</t>
        </is>
      </c>
      <c r="D2463" t="inlineStr">
        <is>
          <t>Smart Drone</t>
        </is>
      </c>
      <c r="E2463" t="inlineStr">
        <is>
          <t>Toys &amp; Games</t>
        </is>
      </c>
      <c r="F2463" t="inlineStr">
        <is>
          <t>Laura Moreau</t>
        </is>
      </c>
      <c r="G2463" t="inlineStr">
        <is>
          <t>Spain</t>
        </is>
      </c>
      <c r="H2463" t="inlineStr">
        <is>
          <t>Mobile App</t>
        </is>
      </c>
      <c r="I2463" t="n">
        <v>4</v>
      </c>
      <c r="J2463" s="3" t="n">
        <v>858.96</v>
      </c>
      <c r="K2463" s="3" t="n">
        <v>128.84</v>
      </c>
      <c r="L2463" s="3" t="n">
        <v>730.12</v>
      </c>
      <c r="M2463" s="3" t="n">
        <v>507.8</v>
      </c>
      <c r="N2463" s="3" t="n">
        <v>222.32</v>
      </c>
      <c r="O2463">
        <f>TEXT(A2463,"yyyy-mm")</f>
        <v/>
      </c>
    </row>
    <row r="2464">
      <c r="A2464" s="2" t="n">
        <v>45911</v>
      </c>
      <c r="B2464" t="n">
        <v>2025</v>
      </c>
      <c r="C2464" t="inlineStr">
        <is>
          <t>September</t>
        </is>
      </c>
      <c r="D2464" t="inlineStr">
        <is>
          <t>Premium Rug</t>
        </is>
      </c>
      <c r="E2464" t="inlineStr">
        <is>
          <t>Home &amp; Garden</t>
        </is>
      </c>
      <c r="F2464" t="inlineStr">
        <is>
          <t>Emily Johnson</t>
        </is>
      </c>
      <c r="G2464" t="inlineStr">
        <is>
          <t>Italy</t>
        </is>
      </c>
      <c r="H2464" t="inlineStr">
        <is>
          <t>Web Store</t>
        </is>
      </c>
      <c r="I2464" t="n">
        <v>1</v>
      </c>
      <c r="J2464" s="3" t="n">
        <v>178.6</v>
      </c>
      <c r="K2464" s="3" t="n">
        <v>35.72</v>
      </c>
      <c r="L2464" s="3" t="n">
        <v>142.88</v>
      </c>
      <c r="M2464" s="3" t="n">
        <v>111.19</v>
      </c>
      <c r="N2464" s="3" t="n">
        <v>31.69</v>
      </c>
      <c r="O2464">
        <f>TEXT(A2464,"yyyy-mm")</f>
        <v/>
      </c>
    </row>
    <row r="2465">
      <c r="A2465" s="2" t="n">
        <v>45911</v>
      </c>
      <c r="B2465" t="n">
        <v>2025</v>
      </c>
      <c r="C2465" t="inlineStr">
        <is>
          <t>September</t>
        </is>
      </c>
      <c r="D2465" t="inlineStr">
        <is>
          <t>Portable Notebook</t>
        </is>
      </c>
      <c r="E2465" t="inlineStr">
        <is>
          <t>Books</t>
        </is>
      </c>
      <c r="F2465" t="inlineStr">
        <is>
          <t>Emily Johnson</t>
        </is>
      </c>
      <c r="G2465" t="inlineStr">
        <is>
          <t>Italy</t>
        </is>
      </c>
      <c r="H2465" t="inlineStr">
        <is>
          <t>Web Store</t>
        </is>
      </c>
      <c r="I2465" t="n">
        <v>4</v>
      </c>
      <c r="J2465" s="3" t="n">
        <v>487.68</v>
      </c>
      <c r="K2465" s="3" t="n">
        <v>0</v>
      </c>
      <c r="L2465" s="3" t="n">
        <v>487.68</v>
      </c>
      <c r="M2465" s="3" t="n">
        <v>285.12</v>
      </c>
      <c r="N2465" s="3" t="n">
        <v>202.56</v>
      </c>
      <c r="O2465">
        <f>TEXT(A2465,"yyyy-mm")</f>
        <v/>
      </c>
    </row>
    <row r="2466">
      <c r="A2466" s="2" t="n">
        <v>45911</v>
      </c>
      <c r="B2466" t="n">
        <v>2025</v>
      </c>
      <c r="C2466" t="inlineStr">
        <is>
          <t>September</t>
        </is>
      </c>
      <c r="D2466" t="inlineStr">
        <is>
          <t>Classic Yoga Mat</t>
        </is>
      </c>
      <c r="E2466" t="inlineStr">
        <is>
          <t>Sports &amp; Outdoors</t>
        </is>
      </c>
      <c r="F2466" t="inlineStr">
        <is>
          <t>Maria Moreau</t>
        </is>
      </c>
      <c r="G2466" t="inlineStr">
        <is>
          <t>Germany</t>
        </is>
      </c>
      <c r="H2466" t="inlineStr">
        <is>
          <t>Web Store</t>
        </is>
      </c>
      <c r="I2466" t="n">
        <v>5</v>
      </c>
      <c r="J2466" s="3" t="n">
        <v>1670.3</v>
      </c>
      <c r="K2466" s="3" t="n">
        <v>334.06</v>
      </c>
      <c r="L2466" s="3" t="n">
        <v>1336.24</v>
      </c>
      <c r="M2466" s="3" t="n">
        <v>978.5</v>
      </c>
      <c r="N2466" s="3" t="n">
        <v>357.74</v>
      </c>
      <c r="O2466">
        <f>TEXT(A2466,"yyyy-mm")</f>
        <v/>
      </c>
    </row>
    <row r="2467">
      <c r="A2467" s="2" t="n">
        <v>45911</v>
      </c>
      <c r="B2467" t="n">
        <v>2025</v>
      </c>
      <c r="C2467" t="inlineStr">
        <is>
          <t>September</t>
        </is>
      </c>
      <c r="D2467" t="inlineStr">
        <is>
          <t>Portable Bike Helmet</t>
        </is>
      </c>
      <c r="E2467" t="inlineStr">
        <is>
          <t>Sports &amp; Outdoors</t>
        </is>
      </c>
      <c r="F2467" t="inlineStr">
        <is>
          <t>Maria Moreau</t>
        </is>
      </c>
      <c r="G2467" t="inlineStr">
        <is>
          <t>Germany</t>
        </is>
      </c>
      <c r="H2467" t="inlineStr">
        <is>
          <t>Web Store</t>
        </is>
      </c>
      <c r="I2467" t="n">
        <v>4</v>
      </c>
      <c r="J2467" s="3" t="n">
        <v>1225.56</v>
      </c>
      <c r="K2467" s="3" t="n">
        <v>122.56</v>
      </c>
      <c r="L2467" s="3" t="n">
        <v>1103</v>
      </c>
      <c r="M2467" s="3" t="n">
        <v>661.48</v>
      </c>
      <c r="N2467" s="3" t="n">
        <v>441.52</v>
      </c>
      <c r="O2467">
        <f>TEXT(A2467,"yyyy-mm")</f>
        <v/>
      </c>
    </row>
    <row r="2468">
      <c r="A2468" s="2" t="n">
        <v>45911</v>
      </c>
      <c r="B2468" t="n">
        <v>2025</v>
      </c>
      <c r="C2468" t="inlineStr">
        <is>
          <t>September</t>
        </is>
      </c>
      <c r="D2468" t="inlineStr">
        <is>
          <t>Deluxe Smartwatch</t>
        </is>
      </c>
      <c r="E2468" t="inlineStr">
        <is>
          <t>Electronics</t>
        </is>
      </c>
      <c r="F2468" t="inlineStr">
        <is>
          <t>Maria Moreau</t>
        </is>
      </c>
      <c r="G2468" t="inlineStr">
        <is>
          <t>Germany</t>
        </is>
      </c>
      <c r="H2468" t="inlineStr">
        <is>
          <t>Web Store</t>
        </is>
      </c>
      <c r="I2468" t="n">
        <v>5</v>
      </c>
      <c r="J2468" s="3" t="n">
        <v>783.15</v>
      </c>
      <c r="K2468" s="3" t="n">
        <v>0</v>
      </c>
      <c r="L2468" s="3" t="n">
        <v>783.15</v>
      </c>
      <c r="M2468" s="3" t="n">
        <v>613.6</v>
      </c>
      <c r="N2468" s="3" t="n">
        <v>169.55</v>
      </c>
      <c r="O2468">
        <f>TEXT(A2468,"yyyy-mm")</f>
        <v/>
      </c>
    </row>
    <row r="2469">
      <c r="A2469" s="2" t="n">
        <v>45911</v>
      </c>
      <c r="B2469" t="n">
        <v>2025</v>
      </c>
      <c r="C2469" t="inlineStr">
        <is>
          <t>September</t>
        </is>
      </c>
      <c r="D2469" t="inlineStr">
        <is>
          <t>Premium Rug</t>
        </is>
      </c>
      <c r="E2469" t="inlineStr">
        <is>
          <t>Home &amp; Garden</t>
        </is>
      </c>
      <c r="F2469" t="inlineStr">
        <is>
          <t>Maria Moreau</t>
        </is>
      </c>
      <c r="G2469" t="inlineStr">
        <is>
          <t>Germany</t>
        </is>
      </c>
      <c r="H2469" t="inlineStr">
        <is>
          <t>Web Store</t>
        </is>
      </c>
      <c r="I2469" t="n">
        <v>2</v>
      </c>
      <c r="J2469" s="3" t="n">
        <v>372.26</v>
      </c>
      <c r="K2469" s="3" t="n">
        <v>18.61</v>
      </c>
      <c r="L2469" s="3" t="n">
        <v>353.65</v>
      </c>
      <c r="M2469" s="3" t="n">
        <v>222.38</v>
      </c>
      <c r="N2469" s="3" t="n">
        <v>131.27</v>
      </c>
      <c r="O2469">
        <f>TEXT(A2469,"yyyy-mm")</f>
        <v/>
      </c>
    </row>
    <row r="2470">
      <c r="A2470" s="2" t="n">
        <v>45911</v>
      </c>
      <c r="B2470" t="n">
        <v>2025</v>
      </c>
      <c r="C2470" t="inlineStr">
        <is>
          <t>September</t>
        </is>
      </c>
      <c r="D2470" t="inlineStr">
        <is>
          <t>Portable Puzzle</t>
        </is>
      </c>
      <c r="E2470" t="inlineStr">
        <is>
          <t>Toys &amp; Games</t>
        </is>
      </c>
      <c r="F2470" t="inlineStr">
        <is>
          <t>John Dubois</t>
        </is>
      </c>
      <c r="G2470" t="inlineStr">
        <is>
          <t>Netherlands</t>
        </is>
      </c>
      <c r="H2470" t="inlineStr">
        <is>
          <t>Mobile App</t>
        </is>
      </c>
      <c r="I2470" t="n">
        <v>2</v>
      </c>
      <c r="J2470" s="3" t="n">
        <v>219.26</v>
      </c>
      <c r="K2470" s="3" t="n">
        <v>21.93</v>
      </c>
      <c r="L2470" s="3" t="n">
        <v>197.33</v>
      </c>
      <c r="M2470" s="3" t="n">
        <v>117.6</v>
      </c>
      <c r="N2470" s="3" t="n">
        <v>79.73</v>
      </c>
      <c r="O2470">
        <f>TEXT(A2470,"yyyy-mm")</f>
        <v/>
      </c>
    </row>
    <row r="2471">
      <c r="A2471" s="2" t="n">
        <v>45911</v>
      </c>
      <c r="B2471" t="n">
        <v>2025</v>
      </c>
      <c r="C2471" t="inlineStr">
        <is>
          <t>September</t>
        </is>
      </c>
      <c r="D2471" t="inlineStr">
        <is>
          <t>Deluxe Cookbook</t>
        </is>
      </c>
      <c r="E2471" t="inlineStr">
        <is>
          <t>Books</t>
        </is>
      </c>
      <c r="F2471" t="inlineStr">
        <is>
          <t>John Dubois</t>
        </is>
      </c>
      <c r="G2471" t="inlineStr">
        <is>
          <t>Netherlands</t>
        </is>
      </c>
      <c r="H2471" t="inlineStr">
        <is>
          <t>Mobile App</t>
        </is>
      </c>
      <c r="I2471" t="n">
        <v>2</v>
      </c>
      <c r="J2471" s="3" t="n">
        <v>260.22</v>
      </c>
      <c r="K2471" s="3" t="n">
        <v>52.04</v>
      </c>
      <c r="L2471" s="3" t="n">
        <v>208.18</v>
      </c>
      <c r="M2471" s="3" t="n">
        <v>170.54</v>
      </c>
      <c r="N2471" s="3" t="n">
        <v>37.64</v>
      </c>
      <c r="O2471">
        <f>TEXT(A2471,"yyyy-mm")</f>
        <v/>
      </c>
    </row>
    <row r="2472">
      <c r="A2472" s="2" t="n">
        <v>45911</v>
      </c>
      <c r="B2472" t="n">
        <v>2025</v>
      </c>
      <c r="C2472" t="inlineStr">
        <is>
          <t>September</t>
        </is>
      </c>
      <c r="D2472" t="inlineStr">
        <is>
          <t>Portable Toolset</t>
        </is>
      </c>
      <c r="E2472" t="inlineStr">
        <is>
          <t>Home &amp; Garden</t>
        </is>
      </c>
      <c r="F2472" t="inlineStr">
        <is>
          <t>John Dubois</t>
        </is>
      </c>
      <c r="G2472" t="inlineStr">
        <is>
          <t>Netherlands</t>
        </is>
      </c>
      <c r="H2472" t="inlineStr">
        <is>
          <t>Mobile App</t>
        </is>
      </c>
      <c r="I2472" t="n">
        <v>1</v>
      </c>
      <c r="J2472" s="3" t="n">
        <v>148.54</v>
      </c>
      <c r="K2472" s="3" t="n">
        <v>0</v>
      </c>
      <c r="L2472" s="3" t="n">
        <v>148.54</v>
      </c>
      <c r="M2472" s="3" t="n">
        <v>92.84999999999999</v>
      </c>
      <c r="N2472" s="3" t="n">
        <v>55.69</v>
      </c>
      <c r="O2472">
        <f>TEXT(A2472,"yyyy-mm")</f>
        <v/>
      </c>
    </row>
    <row r="2473">
      <c r="A2473" s="2" t="n">
        <v>45912</v>
      </c>
      <c r="B2473" t="n">
        <v>2025</v>
      </c>
      <c r="C2473" t="inlineStr">
        <is>
          <t>September</t>
        </is>
      </c>
      <c r="D2473" t="inlineStr">
        <is>
          <t>Eco Tent</t>
        </is>
      </c>
      <c r="E2473" t="inlineStr">
        <is>
          <t>Sports &amp; Outdoors</t>
        </is>
      </c>
      <c r="F2473" t="inlineStr">
        <is>
          <t>David Weber</t>
        </is>
      </c>
      <c r="G2473" t="inlineStr">
        <is>
          <t>Germany</t>
        </is>
      </c>
      <c r="H2473" t="inlineStr">
        <is>
          <t>Retail Store</t>
        </is>
      </c>
      <c r="I2473" t="n">
        <v>3</v>
      </c>
      <c r="J2473" s="3" t="n">
        <v>202.44</v>
      </c>
      <c r="K2473" s="3" t="n">
        <v>10.12</v>
      </c>
      <c r="L2473" s="3" t="n">
        <v>192.32</v>
      </c>
      <c r="M2473" s="3" t="n">
        <v>131.55</v>
      </c>
      <c r="N2473" s="3" t="n">
        <v>60.77</v>
      </c>
      <c r="O2473">
        <f>TEXT(A2473,"yyyy-mm")</f>
        <v/>
      </c>
    </row>
    <row r="2474">
      <c r="A2474" s="2" t="n">
        <v>45912</v>
      </c>
      <c r="B2474" t="n">
        <v>2025</v>
      </c>
      <c r="C2474" t="inlineStr">
        <is>
          <t>September</t>
        </is>
      </c>
      <c r="D2474" t="inlineStr">
        <is>
          <t>Premium Water Bottle</t>
        </is>
      </c>
      <c r="E2474" t="inlineStr">
        <is>
          <t>Sports &amp; Outdoors</t>
        </is>
      </c>
      <c r="F2474" t="inlineStr">
        <is>
          <t>David Weber</t>
        </is>
      </c>
      <c r="G2474" t="inlineStr">
        <is>
          <t>Germany</t>
        </is>
      </c>
      <c r="H2474" t="inlineStr">
        <is>
          <t>Retail Store</t>
        </is>
      </c>
      <c r="I2474" t="n">
        <v>3</v>
      </c>
      <c r="J2474" s="3" t="n">
        <v>356.88</v>
      </c>
      <c r="K2474" s="3" t="n">
        <v>17.84</v>
      </c>
      <c r="L2474" s="3" t="n">
        <v>339.04</v>
      </c>
      <c r="M2474" s="3" t="n">
        <v>268.86</v>
      </c>
      <c r="N2474" s="3" t="n">
        <v>70.18000000000001</v>
      </c>
      <c r="O2474">
        <f>TEXT(A2474,"yyyy-mm")</f>
        <v/>
      </c>
    </row>
    <row r="2475">
      <c r="A2475" s="2" t="n">
        <v>45912</v>
      </c>
      <c r="B2475" t="n">
        <v>2025</v>
      </c>
      <c r="C2475" t="inlineStr">
        <is>
          <t>September</t>
        </is>
      </c>
      <c r="D2475" t="inlineStr">
        <is>
          <t>Classic Bike Helmet</t>
        </is>
      </c>
      <c r="E2475" t="inlineStr">
        <is>
          <t>Sports &amp; Outdoors</t>
        </is>
      </c>
      <c r="F2475" t="inlineStr">
        <is>
          <t>David Weber</t>
        </is>
      </c>
      <c r="G2475" t="inlineStr">
        <is>
          <t>Germany</t>
        </is>
      </c>
      <c r="H2475" t="inlineStr">
        <is>
          <t>Retail Store</t>
        </is>
      </c>
      <c r="I2475" t="n">
        <v>1</v>
      </c>
      <c r="J2475" s="3" t="n">
        <v>222.72</v>
      </c>
      <c r="K2475" s="3" t="n">
        <v>0</v>
      </c>
      <c r="L2475" s="3" t="n">
        <v>222.72</v>
      </c>
      <c r="M2475" s="3" t="n">
        <v>153.81</v>
      </c>
      <c r="N2475" s="3" t="n">
        <v>68.91</v>
      </c>
      <c r="O2475">
        <f>TEXT(A2475,"yyyy-mm")</f>
        <v/>
      </c>
    </row>
    <row r="2476">
      <c r="A2476" s="2" t="n">
        <v>45912</v>
      </c>
      <c r="B2476" t="n">
        <v>2025</v>
      </c>
      <c r="C2476" t="inlineStr">
        <is>
          <t>September</t>
        </is>
      </c>
      <c r="D2476" t="inlineStr">
        <is>
          <t>Compact Biography</t>
        </is>
      </c>
      <c r="E2476" t="inlineStr">
        <is>
          <t>Books</t>
        </is>
      </c>
      <c r="F2476" t="inlineStr">
        <is>
          <t>David Weber</t>
        </is>
      </c>
      <c r="G2476" t="inlineStr">
        <is>
          <t>Germany</t>
        </is>
      </c>
      <c r="H2476" t="inlineStr">
        <is>
          <t>Retail Store</t>
        </is>
      </c>
      <c r="I2476" t="n">
        <v>5</v>
      </c>
      <c r="J2476" s="3" t="n">
        <v>1343.65</v>
      </c>
      <c r="K2476" s="3" t="n">
        <v>0</v>
      </c>
      <c r="L2476" s="3" t="n">
        <v>1343.65</v>
      </c>
      <c r="M2476" s="3" t="n">
        <v>701.65</v>
      </c>
      <c r="N2476" s="3" t="n">
        <v>642</v>
      </c>
      <c r="O2476">
        <f>TEXT(A2476,"yyyy-mm")</f>
        <v/>
      </c>
    </row>
    <row r="2477">
      <c r="A2477" s="2" t="n">
        <v>45912</v>
      </c>
      <c r="B2477" t="n">
        <v>2025</v>
      </c>
      <c r="C2477" t="inlineStr">
        <is>
          <t>September</t>
        </is>
      </c>
      <c r="D2477" t="inlineStr">
        <is>
          <t>Ultra Backpack</t>
        </is>
      </c>
      <c r="E2477" t="inlineStr">
        <is>
          <t>Sports &amp; Outdoors</t>
        </is>
      </c>
      <c r="F2477" t="inlineStr">
        <is>
          <t>Anna Schmidt</t>
        </is>
      </c>
      <c r="G2477" t="inlineStr">
        <is>
          <t>Italy</t>
        </is>
      </c>
      <c r="H2477" t="inlineStr">
        <is>
          <t>Web Store</t>
        </is>
      </c>
      <c r="I2477" t="n">
        <v>2</v>
      </c>
      <c r="J2477" s="3" t="n">
        <v>612.2</v>
      </c>
      <c r="K2477" s="3" t="n">
        <v>0</v>
      </c>
      <c r="L2477" s="3" t="n">
        <v>612.2</v>
      </c>
      <c r="M2477" s="3" t="n">
        <v>347.38</v>
      </c>
      <c r="N2477" s="3" t="n">
        <v>264.82</v>
      </c>
      <c r="O2477">
        <f>TEXT(A2477,"yyyy-mm")</f>
        <v/>
      </c>
    </row>
    <row r="2478">
      <c r="A2478" s="2" t="n">
        <v>45912</v>
      </c>
      <c r="B2478" t="n">
        <v>2025</v>
      </c>
      <c r="C2478" t="inlineStr">
        <is>
          <t>September</t>
        </is>
      </c>
      <c r="D2478" t="inlineStr">
        <is>
          <t>Smart Coffee Beans</t>
        </is>
      </c>
      <c r="E2478" t="inlineStr">
        <is>
          <t>Grocery</t>
        </is>
      </c>
      <c r="F2478" t="inlineStr">
        <is>
          <t>Maria Bianchi</t>
        </is>
      </c>
      <c r="G2478" t="inlineStr">
        <is>
          <t>France</t>
        </is>
      </c>
      <c r="H2478" t="inlineStr">
        <is>
          <t>Retail Store</t>
        </is>
      </c>
      <c r="I2478" t="n">
        <v>5</v>
      </c>
      <c r="J2478" s="3" t="n">
        <v>528.65</v>
      </c>
      <c r="K2478" s="3" t="n">
        <v>79.3</v>
      </c>
      <c r="L2478" s="3" t="n">
        <v>449.35</v>
      </c>
      <c r="M2478" s="3" t="n">
        <v>364.25</v>
      </c>
      <c r="N2478" s="3" t="n">
        <v>85.09999999999999</v>
      </c>
      <c r="O2478">
        <f>TEXT(A2478,"yyyy-mm")</f>
        <v/>
      </c>
    </row>
    <row r="2479">
      <c r="A2479" s="2" t="n">
        <v>45912</v>
      </c>
      <c r="B2479" t="n">
        <v>2025</v>
      </c>
      <c r="C2479" t="inlineStr">
        <is>
          <t>September</t>
        </is>
      </c>
      <c r="D2479" t="inlineStr">
        <is>
          <t>Deluxe Cookbook</t>
        </is>
      </c>
      <c r="E2479" t="inlineStr">
        <is>
          <t>Books</t>
        </is>
      </c>
      <c r="F2479" t="inlineStr">
        <is>
          <t>Anna Schmidt</t>
        </is>
      </c>
      <c r="G2479" t="inlineStr">
        <is>
          <t>Italy</t>
        </is>
      </c>
      <c r="H2479" t="inlineStr">
        <is>
          <t>Web Store</t>
        </is>
      </c>
      <c r="I2479" t="n">
        <v>2</v>
      </c>
      <c r="J2479" s="3" t="n">
        <v>268.98</v>
      </c>
      <c r="K2479" s="3" t="n">
        <v>26.9</v>
      </c>
      <c r="L2479" s="3" t="n">
        <v>242.08</v>
      </c>
      <c r="M2479" s="3" t="n">
        <v>170.54</v>
      </c>
      <c r="N2479" s="3" t="n">
        <v>71.54000000000001</v>
      </c>
      <c r="O2479">
        <f>TEXT(A2479,"yyyy-mm")</f>
        <v/>
      </c>
    </row>
    <row r="2480">
      <c r="A2480" s="2" t="n">
        <v>45912</v>
      </c>
      <c r="B2480" t="n">
        <v>2025</v>
      </c>
      <c r="C2480" t="inlineStr">
        <is>
          <t>September</t>
        </is>
      </c>
      <c r="D2480" t="inlineStr">
        <is>
          <t>Smart Tea Set</t>
        </is>
      </c>
      <c r="E2480" t="inlineStr">
        <is>
          <t>Grocery</t>
        </is>
      </c>
      <c r="F2480" t="inlineStr">
        <is>
          <t>Anna Schmidt</t>
        </is>
      </c>
      <c r="G2480" t="inlineStr">
        <is>
          <t>Italy</t>
        </is>
      </c>
      <c r="H2480" t="inlineStr">
        <is>
          <t>Web Store</t>
        </is>
      </c>
      <c r="I2480" t="n">
        <v>2</v>
      </c>
      <c r="J2480" s="3" t="n">
        <v>181.12</v>
      </c>
      <c r="K2480" s="3" t="n">
        <v>9.06</v>
      </c>
      <c r="L2480" s="3" t="n">
        <v>172.06</v>
      </c>
      <c r="M2480" s="3" t="n">
        <v>123.6</v>
      </c>
      <c r="N2480" s="3" t="n">
        <v>48.46</v>
      </c>
      <c r="O2480">
        <f>TEXT(A2480,"yyyy-mm")</f>
        <v/>
      </c>
    </row>
    <row r="2481">
      <c r="A2481" s="2" t="n">
        <v>45914</v>
      </c>
      <c r="B2481" t="n">
        <v>2025</v>
      </c>
      <c r="C2481" t="inlineStr">
        <is>
          <t>September</t>
        </is>
      </c>
      <c r="D2481" t="inlineStr">
        <is>
          <t>Ultra Rug</t>
        </is>
      </c>
      <c r="E2481" t="inlineStr">
        <is>
          <t>Home &amp; Garden</t>
        </is>
      </c>
      <c r="F2481" t="inlineStr">
        <is>
          <t>Maria Nowak</t>
        </is>
      </c>
      <c r="G2481" t="inlineStr">
        <is>
          <t>Poland</t>
        </is>
      </c>
      <c r="H2481" t="inlineStr">
        <is>
          <t>Mobile App</t>
        </is>
      </c>
      <c r="I2481" t="n">
        <v>2</v>
      </c>
      <c r="J2481" s="3" t="n">
        <v>100.74</v>
      </c>
      <c r="K2481" s="3" t="n">
        <v>0</v>
      </c>
      <c r="L2481" s="3" t="n">
        <v>100.74</v>
      </c>
      <c r="M2481" s="3" t="n">
        <v>65.81999999999999</v>
      </c>
      <c r="N2481" s="3" t="n">
        <v>34.92</v>
      </c>
      <c r="O2481">
        <f>TEXT(A2481,"yyyy-mm")</f>
        <v/>
      </c>
    </row>
    <row r="2482">
      <c r="A2482" s="2" t="n">
        <v>45914</v>
      </c>
      <c r="B2482" t="n">
        <v>2025</v>
      </c>
      <c r="C2482" t="inlineStr">
        <is>
          <t>September</t>
        </is>
      </c>
      <c r="D2482" t="inlineStr">
        <is>
          <t>Portable Bike Helmet</t>
        </is>
      </c>
      <c r="E2482" t="inlineStr">
        <is>
          <t>Sports &amp; Outdoors</t>
        </is>
      </c>
      <c r="F2482" t="inlineStr">
        <is>
          <t>Maria Nowak</t>
        </is>
      </c>
      <c r="G2482" t="inlineStr">
        <is>
          <t>Poland</t>
        </is>
      </c>
      <c r="H2482" t="inlineStr">
        <is>
          <t>Mobile App</t>
        </is>
      </c>
      <c r="I2482" t="n">
        <v>2</v>
      </c>
      <c r="J2482" s="3" t="n">
        <v>639.36</v>
      </c>
      <c r="K2482" s="3" t="n">
        <v>127.87</v>
      </c>
      <c r="L2482" s="3" t="n">
        <v>511.49</v>
      </c>
      <c r="M2482" s="3" t="n">
        <v>330.74</v>
      </c>
      <c r="N2482" s="3" t="n">
        <v>180.75</v>
      </c>
      <c r="O2482">
        <f>TEXT(A2482,"yyyy-mm")</f>
        <v/>
      </c>
    </row>
    <row r="2483">
      <c r="A2483" s="2" t="n">
        <v>45914</v>
      </c>
      <c r="B2483" t="n">
        <v>2025</v>
      </c>
      <c r="C2483" t="inlineStr">
        <is>
          <t>September</t>
        </is>
      </c>
      <c r="D2483" t="inlineStr">
        <is>
          <t>Eco Tent</t>
        </is>
      </c>
      <c r="E2483" t="inlineStr">
        <is>
          <t>Sports &amp; Outdoors</t>
        </is>
      </c>
      <c r="F2483" t="inlineStr">
        <is>
          <t>Maria Nowak</t>
        </is>
      </c>
      <c r="G2483" t="inlineStr">
        <is>
          <t>Poland</t>
        </is>
      </c>
      <c r="H2483" t="inlineStr">
        <is>
          <t>Mobile App</t>
        </is>
      </c>
      <c r="I2483" t="n">
        <v>3</v>
      </c>
      <c r="J2483" s="3" t="n">
        <v>200.25</v>
      </c>
      <c r="K2483" s="3" t="n">
        <v>0</v>
      </c>
      <c r="L2483" s="3" t="n">
        <v>200.25</v>
      </c>
      <c r="M2483" s="3" t="n">
        <v>131.55</v>
      </c>
      <c r="N2483" s="3" t="n">
        <v>68.7</v>
      </c>
      <c r="O2483">
        <f>TEXT(A2483,"yyyy-mm")</f>
        <v/>
      </c>
    </row>
    <row r="2484">
      <c r="A2484" s="2" t="n">
        <v>45915</v>
      </c>
      <c r="B2484" t="n">
        <v>2025</v>
      </c>
      <c r="C2484" t="inlineStr">
        <is>
          <t>September</t>
        </is>
      </c>
      <c r="D2484" t="inlineStr">
        <is>
          <t>Essential Notebook</t>
        </is>
      </c>
      <c r="E2484" t="inlineStr">
        <is>
          <t>Books</t>
        </is>
      </c>
      <c r="F2484" t="inlineStr">
        <is>
          <t>Daniel Rossi</t>
        </is>
      </c>
      <c r="G2484" t="inlineStr">
        <is>
          <t>Poland</t>
        </is>
      </c>
      <c r="H2484" t="inlineStr">
        <is>
          <t>Marketplace</t>
        </is>
      </c>
      <c r="I2484" t="n">
        <v>1</v>
      </c>
      <c r="J2484" s="3" t="n">
        <v>122.38</v>
      </c>
      <c r="K2484" s="3" t="n">
        <v>0</v>
      </c>
      <c r="L2484" s="3" t="n">
        <v>122.38</v>
      </c>
      <c r="M2484" s="3" t="n">
        <v>79.09999999999999</v>
      </c>
      <c r="N2484" s="3" t="n">
        <v>43.28</v>
      </c>
      <c r="O2484">
        <f>TEXT(A2484,"yyyy-mm")</f>
        <v/>
      </c>
    </row>
    <row r="2485">
      <c r="A2485" s="2" t="n">
        <v>45915</v>
      </c>
      <c r="B2485" t="n">
        <v>2025</v>
      </c>
      <c r="C2485" t="inlineStr">
        <is>
          <t>September</t>
        </is>
      </c>
      <c r="D2485" t="inlineStr">
        <is>
          <t>Compact Sunscreen</t>
        </is>
      </c>
      <c r="E2485" t="inlineStr">
        <is>
          <t>Beauty &amp; Health</t>
        </is>
      </c>
      <c r="F2485" t="inlineStr">
        <is>
          <t>Daniel Rossi</t>
        </is>
      </c>
      <c r="G2485" t="inlineStr">
        <is>
          <t>Poland</t>
        </is>
      </c>
      <c r="H2485" t="inlineStr">
        <is>
          <t>Marketplace</t>
        </is>
      </c>
      <c r="I2485" t="n">
        <v>2</v>
      </c>
      <c r="J2485" s="3" t="n">
        <v>616.84</v>
      </c>
      <c r="K2485" s="3" t="n">
        <v>0</v>
      </c>
      <c r="L2485" s="3" t="n">
        <v>616.84</v>
      </c>
      <c r="M2485" s="3" t="n">
        <v>355.32</v>
      </c>
      <c r="N2485" s="3" t="n">
        <v>261.52</v>
      </c>
      <c r="O2485">
        <f>TEXT(A2485,"yyyy-mm")</f>
        <v/>
      </c>
    </row>
    <row r="2486">
      <c r="A2486" s="2" t="n">
        <v>45915</v>
      </c>
      <c r="B2486" t="n">
        <v>2025</v>
      </c>
      <c r="C2486" t="inlineStr">
        <is>
          <t>September</t>
        </is>
      </c>
      <c r="D2486" t="inlineStr">
        <is>
          <t>Portable Puzzle</t>
        </is>
      </c>
      <c r="E2486" t="inlineStr">
        <is>
          <t>Toys &amp; Games</t>
        </is>
      </c>
      <c r="F2486" t="inlineStr">
        <is>
          <t>Daniel Rossi</t>
        </is>
      </c>
      <c r="G2486" t="inlineStr">
        <is>
          <t>Poland</t>
        </is>
      </c>
      <c r="H2486" t="inlineStr">
        <is>
          <t>Marketplace</t>
        </is>
      </c>
      <c r="I2486" t="n">
        <v>1</v>
      </c>
      <c r="J2486" s="3" t="n">
        <v>108.08</v>
      </c>
      <c r="K2486" s="3" t="n">
        <v>16.21</v>
      </c>
      <c r="L2486" s="3" t="n">
        <v>91.87</v>
      </c>
      <c r="M2486" s="3" t="n">
        <v>58.8</v>
      </c>
      <c r="N2486" s="3" t="n">
        <v>33.07</v>
      </c>
      <c r="O2486">
        <f>TEXT(A2486,"yyyy-mm")</f>
        <v/>
      </c>
    </row>
    <row r="2487">
      <c r="A2487" s="2" t="n">
        <v>45915</v>
      </c>
      <c r="B2487" t="n">
        <v>2025</v>
      </c>
      <c r="C2487" t="inlineStr">
        <is>
          <t>September</t>
        </is>
      </c>
      <c r="D2487" t="inlineStr">
        <is>
          <t>Deluxe Headphones</t>
        </is>
      </c>
      <c r="E2487" t="inlineStr">
        <is>
          <t>Electronics</t>
        </is>
      </c>
      <c r="F2487" t="inlineStr">
        <is>
          <t>John Muller</t>
        </is>
      </c>
      <c r="G2487" t="inlineStr">
        <is>
          <t>France</t>
        </is>
      </c>
      <c r="H2487" t="inlineStr">
        <is>
          <t>Web Store</t>
        </is>
      </c>
      <c r="I2487" t="n">
        <v>2</v>
      </c>
      <c r="J2487" s="3" t="n">
        <v>147.42</v>
      </c>
      <c r="K2487" s="3" t="n">
        <v>0</v>
      </c>
      <c r="L2487" s="3" t="n">
        <v>147.42</v>
      </c>
      <c r="M2487" s="3" t="n">
        <v>105</v>
      </c>
      <c r="N2487" s="3" t="n">
        <v>42.42</v>
      </c>
      <c r="O2487">
        <f>TEXT(A2487,"yyyy-mm")</f>
        <v/>
      </c>
    </row>
    <row r="2488">
      <c r="A2488" s="2" t="n">
        <v>45915</v>
      </c>
      <c r="B2488" t="n">
        <v>2025</v>
      </c>
      <c r="C2488" t="inlineStr">
        <is>
          <t>September</t>
        </is>
      </c>
      <c r="D2488" t="inlineStr">
        <is>
          <t>Portable Toolset</t>
        </is>
      </c>
      <c r="E2488" t="inlineStr">
        <is>
          <t>Home &amp; Garden</t>
        </is>
      </c>
      <c r="F2488" t="inlineStr">
        <is>
          <t>Emma Rossi</t>
        </is>
      </c>
      <c r="G2488" t="inlineStr">
        <is>
          <t>France</t>
        </is>
      </c>
      <c r="H2488" t="inlineStr">
        <is>
          <t>Mobile App</t>
        </is>
      </c>
      <c r="I2488" t="n">
        <v>1</v>
      </c>
      <c r="J2488" s="3" t="n">
        <v>141.67</v>
      </c>
      <c r="K2488" s="3" t="n">
        <v>14.17</v>
      </c>
      <c r="L2488" s="3" t="n">
        <v>127.5</v>
      </c>
      <c r="M2488" s="3" t="n">
        <v>92.84999999999999</v>
      </c>
      <c r="N2488" s="3" t="n">
        <v>34.65</v>
      </c>
      <c r="O2488">
        <f>TEXT(A2488,"yyyy-mm")</f>
        <v/>
      </c>
    </row>
    <row r="2489">
      <c r="A2489" s="2" t="n">
        <v>45915</v>
      </c>
      <c r="B2489" t="n">
        <v>2025</v>
      </c>
      <c r="C2489" t="inlineStr">
        <is>
          <t>September</t>
        </is>
      </c>
      <c r="D2489" t="inlineStr">
        <is>
          <t>Premium Cookbook</t>
        </is>
      </c>
      <c r="E2489" t="inlineStr">
        <is>
          <t>Books</t>
        </is>
      </c>
      <c r="F2489" t="inlineStr">
        <is>
          <t>Emma Rossi</t>
        </is>
      </c>
      <c r="G2489" t="inlineStr">
        <is>
          <t>France</t>
        </is>
      </c>
      <c r="H2489" t="inlineStr">
        <is>
          <t>Mobile App</t>
        </is>
      </c>
      <c r="I2489" t="n">
        <v>4</v>
      </c>
      <c r="J2489" s="3" t="n">
        <v>523.64</v>
      </c>
      <c r="K2489" s="3" t="n">
        <v>0</v>
      </c>
      <c r="L2489" s="3" t="n">
        <v>523.64</v>
      </c>
      <c r="M2489" s="3" t="n">
        <v>379.92</v>
      </c>
      <c r="N2489" s="3" t="n">
        <v>143.72</v>
      </c>
      <c r="O2489">
        <f>TEXT(A2489,"yyyy-mm")</f>
        <v/>
      </c>
    </row>
    <row r="2490">
      <c r="A2490" s="2" t="n">
        <v>45916</v>
      </c>
      <c r="B2490" t="n">
        <v>2025</v>
      </c>
      <c r="C2490" t="inlineStr">
        <is>
          <t>September</t>
        </is>
      </c>
      <c r="D2490" t="inlineStr">
        <is>
          <t>Classic Coffee Beans</t>
        </is>
      </c>
      <c r="E2490" t="inlineStr">
        <is>
          <t>Grocery</t>
        </is>
      </c>
      <c r="F2490" t="inlineStr">
        <is>
          <t>Michael Schmidt</t>
        </is>
      </c>
      <c r="G2490" t="inlineStr">
        <is>
          <t>Netherlands</t>
        </is>
      </c>
      <c r="H2490" t="inlineStr">
        <is>
          <t>Web Store</t>
        </is>
      </c>
      <c r="I2490" t="n">
        <v>2</v>
      </c>
      <c r="J2490" s="3" t="n">
        <v>632.28</v>
      </c>
      <c r="K2490" s="3" t="n">
        <v>0</v>
      </c>
      <c r="L2490" s="3" t="n">
        <v>632.28</v>
      </c>
      <c r="M2490" s="3" t="n">
        <v>389.52</v>
      </c>
      <c r="N2490" s="3" t="n">
        <v>242.76</v>
      </c>
      <c r="O2490">
        <f>TEXT(A2490,"yyyy-mm")</f>
        <v/>
      </c>
    </row>
    <row r="2491">
      <c r="A2491" s="2" t="n">
        <v>45916</v>
      </c>
      <c r="B2491" t="n">
        <v>2025</v>
      </c>
      <c r="C2491" t="inlineStr">
        <is>
          <t>September</t>
        </is>
      </c>
      <c r="D2491" t="inlineStr">
        <is>
          <t>Portable Toolset</t>
        </is>
      </c>
      <c r="E2491" t="inlineStr">
        <is>
          <t>Home &amp; Garden</t>
        </is>
      </c>
      <c r="F2491" t="inlineStr">
        <is>
          <t>Michael Schmidt</t>
        </is>
      </c>
      <c r="G2491" t="inlineStr">
        <is>
          <t>Netherlands</t>
        </is>
      </c>
      <c r="H2491" t="inlineStr">
        <is>
          <t>Web Store</t>
        </is>
      </c>
      <c r="I2491" t="n">
        <v>1</v>
      </c>
      <c r="J2491" s="3" t="n">
        <v>91.08</v>
      </c>
      <c r="K2491" s="3" t="n">
        <v>0</v>
      </c>
      <c r="L2491" s="3" t="n">
        <v>91.08</v>
      </c>
      <c r="M2491" s="3" t="n">
        <v>50.54</v>
      </c>
      <c r="N2491" s="3" t="n">
        <v>40.54</v>
      </c>
      <c r="O2491">
        <f>TEXT(A2491,"yyyy-mm")</f>
        <v/>
      </c>
    </row>
    <row r="2492">
      <c r="A2492" s="2" t="n">
        <v>45916</v>
      </c>
      <c r="B2492" t="n">
        <v>2025</v>
      </c>
      <c r="C2492" t="inlineStr">
        <is>
          <t>September</t>
        </is>
      </c>
      <c r="D2492" t="inlineStr">
        <is>
          <t>Premium Rug</t>
        </is>
      </c>
      <c r="E2492" t="inlineStr">
        <is>
          <t>Home &amp; Garden</t>
        </is>
      </c>
      <c r="F2492" t="inlineStr">
        <is>
          <t>Michael Schmidt</t>
        </is>
      </c>
      <c r="G2492" t="inlineStr">
        <is>
          <t>Netherlands</t>
        </is>
      </c>
      <c r="H2492" t="inlineStr">
        <is>
          <t>Web Store</t>
        </is>
      </c>
      <c r="I2492" t="n">
        <v>3</v>
      </c>
      <c r="J2492" s="3" t="n">
        <v>569.52</v>
      </c>
      <c r="K2492" s="3" t="n">
        <v>56.95</v>
      </c>
      <c r="L2492" s="3" t="n">
        <v>512.5700000000001</v>
      </c>
      <c r="M2492" s="3" t="n">
        <v>333.57</v>
      </c>
      <c r="N2492" s="3" t="n">
        <v>179</v>
      </c>
      <c r="O2492">
        <f>TEXT(A2492,"yyyy-mm")</f>
        <v/>
      </c>
    </row>
    <row r="2493">
      <c r="A2493" s="2" t="n">
        <v>45917</v>
      </c>
      <c r="B2493" t="n">
        <v>2025</v>
      </c>
      <c r="C2493" t="inlineStr">
        <is>
          <t>September</t>
        </is>
      </c>
      <c r="D2493" t="inlineStr">
        <is>
          <t>Deluxe Toothbrush</t>
        </is>
      </c>
      <c r="E2493" t="inlineStr">
        <is>
          <t>Beauty &amp; Health</t>
        </is>
      </c>
      <c r="F2493" t="inlineStr">
        <is>
          <t>Olivia Wilson</t>
        </is>
      </c>
      <c r="G2493" t="inlineStr">
        <is>
          <t>France</t>
        </is>
      </c>
      <c r="H2493" t="inlineStr">
        <is>
          <t>Marketplace</t>
        </is>
      </c>
      <c r="I2493" t="n">
        <v>1</v>
      </c>
      <c r="J2493" s="3" t="n">
        <v>324.23</v>
      </c>
      <c r="K2493" s="3" t="n">
        <v>16.21</v>
      </c>
      <c r="L2493" s="3" t="n">
        <v>308.02</v>
      </c>
      <c r="M2493" s="3" t="n">
        <v>174.57</v>
      </c>
      <c r="N2493" s="3" t="n">
        <v>133.45</v>
      </c>
      <c r="O2493">
        <f>TEXT(A2493,"yyyy-mm")</f>
        <v/>
      </c>
    </row>
    <row r="2494">
      <c r="A2494" s="2" t="n">
        <v>45917</v>
      </c>
      <c r="B2494" t="n">
        <v>2025</v>
      </c>
      <c r="C2494" t="inlineStr">
        <is>
          <t>September</t>
        </is>
      </c>
      <c r="D2494" t="inlineStr">
        <is>
          <t>Ultra Toolset</t>
        </is>
      </c>
      <c r="E2494" t="inlineStr">
        <is>
          <t>Home &amp; Garden</t>
        </is>
      </c>
      <c r="F2494" t="inlineStr">
        <is>
          <t>Olivia Wilson</t>
        </is>
      </c>
      <c r="G2494" t="inlineStr">
        <is>
          <t>France</t>
        </is>
      </c>
      <c r="H2494" t="inlineStr">
        <is>
          <t>Marketplace</t>
        </is>
      </c>
      <c r="I2494" t="n">
        <v>3</v>
      </c>
      <c r="J2494" s="3" t="n">
        <v>1087.71</v>
      </c>
      <c r="K2494" s="3" t="n">
        <v>0</v>
      </c>
      <c r="L2494" s="3" t="n">
        <v>1087.71</v>
      </c>
      <c r="M2494" s="3" t="n">
        <v>571.2</v>
      </c>
      <c r="N2494" s="3" t="n">
        <v>516.51</v>
      </c>
      <c r="O2494">
        <f>TEXT(A2494,"yyyy-mm")</f>
        <v/>
      </c>
    </row>
    <row r="2495">
      <c r="A2495" s="2" t="n">
        <v>45918</v>
      </c>
      <c r="B2495" t="n">
        <v>2025</v>
      </c>
      <c r="C2495" t="inlineStr">
        <is>
          <t>September</t>
        </is>
      </c>
      <c r="D2495" t="inlineStr">
        <is>
          <t>Smart Puzzle</t>
        </is>
      </c>
      <c r="E2495" t="inlineStr">
        <is>
          <t>Toys &amp; Games</t>
        </is>
      </c>
      <c r="F2495" t="inlineStr">
        <is>
          <t>Emily Schmidt</t>
        </is>
      </c>
      <c r="G2495" t="inlineStr">
        <is>
          <t>Netherlands</t>
        </is>
      </c>
      <c r="H2495" t="inlineStr">
        <is>
          <t>Mobile App</t>
        </is>
      </c>
      <c r="I2495" t="n">
        <v>1</v>
      </c>
      <c r="J2495" s="3" t="n">
        <v>258.75</v>
      </c>
      <c r="K2495" s="3" t="n">
        <v>51.75</v>
      </c>
      <c r="L2495" s="3" t="n">
        <v>207</v>
      </c>
      <c r="M2495" s="3" t="n">
        <v>192.76</v>
      </c>
      <c r="N2495" s="3" t="n">
        <v>14.24</v>
      </c>
      <c r="O2495">
        <f>TEXT(A2495,"yyyy-mm")</f>
        <v/>
      </c>
    </row>
    <row r="2496">
      <c r="A2496" s="2" t="n">
        <v>45918</v>
      </c>
      <c r="B2496" t="n">
        <v>2025</v>
      </c>
      <c r="C2496" t="inlineStr">
        <is>
          <t>September</t>
        </is>
      </c>
      <c r="D2496" t="inlineStr">
        <is>
          <t>Eco Planter</t>
        </is>
      </c>
      <c r="E2496" t="inlineStr">
        <is>
          <t>Home &amp; Garden</t>
        </is>
      </c>
      <c r="F2496" t="inlineStr">
        <is>
          <t>Emily Schmidt</t>
        </is>
      </c>
      <c r="G2496" t="inlineStr">
        <is>
          <t>Netherlands</t>
        </is>
      </c>
      <c r="H2496" t="inlineStr">
        <is>
          <t>Mobile App</t>
        </is>
      </c>
      <c r="I2496" t="n">
        <v>5</v>
      </c>
      <c r="J2496" s="3" t="n">
        <v>914.85</v>
      </c>
      <c r="K2496" s="3" t="n">
        <v>0</v>
      </c>
      <c r="L2496" s="3" t="n">
        <v>914.85</v>
      </c>
      <c r="M2496" s="3" t="n">
        <v>562.05</v>
      </c>
      <c r="N2496" s="3" t="n">
        <v>352.8</v>
      </c>
      <c r="O2496">
        <f>TEXT(A2496,"yyyy-mm")</f>
        <v/>
      </c>
    </row>
    <row r="2497">
      <c r="A2497" s="2" t="n">
        <v>45918</v>
      </c>
      <c r="B2497" t="n">
        <v>2025</v>
      </c>
      <c r="C2497" t="inlineStr">
        <is>
          <t>September</t>
        </is>
      </c>
      <c r="D2497" t="inlineStr">
        <is>
          <t>Premium Water Bottle</t>
        </is>
      </c>
      <c r="E2497" t="inlineStr">
        <is>
          <t>Sports &amp; Outdoors</t>
        </is>
      </c>
      <c r="F2497" t="inlineStr">
        <is>
          <t>Emily Schmidt</t>
        </is>
      </c>
      <c r="G2497" t="inlineStr">
        <is>
          <t>Netherlands</t>
        </is>
      </c>
      <c r="H2497" t="inlineStr">
        <is>
          <t>Mobile App</t>
        </is>
      </c>
      <c r="I2497" t="n">
        <v>1</v>
      </c>
      <c r="J2497" s="3" t="n">
        <v>295.54</v>
      </c>
      <c r="K2497" s="3" t="n">
        <v>0</v>
      </c>
      <c r="L2497" s="3" t="n">
        <v>295.54</v>
      </c>
      <c r="M2497" s="3" t="n">
        <v>181.16</v>
      </c>
      <c r="N2497" s="3" t="n">
        <v>114.38</v>
      </c>
      <c r="O2497">
        <f>TEXT(A2497,"yyyy-mm")</f>
        <v/>
      </c>
    </row>
    <row r="2498">
      <c r="A2498" s="2" t="n">
        <v>45919</v>
      </c>
      <c r="B2498" t="n">
        <v>2025</v>
      </c>
      <c r="C2498" t="inlineStr">
        <is>
          <t>September</t>
        </is>
      </c>
      <c r="D2498" t="inlineStr">
        <is>
          <t>Eco Tent</t>
        </is>
      </c>
      <c r="E2498" t="inlineStr">
        <is>
          <t>Sports &amp; Outdoors</t>
        </is>
      </c>
      <c r="F2498" t="inlineStr">
        <is>
          <t>Robert Garcia</t>
        </is>
      </c>
      <c r="G2498" t="inlineStr">
        <is>
          <t>United Kingdom</t>
        </is>
      </c>
      <c r="H2498" t="inlineStr">
        <is>
          <t>Marketplace</t>
        </is>
      </c>
      <c r="I2498" t="n">
        <v>2</v>
      </c>
      <c r="J2498" s="3" t="n">
        <v>140.16</v>
      </c>
      <c r="K2498" s="3" t="n">
        <v>0</v>
      </c>
      <c r="L2498" s="3" t="n">
        <v>140.16</v>
      </c>
      <c r="M2498" s="3" t="n">
        <v>87.7</v>
      </c>
      <c r="N2498" s="3" t="n">
        <v>52.46</v>
      </c>
      <c r="O2498">
        <f>TEXT(A2498,"yyyy-mm")</f>
        <v/>
      </c>
    </row>
    <row r="2499">
      <c r="A2499" s="2" t="n">
        <v>45919</v>
      </c>
      <c r="B2499" t="n">
        <v>2025</v>
      </c>
      <c r="C2499" t="inlineStr">
        <is>
          <t>September</t>
        </is>
      </c>
      <c r="D2499" t="inlineStr">
        <is>
          <t>Premium Cookbook</t>
        </is>
      </c>
      <c r="E2499" t="inlineStr">
        <is>
          <t>Books</t>
        </is>
      </c>
      <c r="F2499" t="inlineStr">
        <is>
          <t>Robert Garcia</t>
        </is>
      </c>
      <c r="G2499" t="inlineStr">
        <is>
          <t>United Kingdom</t>
        </is>
      </c>
      <c r="H2499" t="inlineStr">
        <is>
          <t>Marketplace</t>
        </is>
      </c>
      <c r="I2499" t="n">
        <v>1</v>
      </c>
      <c r="J2499" s="3" t="n">
        <v>133.49</v>
      </c>
      <c r="K2499" s="3" t="n">
        <v>13.35</v>
      </c>
      <c r="L2499" s="3" t="n">
        <v>120.14</v>
      </c>
      <c r="M2499" s="3" t="n">
        <v>94.98</v>
      </c>
      <c r="N2499" s="3" t="n">
        <v>25.16</v>
      </c>
      <c r="O2499">
        <f>TEXT(A2499,"yyyy-mm")</f>
        <v/>
      </c>
    </row>
    <row r="2500">
      <c r="A2500" s="2" t="n">
        <v>45919</v>
      </c>
      <c r="B2500" t="n">
        <v>2025</v>
      </c>
      <c r="C2500" t="inlineStr">
        <is>
          <t>September</t>
        </is>
      </c>
      <c r="D2500" t="inlineStr">
        <is>
          <t>Smart Charger</t>
        </is>
      </c>
      <c r="E2500" t="inlineStr">
        <is>
          <t>Electronics</t>
        </is>
      </c>
      <c r="F2500" t="inlineStr">
        <is>
          <t>Robert Garcia</t>
        </is>
      </c>
      <c r="G2500" t="inlineStr">
        <is>
          <t>United Kingdom</t>
        </is>
      </c>
      <c r="H2500" t="inlineStr">
        <is>
          <t>Marketplace</t>
        </is>
      </c>
      <c r="I2500" t="n">
        <v>1</v>
      </c>
      <c r="J2500" s="3" t="n">
        <v>39.84</v>
      </c>
      <c r="K2500" s="3" t="n">
        <v>7.97</v>
      </c>
      <c r="L2500" s="3" t="n">
        <v>31.87</v>
      </c>
      <c r="M2500" s="3" t="n">
        <v>27.64</v>
      </c>
      <c r="N2500" s="3" t="n">
        <v>4.23</v>
      </c>
      <c r="O2500">
        <f>TEXT(A2500,"yyyy-mm")</f>
        <v/>
      </c>
    </row>
    <row r="2501">
      <c r="A2501" s="2" t="n">
        <v>45919</v>
      </c>
      <c r="B2501" t="n">
        <v>2025</v>
      </c>
      <c r="C2501" t="inlineStr">
        <is>
          <t>September</t>
        </is>
      </c>
      <c r="D2501" t="inlineStr">
        <is>
          <t>Portable Bike Helmet</t>
        </is>
      </c>
      <c r="E2501" t="inlineStr">
        <is>
          <t>Sports &amp; Outdoors</t>
        </is>
      </c>
      <c r="F2501" t="inlineStr">
        <is>
          <t>Maria Dubois</t>
        </is>
      </c>
      <c r="G2501" t="inlineStr">
        <is>
          <t>United Kingdom</t>
        </is>
      </c>
      <c r="H2501" t="inlineStr">
        <is>
          <t>Retail Store</t>
        </is>
      </c>
      <c r="I2501" t="n">
        <v>3</v>
      </c>
      <c r="J2501" s="3" t="n">
        <v>943.17</v>
      </c>
      <c r="K2501" s="3" t="n">
        <v>0</v>
      </c>
      <c r="L2501" s="3" t="n">
        <v>943.17</v>
      </c>
      <c r="M2501" s="3" t="n">
        <v>496.11</v>
      </c>
      <c r="N2501" s="3" t="n">
        <v>447.06</v>
      </c>
      <c r="O2501">
        <f>TEXT(A2501,"yyyy-mm")</f>
        <v/>
      </c>
    </row>
    <row r="2502">
      <c r="A2502" s="2" t="n">
        <v>45919</v>
      </c>
      <c r="B2502" t="n">
        <v>2025</v>
      </c>
      <c r="C2502" t="inlineStr">
        <is>
          <t>September</t>
        </is>
      </c>
      <c r="D2502" t="inlineStr">
        <is>
          <t>Compact Jacket</t>
        </is>
      </c>
      <c r="E2502" t="inlineStr">
        <is>
          <t>Clothing</t>
        </is>
      </c>
      <c r="F2502" t="inlineStr">
        <is>
          <t>Anna Bianchi</t>
        </is>
      </c>
      <c r="G2502" t="inlineStr">
        <is>
          <t>Italy</t>
        </is>
      </c>
      <c r="H2502" t="inlineStr">
        <is>
          <t>Retail Store</t>
        </is>
      </c>
      <c r="I2502" t="n">
        <v>5</v>
      </c>
      <c r="J2502" s="3" t="n">
        <v>189.15</v>
      </c>
      <c r="K2502" s="3" t="n">
        <v>9.460000000000001</v>
      </c>
      <c r="L2502" s="3" t="n">
        <v>179.69</v>
      </c>
      <c r="M2502" s="3" t="n">
        <v>102</v>
      </c>
      <c r="N2502" s="3" t="n">
        <v>77.69</v>
      </c>
      <c r="O2502">
        <f>TEXT(A2502,"yyyy-mm")</f>
        <v/>
      </c>
    </row>
    <row r="2503">
      <c r="A2503" s="2" t="n">
        <v>45919</v>
      </c>
      <c r="B2503" t="n">
        <v>2025</v>
      </c>
      <c r="C2503" t="inlineStr">
        <is>
          <t>September</t>
        </is>
      </c>
      <c r="D2503" t="inlineStr">
        <is>
          <t>Classic Tent</t>
        </is>
      </c>
      <c r="E2503" t="inlineStr">
        <is>
          <t>Sports &amp; Outdoors</t>
        </is>
      </c>
      <c r="F2503" t="inlineStr">
        <is>
          <t>Anna Bianchi</t>
        </is>
      </c>
      <c r="G2503" t="inlineStr">
        <is>
          <t>Italy</t>
        </is>
      </c>
      <c r="H2503" t="inlineStr">
        <is>
          <t>Retail Store</t>
        </is>
      </c>
      <c r="I2503" t="n">
        <v>3</v>
      </c>
      <c r="J2503" s="3" t="n">
        <v>634.11</v>
      </c>
      <c r="K2503" s="3" t="n">
        <v>31.71</v>
      </c>
      <c r="L2503" s="3" t="n">
        <v>602.4</v>
      </c>
      <c r="M2503" s="3" t="n">
        <v>354.06</v>
      </c>
      <c r="N2503" s="3" t="n">
        <v>248.34</v>
      </c>
      <c r="O2503">
        <f>TEXT(A2503,"yyyy-mm")</f>
        <v/>
      </c>
    </row>
    <row r="2504">
      <c r="A2504" s="2" t="n">
        <v>45919</v>
      </c>
      <c r="B2504" t="n">
        <v>2025</v>
      </c>
      <c r="C2504" t="inlineStr">
        <is>
          <t>September</t>
        </is>
      </c>
      <c r="D2504" t="inlineStr">
        <is>
          <t>Eco Biography</t>
        </is>
      </c>
      <c r="E2504" t="inlineStr">
        <is>
          <t>Books</t>
        </is>
      </c>
      <c r="F2504" t="inlineStr">
        <is>
          <t>John Dubois</t>
        </is>
      </c>
      <c r="G2504" t="inlineStr">
        <is>
          <t>Netherlands</t>
        </is>
      </c>
      <c r="H2504" t="inlineStr">
        <is>
          <t>Retail Store</t>
        </is>
      </c>
      <c r="I2504" t="n">
        <v>4</v>
      </c>
      <c r="J2504" s="3" t="n">
        <v>472.68</v>
      </c>
      <c r="K2504" s="3" t="n">
        <v>0</v>
      </c>
      <c r="L2504" s="3" t="n">
        <v>472.68</v>
      </c>
      <c r="M2504" s="3" t="n">
        <v>284.08</v>
      </c>
      <c r="N2504" s="3" t="n">
        <v>188.6</v>
      </c>
      <c r="O2504">
        <f>TEXT(A2504,"yyyy-mm")</f>
        <v/>
      </c>
    </row>
    <row r="2505">
      <c r="A2505" s="2" t="n">
        <v>45919</v>
      </c>
      <c r="B2505" t="n">
        <v>2025</v>
      </c>
      <c r="C2505" t="inlineStr">
        <is>
          <t>September</t>
        </is>
      </c>
      <c r="D2505" t="inlineStr">
        <is>
          <t>Eco Tent</t>
        </is>
      </c>
      <c r="E2505" t="inlineStr">
        <is>
          <t>Sports &amp; Outdoors</t>
        </is>
      </c>
      <c r="F2505" t="inlineStr">
        <is>
          <t>Anna Bianchi</t>
        </is>
      </c>
      <c r="G2505" t="inlineStr">
        <is>
          <t>Italy</t>
        </is>
      </c>
      <c r="H2505" t="inlineStr">
        <is>
          <t>Retail Store</t>
        </is>
      </c>
      <c r="I2505" t="n">
        <v>5</v>
      </c>
      <c r="J2505" s="3" t="n">
        <v>1268.2</v>
      </c>
      <c r="K2505" s="3" t="n">
        <v>190.23</v>
      </c>
      <c r="L2505" s="3" t="n">
        <v>1077.97</v>
      </c>
      <c r="M2505" s="3" t="n">
        <v>675.15</v>
      </c>
      <c r="N2505" s="3" t="n">
        <v>402.82</v>
      </c>
      <c r="O2505">
        <f>TEXT(A2505,"yyyy-mm")</f>
        <v/>
      </c>
    </row>
    <row r="2506">
      <c r="A2506" s="2" t="n">
        <v>45920</v>
      </c>
      <c r="B2506" t="n">
        <v>2025</v>
      </c>
      <c r="C2506" t="inlineStr">
        <is>
          <t>September</t>
        </is>
      </c>
      <c r="D2506" t="inlineStr">
        <is>
          <t>Smart Drone</t>
        </is>
      </c>
      <c r="E2506" t="inlineStr">
        <is>
          <t>Toys &amp; Games</t>
        </is>
      </c>
      <c r="F2506" t="inlineStr">
        <is>
          <t>Clara Moreau</t>
        </is>
      </c>
      <c r="G2506" t="inlineStr">
        <is>
          <t>Spain</t>
        </is>
      </c>
      <c r="H2506" t="inlineStr">
        <is>
          <t>Mobile App</t>
        </is>
      </c>
      <c r="I2506" t="n">
        <v>2</v>
      </c>
      <c r="J2506" s="3" t="n">
        <v>424.38</v>
      </c>
      <c r="K2506" s="3" t="n">
        <v>21.22</v>
      </c>
      <c r="L2506" s="3" t="n">
        <v>403.16</v>
      </c>
      <c r="M2506" s="3" t="n">
        <v>253.9</v>
      </c>
      <c r="N2506" s="3" t="n">
        <v>149.26</v>
      </c>
      <c r="O2506">
        <f>TEXT(A2506,"yyyy-mm")</f>
        <v/>
      </c>
    </row>
    <row r="2507">
      <c r="A2507" s="2" t="n">
        <v>45920</v>
      </c>
      <c r="B2507" t="n">
        <v>2025</v>
      </c>
      <c r="C2507" t="inlineStr">
        <is>
          <t>September</t>
        </is>
      </c>
      <c r="D2507" t="inlineStr">
        <is>
          <t>Deluxe Cookbook</t>
        </is>
      </c>
      <c r="E2507" t="inlineStr">
        <is>
          <t>Books</t>
        </is>
      </c>
      <c r="F2507" t="inlineStr">
        <is>
          <t>Clara Muller</t>
        </is>
      </c>
      <c r="G2507" t="inlineStr">
        <is>
          <t>Italy</t>
        </is>
      </c>
      <c r="H2507" t="inlineStr">
        <is>
          <t>Marketplace</t>
        </is>
      </c>
      <c r="I2507" t="n">
        <v>2</v>
      </c>
      <c r="J2507" s="3" t="n">
        <v>275.88</v>
      </c>
      <c r="K2507" s="3" t="n">
        <v>0</v>
      </c>
      <c r="L2507" s="3" t="n">
        <v>275.88</v>
      </c>
      <c r="M2507" s="3" t="n">
        <v>170.54</v>
      </c>
      <c r="N2507" s="3" t="n">
        <v>105.34</v>
      </c>
      <c r="O2507">
        <f>TEXT(A2507,"yyyy-mm")</f>
        <v/>
      </c>
    </row>
    <row r="2508">
      <c r="A2508" s="2" t="n">
        <v>45920</v>
      </c>
      <c r="B2508" t="n">
        <v>2025</v>
      </c>
      <c r="C2508" t="inlineStr">
        <is>
          <t>September</t>
        </is>
      </c>
      <c r="D2508" t="inlineStr">
        <is>
          <t>Classic Yoga Mat</t>
        </is>
      </c>
      <c r="E2508" t="inlineStr">
        <is>
          <t>Sports &amp; Outdoors</t>
        </is>
      </c>
      <c r="F2508" t="inlineStr">
        <is>
          <t>Clara Muller</t>
        </is>
      </c>
      <c r="G2508" t="inlineStr">
        <is>
          <t>Italy</t>
        </is>
      </c>
      <c r="H2508" t="inlineStr">
        <is>
          <t>Marketplace</t>
        </is>
      </c>
      <c r="I2508" t="n">
        <v>3</v>
      </c>
      <c r="J2508" s="3" t="n">
        <v>1020.99</v>
      </c>
      <c r="K2508" s="3" t="n">
        <v>153.15</v>
      </c>
      <c r="L2508" s="3" t="n">
        <v>867.84</v>
      </c>
      <c r="M2508" s="3" t="n">
        <v>587.1</v>
      </c>
      <c r="N2508" s="3" t="n">
        <v>280.74</v>
      </c>
      <c r="O2508">
        <f>TEXT(A2508,"yyyy-mm")</f>
        <v/>
      </c>
    </row>
    <row r="2509">
      <c r="A2509" s="2" t="n">
        <v>45920</v>
      </c>
      <c r="B2509" t="n">
        <v>2025</v>
      </c>
      <c r="C2509" t="inlineStr">
        <is>
          <t>September</t>
        </is>
      </c>
      <c r="D2509" t="inlineStr">
        <is>
          <t>Portable Toolset</t>
        </is>
      </c>
      <c r="E2509" t="inlineStr">
        <is>
          <t>Home &amp; Garden</t>
        </is>
      </c>
      <c r="F2509" t="inlineStr">
        <is>
          <t>Clara Moreau</t>
        </is>
      </c>
      <c r="G2509" t="inlineStr">
        <is>
          <t>Spain</t>
        </is>
      </c>
      <c r="H2509" t="inlineStr">
        <is>
          <t>Mobile App</t>
        </is>
      </c>
      <c r="I2509" t="n">
        <v>3</v>
      </c>
      <c r="J2509" s="3" t="n">
        <v>261.57</v>
      </c>
      <c r="K2509" s="3" t="n">
        <v>13.08</v>
      </c>
      <c r="L2509" s="3" t="n">
        <v>248.49</v>
      </c>
      <c r="M2509" s="3" t="n">
        <v>151.62</v>
      </c>
      <c r="N2509" s="3" t="n">
        <v>96.87</v>
      </c>
      <c r="O2509">
        <f>TEXT(A2509,"yyyy-mm")</f>
        <v/>
      </c>
    </row>
    <row r="2510">
      <c r="A2510" s="2" t="n">
        <v>45920</v>
      </c>
      <c r="B2510" t="n">
        <v>2025</v>
      </c>
      <c r="C2510" t="inlineStr">
        <is>
          <t>September</t>
        </is>
      </c>
      <c r="D2510" t="inlineStr">
        <is>
          <t>Smart Cookbook</t>
        </is>
      </c>
      <c r="E2510" t="inlineStr">
        <is>
          <t>Books</t>
        </is>
      </c>
      <c r="F2510" t="inlineStr">
        <is>
          <t>Clara Muller</t>
        </is>
      </c>
      <c r="G2510" t="inlineStr">
        <is>
          <t>Italy</t>
        </is>
      </c>
      <c r="H2510" t="inlineStr">
        <is>
          <t>Marketplace</t>
        </is>
      </c>
      <c r="I2510" t="n">
        <v>2</v>
      </c>
      <c r="J2510" s="3" t="n">
        <v>36.14</v>
      </c>
      <c r="K2510" s="3" t="n">
        <v>0</v>
      </c>
      <c r="L2510" s="3" t="n">
        <v>36.14</v>
      </c>
      <c r="M2510" s="3" t="n">
        <v>19.76</v>
      </c>
      <c r="N2510" s="3" t="n">
        <v>16.38</v>
      </c>
      <c r="O2510">
        <f>TEXT(A2510,"yyyy-mm")</f>
        <v/>
      </c>
    </row>
    <row r="2511">
      <c r="A2511" s="2" t="n">
        <v>45920</v>
      </c>
      <c r="B2511" t="n">
        <v>2025</v>
      </c>
      <c r="C2511" t="inlineStr">
        <is>
          <t>September</t>
        </is>
      </c>
      <c r="D2511" t="inlineStr">
        <is>
          <t>Classic Coffee Beans</t>
        </is>
      </c>
      <c r="E2511" t="inlineStr">
        <is>
          <t>Grocery</t>
        </is>
      </c>
      <c r="F2511" t="inlineStr">
        <is>
          <t>Thomas Lopez</t>
        </is>
      </c>
      <c r="G2511" t="inlineStr">
        <is>
          <t>Spain</t>
        </is>
      </c>
      <c r="H2511" t="inlineStr">
        <is>
          <t>Mobile App</t>
        </is>
      </c>
      <c r="I2511" t="n">
        <v>4</v>
      </c>
      <c r="J2511" s="3" t="n">
        <v>1259.96</v>
      </c>
      <c r="K2511" s="3" t="n">
        <v>0</v>
      </c>
      <c r="L2511" s="3" t="n">
        <v>1259.96</v>
      </c>
      <c r="M2511" s="3" t="n">
        <v>779.04</v>
      </c>
      <c r="N2511" s="3" t="n">
        <v>480.92</v>
      </c>
      <c r="O2511">
        <f>TEXT(A2511,"yyyy-mm")</f>
        <v/>
      </c>
    </row>
    <row r="2512">
      <c r="A2512" s="2" t="n">
        <v>45920</v>
      </c>
      <c r="B2512" t="n">
        <v>2025</v>
      </c>
      <c r="C2512" t="inlineStr">
        <is>
          <t>September</t>
        </is>
      </c>
      <c r="D2512" t="inlineStr">
        <is>
          <t>Ultra Toolset</t>
        </is>
      </c>
      <c r="E2512" t="inlineStr">
        <is>
          <t>Home &amp; Garden</t>
        </is>
      </c>
      <c r="F2512" t="inlineStr">
        <is>
          <t>Clara Muller</t>
        </is>
      </c>
      <c r="G2512" t="inlineStr">
        <is>
          <t>Italy</t>
        </is>
      </c>
      <c r="H2512" t="inlineStr">
        <is>
          <t>Marketplace</t>
        </is>
      </c>
      <c r="I2512" t="n">
        <v>4</v>
      </c>
      <c r="J2512" s="3" t="n">
        <v>1419</v>
      </c>
      <c r="K2512" s="3" t="n">
        <v>0</v>
      </c>
      <c r="L2512" s="3" t="n">
        <v>1419</v>
      </c>
      <c r="M2512" s="3" t="n">
        <v>761.6</v>
      </c>
      <c r="N2512" s="3" t="n">
        <v>657.4</v>
      </c>
      <c r="O2512">
        <f>TEXT(A2512,"yyyy-mm")</f>
        <v/>
      </c>
    </row>
    <row r="2513">
      <c r="A2513" s="2" t="n">
        <v>45920</v>
      </c>
      <c r="B2513" t="n">
        <v>2025</v>
      </c>
      <c r="C2513" t="inlineStr">
        <is>
          <t>September</t>
        </is>
      </c>
      <c r="D2513" t="inlineStr">
        <is>
          <t>Premium Water Bottle</t>
        </is>
      </c>
      <c r="E2513" t="inlineStr">
        <is>
          <t>Sports &amp; Outdoors</t>
        </is>
      </c>
      <c r="F2513" t="inlineStr">
        <is>
          <t>Thomas Lopez</t>
        </is>
      </c>
      <c r="G2513" t="inlineStr">
        <is>
          <t>Spain</t>
        </is>
      </c>
      <c r="H2513" t="inlineStr">
        <is>
          <t>Mobile App</t>
        </is>
      </c>
      <c r="I2513" t="n">
        <v>2</v>
      </c>
      <c r="J2513" s="3" t="n">
        <v>236.16</v>
      </c>
      <c r="K2513" s="3" t="n">
        <v>11.81</v>
      </c>
      <c r="L2513" s="3" t="n">
        <v>224.35</v>
      </c>
      <c r="M2513" s="3" t="n">
        <v>179.24</v>
      </c>
      <c r="N2513" s="3" t="n">
        <v>45.11</v>
      </c>
      <c r="O2513">
        <f>TEXT(A2513,"yyyy-mm")</f>
        <v/>
      </c>
    </row>
    <row r="2514">
      <c r="A2514" s="2" t="n">
        <v>45920</v>
      </c>
      <c r="B2514" t="n">
        <v>2025</v>
      </c>
      <c r="C2514" t="inlineStr">
        <is>
          <t>September</t>
        </is>
      </c>
      <c r="D2514" t="inlineStr">
        <is>
          <t>Smart Camera</t>
        </is>
      </c>
      <c r="E2514" t="inlineStr">
        <is>
          <t>Electronics</t>
        </is>
      </c>
      <c r="F2514" t="inlineStr">
        <is>
          <t>Thomas Lopez</t>
        </is>
      </c>
      <c r="G2514" t="inlineStr">
        <is>
          <t>Spain</t>
        </is>
      </c>
      <c r="H2514" t="inlineStr">
        <is>
          <t>Mobile App</t>
        </is>
      </c>
      <c r="I2514" t="n">
        <v>1</v>
      </c>
      <c r="J2514" s="3" t="n">
        <v>118.27</v>
      </c>
      <c r="K2514" s="3" t="n">
        <v>0</v>
      </c>
      <c r="L2514" s="3" t="n">
        <v>118.27</v>
      </c>
      <c r="M2514" s="3" t="n">
        <v>85.58</v>
      </c>
      <c r="N2514" s="3" t="n">
        <v>32.69</v>
      </c>
      <c r="O2514">
        <f>TEXT(A2514,"yyyy-mm")</f>
        <v/>
      </c>
    </row>
    <row r="2515">
      <c r="A2515" s="2" t="n">
        <v>45920</v>
      </c>
      <c r="B2515" t="n">
        <v>2025</v>
      </c>
      <c r="C2515" t="inlineStr">
        <is>
          <t>September</t>
        </is>
      </c>
      <c r="D2515" t="inlineStr">
        <is>
          <t>Eco Backpack</t>
        </is>
      </c>
      <c r="E2515" t="inlineStr">
        <is>
          <t>Sports &amp; Outdoors</t>
        </is>
      </c>
      <c r="F2515" t="inlineStr">
        <is>
          <t>Thomas Lopez</t>
        </is>
      </c>
      <c r="G2515" t="inlineStr">
        <is>
          <t>Spain</t>
        </is>
      </c>
      <c r="H2515" t="inlineStr">
        <is>
          <t>Mobile App</t>
        </is>
      </c>
      <c r="I2515" t="n">
        <v>5</v>
      </c>
      <c r="J2515" s="3" t="n">
        <v>1328.55</v>
      </c>
      <c r="K2515" s="3" t="n">
        <v>0</v>
      </c>
      <c r="L2515" s="3" t="n">
        <v>1328.55</v>
      </c>
      <c r="M2515" s="3" t="n">
        <v>732.9</v>
      </c>
      <c r="N2515" s="3" t="n">
        <v>595.65</v>
      </c>
      <c r="O2515">
        <f>TEXT(A2515,"yyyy-mm")</f>
        <v/>
      </c>
    </row>
    <row r="2516">
      <c r="A2516" s="2" t="n">
        <v>45920</v>
      </c>
      <c r="B2516" t="n">
        <v>2025</v>
      </c>
      <c r="C2516" t="inlineStr">
        <is>
          <t>September</t>
        </is>
      </c>
      <c r="D2516" t="inlineStr">
        <is>
          <t>Premium Cookbook</t>
        </is>
      </c>
      <c r="E2516" t="inlineStr">
        <is>
          <t>Books</t>
        </is>
      </c>
      <c r="F2516" t="inlineStr">
        <is>
          <t>Clara Moreau</t>
        </is>
      </c>
      <c r="G2516" t="inlineStr">
        <is>
          <t>Spain</t>
        </is>
      </c>
      <c r="H2516" t="inlineStr">
        <is>
          <t>Mobile App</t>
        </is>
      </c>
      <c r="I2516" t="n">
        <v>3</v>
      </c>
      <c r="J2516" s="3" t="n">
        <v>390.57</v>
      </c>
      <c r="K2516" s="3" t="n">
        <v>0</v>
      </c>
      <c r="L2516" s="3" t="n">
        <v>390.57</v>
      </c>
      <c r="M2516" s="3" t="n">
        <v>284.94</v>
      </c>
      <c r="N2516" s="3" t="n">
        <v>105.63</v>
      </c>
      <c r="O2516">
        <f>TEXT(A2516,"yyyy-mm")</f>
        <v/>
      </c>
    </row>
    <row r="2517">
      <c r="A2517" s="2" t="n">
        <v>45920</v>
      </c>
      <c r="B2517" t="n">
        <v>2025</v>
      </c>
      <c r="C2517" t="inlineStr">
        <is>
          <t>September</t>
        </is>
      </c>
      <c r="D2517" t="inlineStr">
        <is>
          <t>Ultra Backpack</t>
        </is>
      </c>
      <c r="E2517" t="inlineStr">
        <is>
          <t>Sports &amp; Outdoors</t>
        </is>
      </c>
      <c r="F2517" t="inlineStr">
        <is>
          <t>Clara Moreau</t>
        </is>
      </c>
      <c r="G2517" t="inlineStr">
        <is>
          <t>Spain</t>
        </is>
      </c>
      <c r="H2517" t="inlineStr">
        <is>
          <t>Mobile App</t>
        </is>
      </c>
      <c r="I2517" t="n">
        <v>5</v>
      </c>
      <c r="J2517" s="3" t="n">
        <v>1519</v>
      </c>
      <c r="K2517" s="3" t="n">
        <v>0</v>
      </c>
      <c r="L2517" s="3" t="n">
        <v>1519</v>
      </c>
      <c r="M2517" s="3" t="n">
        <v>868.45</v>
      </c>
      <c r="N2517" s="3" t="n">
        <v>650.55</v>
      </c>
      <c r="O2517">
        <f>TEXT(A2517,"yyyy-mm")</f>
        <v/>
      </c>
    </row>
    <row r="2518">
      <c r="A2518" s="2" t="n">
        <v>45921</v>
      </c>
      <c r="B2518" t="n">
        <v>2025</v>
      </c>
      <c r="C2518" t="inlineStr">
        <is>
          <t>September</t>
        </is>
      </c>
      <c r="D2518" t="inlineStr">
        <is>
          <t>Eco Planter</t>
        </is>
      </c>
      <c r="E2518" t="inlineStr">
        <is>
          <t>Home &amp; Garden</t>
        </is>
      </c>
      <c r="F2518" t="inlineStr">
        <is>
          <t>Clara Smith</t>
        </is>
      </c>
      <c r="G2518" t="inlineStr">
        <is>
          <t>United States</t>
        </is>
      </c>
      <c r="H2518" t="inlineStr">
        <is>
          <t>Retail Store</t>
        </is>
      </c>
      <c r="I2518" t="n">
        <v>2</v>
      </c>
      <c r="J2518" s="3" t="n">
        <v>363.86</v>
      </c>
      <c r="K2518" s="3" t="n">
        <v>54.58</v>
      </c>
      <c r="L2518" s="3" t="n">
        <v>309.28</v>
      </c>
      <c r="M2518" s="3" t="n">
        <v>224.82</v>
      </c>
      <c r="N2518" s="3" t="n">
        <v>84.45999999999999</v>
      </c>
      <c r="O2518">
        <f>TEXT(A2518,"yyyy-mm")</f>
        <v/>
      </c>
    </row>
    <row r="2519">
      <c r="A2519" s="2" t="n">
        <v>45921</v>
      </c>
      <c r="B2519" t="n">
        <v>2025</v>
      </c>
      <c r="C2519" t="inlineStr">
        <is>
          <t>September</t>
        </is>
      </c>
      <c r="D2519" t="inlineStr">
        <is>
          <t>Classic Yoga Mat</t>
        </is>
      </c>
      <c r="E2519" t="inlineStr">
        <is>
          <t>Sports &amp; Outdoors</t>
        </is>
      </c>
      <c r="F2519" t="inlineStr">
        <is>
          <t>Thomas Schmidt</t>
        </is>
      </c>
      <c r="G2519" t="inlineStr">
        <is>
          <t>United Kingdom</t>
        </is>
      </c>
      <c r="H2519" t="inlineStr">
        <is>
          <t>Web Store</t>
        </is>
      </c>
      <c r="I2519" t="n">
        <v>1</v>
      </c>
      <c r="J2519" s="3" t="n">
        <v>317.02</v>
      </c>
      <c r="K2519" s="3" t="n">
        <v>47.55</v>
      </c>
      <c r="L2519" s="3" t="n">
        <v>269.47</v>
      </c>
      <c r="M2519" s="3" t="n">
        <v>195.7</v>
      </c>
      <c r="N2519" s="3" t="n">
        <v>73.77</v>
      </c>
      <c r="O2519">
        <f>TEXT(A2519,"yyyy-mm")</f>
        <v/>
      </c>
    </row>
    <row r="2520">
      <c r="A2520" s="2" t="n">
        <v>45921</v>
      </c>
      <c r="B2520" t="n">
        <v>2025</v>
      </c>
      <c r="C2520" t="inlineStr">
        <is>
          <t>September</t>
        </is>
      </c>
      <c r="D2520" t="inlineStr">
        <is>
          <t>Ultra Vitamins</t>
        </is>
      </c>
      <c r="E2520" t="inlineStr">
        <is>
          <t>Beauty &amp; Health</t>
        </is>
      </c>
      <c r="F2520" t="inlineStr">
        <is>
          <t>Thomas Schmidt</t>
        </is>
      </c>
      <c r="G2520" t="inlineStr">
        <is>
          <t>United Kingdom</t>
        </is>
      </c>
      <c r="H2520" t="inlineStr">
        <is>
          <t>Web Store</t>
        </is>
      </c>
      <c r="I2520" t="n">
        <v>4</v>
      </c>
      <c r="J2520" s="3" t="n">
        <v>810.24</v>
      </c>
      <c r="K2520" s="3" t="n">
        <v>121.54</v>
      </c>
      <c r="L2520" s="3" t="n">
        <v>688.7</v>
      </c>
      <c r="M2520" s="3" t="n">
        <v>504.4</v>
      </c>
      <c r="N2520" s="3" t="n">
        <v>184.3</v>
      </c>
      <c r="O2520">
        <f>TEXT(A2520,"yyyy-mm")</f>
        <v/>
      </c>
    </row>
    <row r="2521">
      <c r="A2521" s="2" t="n">
        <v>45921</v>
      </c>
      <c r="B2521" t="n">
        <v>2025</v>
      </c>
      <c r="C2521" t="inlineStr">
        <is>
          <t>September</t>
        </is>
      </c>
      <c r="D2521" t="inlineStr">
        <is>
          <t>Deluxe Headphones</t>
        </is>
      </c>
      <c r="E2521" t="inlineStr">
        <is>
          <t>Electronics</t>
        </is>
      </c>
      <c r="F2521" t="inlineStr">
        <is>
          <t>Thomas Schmidt</t>
        </is>
      </c>
      <c r="G2521" t="inlineStr">
        <is>
          <t>United Kingdom</t>
        </is>
      </c>
      <c r="H2521" t="inlineStr">
        <is>
          <t>Web Store</t>
        </is>
      </c>
      <c r="I2521" t="n">
        <v>3</v>
      </c>
      <c r="J2521" s="3" t="n">
        <v>225.42</v>
      </c>
      <c r="K2521" s="3" t="n">
        <v>33.81</v>
      </c>
      <c r="L2521" s="3" t="n">
        <v>191.61</v>
      </c>
      <c r="M2521" s="3" t="n">
        <v>157.5</v>
      </c>
      <c r="N2521" s="3" t="n">
        <v>34.11</v>
      </c>
      <c r="O2521">
        <f>TEXT(A2521,"yyyy-mm")</f>
        <v/>
      </c>
    </row>
    <row r="2522">
      <c r="A2522" s="2" t="n">
        <v>45921</v>
      </c>
      <c r="B2522" t="n">
        <v>2025</v>
      </c>
      <c r="C2522" t="inlineStr">
        <is>
          <t>September</t>
        </is>
      </c>
      <c r="D2522" t="inlineStr">
        <is>
          <t>Wireless Honey</t>
        </is>
      </c>
      <c r="E2522" t="inlineStr">
        <is>
          <t>Grocery</t>
        </is>
      </c>
      <c r="F2522" t="inlineStr">
        <is>
          <t>Thomas Schmidt</t>
        </is>
      </c>
      <c r="G2522" t="inlineStr">
        <is>
          <t>United Kingdom</t>
        </is>
      </c>
      <c r="H2522" t="inlineStr">
        <is>
          <t>Web Store</t>
        </is>
      </c>
      <c r="I2522" t="n">
        <v>2</v>
      </c>
      <c r="J2522" s="3" t="n">
        <v>271.54</v>
      </c>
      <c r="K2522" s="3" t="n">
        <v>40.73</v>
      </c>
      <c r="L2522" s="3" t="n">
        <v>230.81</v>
      </c>
      <c r="M2522" s="3" t="n">
        <v>188.14</v>
      </c>
      <c r="N2522" s="3" t="n">
        <v>42.67</v>
      </c>
      <c r="O2522">
        <f>TEXT(A2522,"yyyy-mm")</f>
        <v/>
      </c>
    </row>
    <row r="2523">
      <c r="A2523" s="2" t="n">
        <v>45922</v>
      </c>
      <c r="B2523" t="n">
        <v>2025</v>
      </c>
      <c r="C2523" t="inlineStr">
        <is>
          <t>September</t>
        </is>
      </c>
      <c r="D2523" t="inlineStr">
        <is>
          <t>Eco Backpack</t>
        </is>
      </c>
      <c r="E2523" t="inlineStr">
        <is>
          <t>Sports &amp; Outdoors</t>
        </is>
      </c>
      <c r="F2523" t="inlineStr">
        <is>
          <t>Sophie Rossi</t>
        </is>
      </c>
      <c r="G2523" t="inlineStr">
        <is>
          <t>France</t>
        </is>
      </c>
      <c r="H2523" t="inlineStr">
        <is>
          <t>Mobile App</t>
        </is>
      </c>
      <c r="I2523" t="n">
        <v>2</v>
      </c>
      <c r="J2523" s="3" t="n">
        <v>505.18</v>
      </c>
      <c r="K2523" s="3" t="n">
        <v>0</v>
      </c>
      <c r="L2523" s="3" t="n">
        <v>505.18</v>
      </c>
      <c r="M2523" s="3" t="n">
        <v>293.16</v>
      </c>
      <c r="N2523" s="3" t="n">
        <v>212.02</v>
      </c>
      <c r="O2523">
        <f>TEXT(A2523,"yyyy-mm")</f>
        <v/>
      </c>
    </row>
    <row r="2524">
      <c r="A2524" s="2" t="n">
        <v>45922</v>
      </c>
      <c r="B2524" t="n">
        <v>2025</v>
      </c>
      <c r="C2524" t="inlineStr">
        <is>
          <t>September</t>
        </is>
      </c>
      <c r="D2524" t="inlineStr">
        <is>
          <t>Eco Tent</t>
        </is>
      </c>
      <c r="E2524" t="inlineStr">
        <is>
          <t>Sports &amp; Outdoors</t>
        </is>
      </c>
      <c r="F2524" t="inlineStr">
        <is>
          <t>Daniel Garcia</t>
        </is>
      </c>
      <c r="G2524" t="inlineStr">
        <is>
          <t>Italy</t>
        </is>
      </c>
      <c r="H2524" t="inlineStr">
        <is>
          <t>Web Store</t>
        </is>
      </c>
      <c r="I2524" t="n">
        <v>1</v>
      </c>
      <c r="J2524" s="3" t="n">
        <v>247.44</v>
      </c>
      <c r="K2524" s="3" t="n">
        <v>0</v>
      </c>
      <c r="L2524" s="3" t="n">
        <v>247.44</v>
      </c>
      <c r="M2524" s="3" t="n">
        <v>135.03</v>
      </c>
      <c r="N2524" s="3" t="n">
        <v>112.41</v>
      </c>
      <c r="O2524">
        <f>TEXT(A2524,"yyyy-mm")</f>
        <v/>
      </c>
    </row>
    <row r="2525">
      <c r="A2525" s="2" t="n">
        <v>45922</v>
      </c>
      <c r="B2525" t="n">
        <v>2025</v>
      </c>
      <c r="C2525" t="inlineStr">
        <is>
          <t>September</t>
        </is>
      </c>
      <c r="D2525" t="inlineStr">
        <is>
          <t>Smart Camera</t>
        </is>
      </c>
      <c r="E2525" t="inlineStr">
        <is>
          <t>Electronics</t>
        </is>
      </c>
      <c r="F2525" t="inlineStr">
        <is>
          <t>Daniel Garcia</t>
        </is>
      </c>
      <c r="G2525" t="inlineStr">
        <is>
          <t>Italy</t>
        </is>
      </c>
      <c r="H2525" t="inlineStr">
        <is>
          <t>Web Store</t>
        </is>
      </c>
      <c r="I2525" t="n">
        <v>4</v>
      </c>
      <c r="J2525" s="3" t="n">
        <v>459.84</v>
      </c>
      <c r="K2525" s="3" t="n">
        <v>68.98</v>
      </c>
      <c r="L2525" s="3" t="n">
        <v>390.86</v>
      </c>
      <c r="M2525" s="3" t="n">
        <v>342.32</v>
      </c>
      <c r="N2525" s="3" t="n">
        <v>48.54</v>
      </c>
      <c r="O2525">
        <f>TEXT(A2525,"yyyy-mm")</f>
        <v/>
      </c>
    </row>
    <row r="2526">
      <c r="A2526" s="2" t="n">
        <v>45922</v>
      </c>
      <c r="B2526" t="n">
        <v>2025</v>
      </c>
      <c r="C2526" t="inlineStr">
        <is>
          <t>September</t>
        </is>
      </c>
      <c r="D2526" t="inlineStr">
        <is>
          <t>Premium Tent</t>
        </is>
      </c>
      <c r="E2526" t="inlineStr">
        <is>
          <t>Sports &amp; Outdoors</t>
        </is>
      </c>
      <c r="F2526" t="inlineStr">
        <is>
          <t>Daniel Garcia</t>
        </is>
      </c>
      <c r="G2526" t="inlineStr">
        <is>
          <t>Italy</t>
        </is>
      </c>
      <c r="H2526" t="inlineStr">
        <is>
          <t>Web Store</t>
        </is>
      </c>
      <c r="I2526" t="n">
        <v>1</v>
      </c>
      <c r="J2526" s="3" t="n">
        <v>261.23</v>
      </c>
      <c r="K2526" s="3" t="n">
        <v>39.18</v>
      </c>
      <c r="L2526" s="3" t="n">
        <v>222.05</v>
      </c>
      <c r="M2526" s="3" t="n">
        <v>165.31</v>
      </c>
      <c r="N2526" s="3" t="n">
        <v>56.74</v>
      </c>
      <c r="O2526">
        <f>TEXT(A2526,"yyyy-mm")</f>
        <v/>
      </c>
    </row>
    <row r="2527">
      <c r="A2527" s="2" t="n">
        <v>45922</v>
      </c>
      <c r="B2527" t="n">
        <v>2025</v>
      </c>
      <c r="C2527" t="inlineStr">
        <is>
          <t>September</t>
        </is>
      </c>
      <c r="D2527" t="inlineStr">
        <is>
          <t>Premium Tent</t>
        </is>
      </c>
      <c r="E2527" t="inlineStr">
        <is>
          <t>Sports &amp; Outdoors</t>
        </is>
      </c>
      <c r="F2527" t="inlineStr">
        <is>
          <t>Daniel Wilson</t>
        </is>
      </c>
      <c r="G2527" t="inlineStr">
        <is>
          <t>Italy</t>
        </is>
      </c>
      <c r="H2527" t="inlineStr">
        <is>
          <t>Marketplace</t>
        </is>
      </c>
      <c r="I2527" t="n">
        <v>2</v>
      </c>
      <c r="J2527" s="3" t="n">
        <v>498.92</v>
      </c>
      <c r="K2527" s="3" t="n">
        <v>0</v>
      </c>
      <c r="L2527" s="3" t="n">
        <v>498.92</v>
      </c>
      <c r="M2527" s="3" t="n">
        <v>330.62</v>
      </c>
      <c r="N2527" s="3" t="n">
        <v>168.3</v>
      </c>
      <c r="O2527">
        <f>TEXT(A2527,"yyyy-mm")</f>
        <v/>
      </c>
    </row>
    <row r="2528">
      <c r="A2528" s="2" t="n">
        <v>45922</v>
      </c>
      <c r="B2528" t="n">
        <v>2025</v>
      </c>
      <c r="C2528" t="inlineStr">
        <is>
          <t>September</t>
        </is>
      </c>
      <c r="D2528" t="inlineStr">
        <is>
          <t>Smart Puzzle</t>
        </is>
      </c>
      <c r="E2528" t="inlineStr">
        <is>
          <t>Toys &amp; Games</t>
        </is>
      </c>
      <c r="F2528" t="inlineStr">
        <is>
          <t>Daniel Wilson</t>
        </is>
      </c>
      <c r="G2528" t="inlineStr">
        <is>
          <t>Italy</t>
        </is>
      </c>
      <c r="H2528" t="inlineStr">
        <is>
          <t>Marketplace</t>
        </is>
      </c>
      <c r="I2528" t="n">
        <v>4</v>
      </c>
      <c r="J2528" s="3" t="n">
        <v>172.88</v>
      </c>
      <c r="K2528" s="3" t="n">
        <v>8.640000000000001</v>
      </c>
      <c r="L2528" s="3" t="n">
        <v>164.24</v>
      </c>
      <c r="M2528" s="3" t="n">
        <v>97.76000000000001</v>
      </c>
      <c r="N2528" s="3" t="n">
        <v>66.48</v>
      </c>
      <c r="O2528">
        <f>TEXT(A2528,"yyyy-mm")</f>
        <v/>
      </c>
    </row>
    <row r="2529">
      <c r="A2529" s="2" t="n">
        <v>45922</v>
      </c>
      <c r="B2529" t="n">
        <v>2025</v>
      </c>
      <c r="C2529" t="inlineStr">
        <is>
          <t>September</t>
        </is>
      </c>
      <c r="D2529" t="inlineStr">
        <is>
          <t>Smart Olive Oil</t>
        </is>
      </c>
      <c r="E2529" t="inlineStr">
        <is>
          <t>Grocery</t>
        </is>
      </c>
      <c r="F2529" t="inlineStr">
        <is>
          <t>Daniel Wilson</t>
        </is>
      </c>
      <c r="G2529" t="inlineStr">
        <is>
          <t>Italy</t>
        </is>
      </c>
      <c r="H2529" t="inlineStr">
        <is>
          <t>Marketplace</t>
        </is>
      </c>
      <c r="I2529" t="n">
        <v>2</v>
      </c>
      <c r="J2529" s="3" t="n">
        <v>329.86</v>
      </c>
      <c r="K2529" s="3" t="n">
        <v>16.49</v>
      </c>
      <c r="L2529" s="3" t="n">
        <v>313.37</v>
      </c>
      <c r="M2529" s="3" t="n">
        <v>220.04</v>
      </c>
      <c r="N2529" s="3" t="n">
        <v>93.33</v>
      </c>
      <c r="O2529">
        <f>TEXT(A2529,"yyyy-mm")</f>
        <v/>
      </c>
    </row>
    <row r="2530">
      <c r="A2530" s="2" t="n">
        <v>45922</v>
      </c>
      <c r="B2530" t="n">
        <v>2025</v>
      </c>
      <c r="C2530" t="inlineStr">
        <is>
          <t>September</t>
        </is>
      </c>
      <c r="D2530" t="inlineStr">
        <is>
          <t>Smart Honey</t>
        </is>
      </c>
      <c r="E2530" t="inlineStr">
        <is>
          <t>Grocery</t>
        </is>
      </c>
      <c r="F2530" t="inlineStr">
        <is>
          <t>Daniel Garcia</t>
        </is>
      </c>
      <c r="G2530" t="inlineStr">
        <is>
          <t>France</t>
        </is>
      </c>
      <c r="H2530" t="inlineStr">
        <is>
          <t>Marketplace</t>
        </is>
      </c>
      <c r="I2530" t="n">
        <v>4</v>
      </c>
      <c r="J2530" s="3" t="n">
        <v>534.6</v>
      </c>
      <c r="K2530" s="3" t="n">
        <v>53.46</v>
      </c>
      <c r="L2530" s="3" t="n">
        <v>481.14</v>
      </c>
      <c r="M2530" s="3" t="n">
        <v>285.76</v>
      </c>
      <c r="N2530" s="3" t="n">
        <v>195.38</v>
      </c>
      <c r="O2530">
        <f>TEXT(A2530,"yyyy-mm")</f>
        <v/>
      </c>
    </row>
    <row r="2531">
      <c r="A2531" s="2" t="n">
        <v>45922</v>
      </c>
      <c r="B2531" t="n">
        <v>2025</v>
      </c>
      <c r="C2531" t="inlineStr">
        <is>
          <t>September</t>
        </is>
      </c>
      <c r="D2531" t="inlineStr">
        <is>
          <t>Smart Tea Set</t>
        </is>
      </c>
      <c r="E2531" t="inlineStr">
        <is>
          <t>Grocery</t>
        </is>
      </c>
      <c r="F2531" t="inlineStr">
        <is>
          <t>Daniel Garcia</t>
        </is>
      </c>
      <c r="G2531" t="inlineStr">
        <is>
          <t>France</t>
        </is>
      </c>
      <c r="H2531" t="inlineStr">
        <is>
          <t>Marketplace</t>
        </is>
      </c>
      <c r="I2531" t="n">
        <v>5</v>
      </c>
      <c r="J2531" s="3" t="n">
        <v>458.9</v>
      </c>
      <c r="K2531" s="3" t="n">
        <v>45.89</v>
      </c>
      <c r="L2531" s="3" t="n">
        <v>413.01</v>
      </c>
      <c r="M2531" s="3" t="n">
        <v>309</v>
      </c>
      <c r="N2531" s="3" t="n">
        <v>104.01</v>
      </c>
      <c r="O2531">
        <f>TEXT(A2531,"yyyy-mm")</f>
        <v/>
      </c>
    </row>
    <row r="2532">
      <c r="A2532" s="2" t="n">
        <v>45922</v>
      </c>
      <c r="B2532" t="n">
        <v>2025</v>
      </c>
      <c r="C2532" t="inlineStr">
        <is>
          <t>September</t>
        </is>
      </c>
      <c r="D2532" t="inlineStr">
        <is>
          <t>Essential Cushion</t>
        </is>
      </c>
      <c r="E2532" t="inlineStr">
        <is>
          <t>Home &amp; Garden</t>
        </is>
      </c>
      <c r="F2532" t="inlineStr">
        <is>
          <t>Daniel Garcia</t>
        </is>
      </c>
      <c r="G2532" t="inlineStr">
        <is>
          <t>France</t>
        </is>
      </c>
      <c r="H2532" t="inlineStr">
        <is>
          <t>Marketplace</t>
        </is>
      </c>
      <c r="I2532" t="n">
        <v>5</v>
      </c>
      <c r="J2532" s="3" t="n">
        <v>223.15</v>
      </c>
      <c r="K2532" s="3" t="n">
        <v>0</v>
      </c>
      <c r="L2532" s="3" t="n">
        <v>223.15</v>
      </c>
      <c r="M2532" s="3" t="n">
        <v>152.75</v>
      </c>
      <c r="N2532" s="3" t="n">
        <v>70.40000000000001</v>
      </c>
      <c r="O2532">
        <f>TEXT(A2532,"yyyy-mm")</f>
        <v/>
      </c>
    </row>
    <row r="2533">
      <c r="A2533" s="2" t="n">
        <v>45922</v>
      </c>
      <c r="B2533" t="n">
        <v>2025</v>
      </c>
      <c r="C2533" t="inlineStr">
        <is>
          <t>September</t>
        </is>
      </c>
      <c r="D2533" t="inlineStr">
        <is>
          <t>Eco Backpack</t>
        </is>
      </c>
      <c r="E2533" t="inlineStr">
        <is>
          <t>Sports &amp; Outdoors</t>
        </is>
      </c>
      <c r="F2533" t="inlineStr">
        <is>
          <t>Daniel Garcia</t>
        </is>
      </c>
      <c r="G2533" t="inlineStr">
        <is>
          <t>France</t>
        </is>
      </c>
      <c r="H2533" t="inlineStr">
        <is>
          <t>Marketplace</t>
        </is>
      </c>
      <c r="I2533" t="n">
        <v>1</v>
      </c>
      <c r="J2533" s="3" t="n">
        <v>276.93</v>
      </c>
      <c r="K2533" s="3" t="n">
        <v>41.54</v>
      </c>
      <c r="L2533" s="3" t="n">
        <v>235.39</v>
      </c>
      <c r="M2533" s="3" t="n">
        <v>146.58</v>
      </c>
      <c r="N2533" s="3" t="n">
        <v>88.81</v>
      </c>
      <c r="O2533">
        <f>TEXT(A2533,"yyyy-mm")</f>
        <v/>
      </c>
    </row>
    <row r="2534">
      <c r="A2534" s="2" t="n">
        <v>45922</v>
      </c>
      <c r="B2534" t="n">
        <v>2025</v>
      </c>
      <c r="C2534" t="inlineStr">
        <is>
          <t>September</t>
        </is>
      </c>
      <c r="D2534" t="inlineStr">
        <is>
          <t>Eco Planter</t>
        </is>
      </c>
      <c r="E2534" t="inlineStr">
        <is>
          <t>Home &amp; Garden</t>
        </is>
      </c>
      <c r="F2534" t="inlineStr">
        <is>
          <t>Daniel Wilson</t>
        </is>
      </c>
      <c r="G2534" t="inlineStr">
        <is>
          <t>Italy</t>
        </is>
      </c>
      <c r="H2534" t="inlineStr">
        <is>
          <t>Marketplace</t>
        </is>
      </c>
      <c r="I2534" t="n">
        <v>5</v>
      </c>
      <c r="J2534" s="3" t="n">
        <v>885.45</v>
      </c>
      <c r="K2534" s="3" t="n">
        <v>44.27</v>
      </c>
      <c r="L2534" s="3" t="n">
        <v>841.1799999999999</v>
      </c>
      <c r="M2534" s="3" t="n">
        <v>562.05</v>
      </c>
      <c r="N2534" s="3" t="n">
        <v>279.13</v>
      </c>
      <c r="O2534">
        <f>TEXT(A2534,"yyyy-mm")</f>
        <v/>
      </c>
    </row>
    <row r="2535">
      <c r="A2535" s="2" t="n">
        <v>45923</v>
      </c>
      <c r="B2535" t="n">
        <v>2025</v>
      </c>
      <c r="C2535" t="inlineStr">
        <is>
          <t>September</t>
        </is>
      </c>
      <c r="D2535" t="inlineStr">
        <is>
          <t>Premium Tent</t>
        </is>
      </c>
      <c r="E2535" t="inlineStr">
        <is>
          <t>Sports &amp; Outdoors</t>
        </is>
      </c>
      <c r="F2535" t="inlineStr">
        <is>
          <t>Emily Moreau</t>
        </is>
      </c>
      <c r="G2535" t="inlineStr">
        <is>
          <t>Germany</t>
        </is>
      </c>
      <c r="H2535" t="inlineStr">
        <is>
          <t>Web Store</t>
        </is>
      </c>
      <c r="I2535" t="n">
        <v>2</v>
      </c>
      <c r="J2535" s="3" t="n">
        <v>531.36</v>
      </c>
      <c r="K2535" s="3" t="n">
        <v>53.14</v>
      </c>
      <c r="L2535" s="3" t="n">
        <v>478.22</v>
      </c>
      <c r="M2535" s="3" t="n">
        <v>278.08</v>
      </c>
      <c r="N2535" s="3" t="n">
        <v>200.14</v>
      </c>
      <c r="O2535">
        <f>TEXT(A2535,"yyyy-mm")</f>
        <v/>
      </c>
    </row>
    <row r="2536">
      <c r="A2536" s="2" t="n">
        <v>45923</v>
      </c>
      <c r="B2536" t="n">
        <v>2025</v>
      </c>
      <c r="C2536" t="inlineStr">
        <is>
          <t>September</t>
        </is>
      </c>
      <c r="D2536" t="inlineStr">
        <is>
          <t>Smart Camera</t>
        </is>
      </c>
      <c r="E2536" t="inlineStr">
        <is>
          <t>Electronics</t>
        </is>
      </c>
      <c r="F2536" t="inlineStr">
        <is>
          <t>Clara Martin</t>
        </is>
      </c>
      <c r="G2536" t="inlineStr">
        <is>
          <t>United States</t>
        </is>
      </c>
      <c r="H2536" t="inlineStr">
        <is>
          <t>Web Store</t>
        </is>
      </c>
      <c r="I2536" t="n">
        <v>2</v>
      </c>
      <c r="J2536" s="3" t="n">
        <v>632.78</v>
      </c>
      <c r="K2536" s="3" t="n">
        <v>0</v>
      </c>
      <c r="L2536" s="3" t="n">
        <v>632.78</v>
      </c>
      <c r="M2536" s="3" t="n">
        <v>334.8</v>
      </c>
      <c r="N2536" s="3" t="n">
        <v>297.98</v>
      </c>
      <c r="O2536">
        <f>TEXT(A2536,"yyyy-mm")</f>
        <v/>
      </c>
    </row>
    <row r="2537">
      <c r="A2537" s="2" t="n">
        <v>45923</v>
      </c>
      <c r="B2537" t="n">
        <v>2025</v>
      </c>
      <c r="C2537" t="inlineStr">
        <is>
          <t>September</t>
        </is>
      </c>
      <c r="D2537" t="inlineStr">
        <is>
          <t>Deluxe Toothbrush</t>
        </is>
      </c>
      <c r="E2537" t="inlineStr">
        <is>
          <t>Beauty &amp; Health</t>
        </is>
      </c>
      <c r="F2537" t="inlineStr">
        <is>
          <t>Clara Martin</t>
        </is>
      </c>
      <c r="G2537" t="inlineStr">
        <is>
          <t>United States</t>
        </is>
      </c>
      <c r="H2537" t="inlineStr">
        <is>
          <t>Web Store</t>
        </is>
      </c>
      <c r="I2537" t="n">
        <v>1</v>
      </c>
      <c r="J2537" s="3" t="n">
        <v>333.52</v>
      </c>
      <c r="K2537" s="3" t="n">
        <v>0</v>
      </c>
      <c r="L2537" s="3" t="n">
        <v>333.52</v>
      </c>
      <c r="M2537" s="3" t="n">
        <v>174.57</v>
      </c>
      <c r="N2537" s="3" t="n">
        <v>158.95</v>
      </c>
      <c r="O2537">
        <f>TEXT(A2537,"yyyy-mm")</f>
        <v/>
      </c>
    </row>
    <row r="2538">
      <c r="A2538" s="2" t="n">
        <v>45923</v>
      </c>
      <c r="B2538" t="n">
        <v>2025</v>
      </c>
      <c r="C2538" t="inlineStr">
        <is>
          <t>September</t>
        </is>
      </c>
      <c r="D2538" t="inlineStr">
        <is>
          <t>Smart Coffee Beans</t>
        </is>
      </c>
      <c r="E2538" t="inlineStr">
        <is>
          <t>Grocery</t>
        </is>
      </c>
      <c r="F2538" t="inlineStr">
        <is>
          <t>Clara Martin</t>
        </is>
      </c>
      <c r="G2538" t="inlineStr">
        <is>
          <t>United States</t>
        </is>
      </c>
      <c r="H2538" t="inlineStr">
        <is>
          <t>Web Store</t>
        </is>
      </c>
      <c r="I2538" t="n">
        <v>4</v>
      </c>
      <c r="J2538" s="3" t="n">
        <v>424.84</v>
      </c>
      <c r="K2538" s="3" t="n">
        <v>0</v>
      </c>
      <c r="L2538" s="3" t="n">
        <v>424.84</v>
      </c>
      <c r="M2538" s="3" t="n">
        <v>291.4</v>
      </c>
      <c r="N2538" s="3" t="n">
        <v>133.44</v>
      </c>
      <c r="O2538">
        <f>TEXT(A2538,"yyyy-mm")</f>
        <v/>
      </c>
    </row>
    <row r="2539">
      <c r="A2539" s="2" t="n">
        <v>45923</v>
      </c>
      <c r="B2539" t="n">
        <v>2025</v>
      </c>
      <c r="C2539" t="inlineStr">
        <is>
          <t>September</t>
        </is>
      </c>
      <c r="D2539" t="inlineStr">
        <is>
          <t>Smart Puzzle</t>
        </is>
      </c>
      <c r="E2539" t="inlineStr">
        <is>
          <t>Toys &amp; Games</t>
        </is>
      </c>
      <c r="F2539" t="inlineStr">
        <is>
          <t>Michael Moreau</t>
        </is>
      </c>
      <c r="G2539" t="inlineStr">
        <is>
          <t>Poland</t>
        </is>
      </c>
      <c r="H2539" t="inlineStr">
        <is>
          <t>Mobile App</t>
        </is>
      </c>
      <c r="I2539" t="n">
        <v>3</v>
      </c>
      <c r="J2539" s="3" t="n">
        <v>135.33</v>
      </c>
      <c r="K2539" s="3" t="n">
        <v>20.3</v>
      </c>
      <c r="L2539" s="3" t="n">
        <v>115.03</v>
      </c>
      <c r="M2539" s="3" t="n">
        <v>73.31999999999999</v>
      </c>
      <c r="N2539" s="3" t="n">
        <v>41.71</v>
      </c>
      <c r="O2539">
        <f>TEXT(A2539,"yyyy-mm")</f>
        <v/>
      </c>
    </row>
    <row r="2540">
      <c r="A2540" s="2" t="n">
        <v>45923</v>
      </c>
      <c r="B2540" t="n">
        <v>2025</v>
      </c>
      <c r="C2540" t="inlineStr">
        <is>
          <t>September</t>
        </is>
      </c>
      <c r="D2540" t="inlineStr">
        <is>
          <t>Essential Charger</t>
        </is>
      </c>
      <c r="E2540" t="inlineStr">
        <is>
          <t>Electronics</t>
        </is>
      </c>
      <c r="F2540" t="inlineStr">
        <is>
          <t>Michael Moreau</t>
        </is>
      </c>
      <c r="G2540" t="inlineStr">
        <is>
          <t>Poland</t>
        </is>
      </c>
      <c r="H2540" t="inlineStr">
        <is>
          <t>Mobile App</t>
        </is>
      </c>
      <c r="I2540" t="n">
        <v>2</v>
      </c>
      <c r="J2540" s="3" t="n">
        <v>89.18000000000001</v>
      </c>
      <c r="K2540" s="3" t="n">
        <v>13.38</v>
      </c>
      <c r="L2540" s="3" t="n">
        <v>75.8</v>
      </c>
      <c r="M2540" s="3" t="n">
        <v>58.2</v>
      </c>
      <c r="N2540" s="3" t="n">
        <v>17.6</v>
      </c>
      <c r="O2540">
        <f>TEXT(A2540,"yyyy-mm")</f>
        <v/>
      </c>
    </row>
    <row r="2541">
      <c r="A2541" s="2" t="n">
        <v>45923</v>
      </c>
      <c r="B2541" t="n">
        <v>2025</v>
      </c>
      <c r="C2541" t="inlineStr">
        <is>
          <t>September</t>
        </is>
      </c>
      <c r="D2541" t="inlineStr">
        <is>
          <t>Premium Tent</t>
        </is>
      </c>
      <c r="E2541" t="inlineStr">
        <is>
          <t>Sports &amp; Outdoors</t>
        </is>
      </c>
      <c r="F2541" t="inlineStr">
        <is>
          <t>Michael Moreau</t>
        </is>
      </c>
      <c r="G2541" t="inlineStr">
        <is>
          <t>Poland</t>
        </is>
      </c>
      <c r="H2541" t="inlineStr">
        <is>
          <t>Mobile App</t>
        </is>
      </c>
      <c r="I2541" t="n">
        <v>1</v>
      </c>
      <c r="J2541" s="3" t="n">
        <v>264.54</v>
      </c>
      <c r="K2541" s="3" t="n">
        <v>26.45</v>
      </c>
      <c r="L2541" s="3" t="n">
        <v>238.09</v>
      </c>
      <c r="M2541" s="3" t="n">
        <v>165.31</v>
      </c>
      <c r="N2541" s="3" t="n">
        <v>72.78</v>
      </c>
      <c r="O2541">
        <f>TEXT(A2541,"yyyy-mm")</f>
        <v/>
      </c>
    </row>
    <row r="2542">
      <c r="A2542" s="2" t="n">
        <v>45923</v>
      </c>
      <c r="B2542" t="n">
        <v>2025</v>
      </c>
      <c r="C2542" t="inlineStr">
        <is>
          <t>September</t>
        </is>
      </c>
      <c r="D2542" t="inlineStr">
        <is>
          <t>Portable Tea Set</t>
        </is>
      </c>
      <c r="E2542" t="inlineStr">
        <is>
          <t>Grocery</t>
        </is>
      </c>
      <c r="F2542" t="inlineStr">
        <is>
          <t>Michael Moreau</t>
        </is>
      </c>
      <c r="G2542" t="inlineStr">
        <is>
          <t>Poland</t>
        </is>
      </c>
      <c r="H2542" t="inlineStr">
        <is>
          <t>Mobile App</t>
        </is>
      </c>
      <c r="I2542" t="n">
        <v>5</v>
      </c>
      <c r="J2542" s="3" t="n">
        <v>1317.85</v>
      </c>
      <c r="K2542" s="3" t="n">
        <v>197.68</v>
      </c>
      <c r="L2542" s="3" t="n">
        <v>1120.17</v>
      </c>
      <c r="M2542" s="3" t="n">
        <v>940.6</v>
      </c>
      <c r="N2542" s="3" t="n">
        <v>179.57</v>
      </c>
      <c r="O2542">
        <f>TEXT(A2542,"yyyy-mm")</f>
        <v/>
      </c>
    </row>
    <row r="2543">
      <c r="A2543" s="2" t="n">
        <v>45923</v>
      </c>
      <c r="B2543" t="n">
        <v>2025</v>
      </c>
      <c r="C2543" t="inlineStr">
        <is>
          <t>September</t>
        </is>
      </c>
      <c r="D2543" t="inlineStr">
        <is>
          <t>Smart Cookbook</t>
        </is>
      </c>
      <c r="E2543" t="inlineStr">
        <is>
          <t>Books</t>
        </is>
      </c>
      <c r="F2543" t="inlineStr">
        <is>
          <t>James Smith</t>
        </is>
      </c>
      <c r="G2543" t="inlineStr">
        <is>
          <t>Italy</t>
        </is>
      </c>
      <c r="H2543" t="inlineStr">
        <is>
          <t>Retail Store</t>
        </is>
      </c>
      <c r="I2543" t="n">
        <v>4</v>
      </c>
      <c r="J2543" s="3" t="n">
        <v>74.31999999999999</v>
      </c>
      <c r="K2543" s="3" t="n">
        <v>11.15</v>
      </c>
      <c r="L2543" s="3" t="n">
        <v>63.17</v>
      </c>
      <c r="M2543" s="3" t="n">
        <v>39.52</v>
      </c>
      <c r="N2543" s="3" t="n">
        <v>23.65</v>
      </c>
      <c r="O2543">
        <f>TEXT(A2543,"yyyy-mm")</f>
        <v/>
      </c>
    </row>
    <row r="2544">
      <c r="A2544" s="2" t="n">
        <v>45924</v>
      </c>
      <c r="B2544" t="n">
        <v>2025</v>
      </c>
      <c r="C2544" t="inlineStr">
        <is>
          <t>September</t>
        </is>
      </c>
      <c r="D2544" t="inlineStr">
        <is>
          <t>Deluxe Cookbook</t>
        </is>
      </c>
      <c r="E2544" t="inlineStr">
        <is>
          <t>Books</t>
        </is>
      </c>
      <c r="F2544" t="inlineStr">
        <is>
          <t>Laura Lopez</t>
        </is>
      </c>
      <c r="G2544" t="inlineStr">
        <is>
          <t>United Kingdom</t>
        </is>
      </c>
      <c r="H2544" t="inlineStr">
        <is>
          <t>Marketplace</t>
        </is>
      </c>
      <c r="I2544" t="n">
        <v>4</v>
      </c>
      <c r="J2544" s="3" t="n">
        <v>559.12</v>
      </c>
      <c r="K2544" s="3" t="n">
        <v>83.87</v>
      </c>
      <c r="L2544" s="3" t="n">
        <v>475.25</v>
      </c>
      <c r="M2544" s="3" t="n">
        <v>341.08</v>
      </c>
      <c r="N2544" s="3" t="n">
        <v>134.17</v>
      </c>
      <c r="O2544">
        <f>TEXT(A2544,"yyyy-mm")</f>
        <v/>
      </c>
    </row>
    <row r="2545">
      <c r="A2545" s="2" t="n">
        <v>45924</v>
      </c>
      <c r="B2545" t="n">
        <v>2025</v>
      </c>
      <c r="C2545" t="inlineStr">
        <is>
          <t>September</t>
        </is>
      </c>
      <c r="D2545" t="inlineStr">
        <is>
          <t>Wireless Coffee Beans</t>
        </is>
      </c>
      <c r="E2545" t="inlineStr">
        <is>
          <t>Grocery</t>
        </is>
      </c>
      <c r="F2545" t="inlineStr">
        <is>
          <t>Laura Rossi</t>
        </is>
      </c>
      <c r="G2545" t="inlineStr">
        <is>
          <t>United States</t>
        </is>
      </c>
      <c r="H2545" t="inlineStr">
        <is>
          <t>Marketplace</t>
        </is>
      </c>
      <c r="I2545" t="n">
        <v>5</v>
      </c>
      <c r="J2545" s="3" t="n">
        <v>573.8</v>
      </c>
      <c r="K2545" s="3" t="n">
        <v>86.06999999999999</v>
      </c>
      <c r="L2545" s="3" t="n">
        <v>487.73</v>
      </c>
      <c r="M2545" s="3" t="n">
        <v>396.85</v>
      </c>
      <c r="N2545" s="3" t="n">
        <v>90.88</v>
      </c>
      <c r="O2545">
        <f>TEXT(A2545,"yyyy-mm")</f>
        <v/>
      </c>
    </row>
    <row r="2546">
      <c r="A2546" s="2" t="n">
        <v>45924</v>
      </c>
      <c r="B2546" t="n">
        <v>2025</v>
      </c>
      <c r="C2546" t="inlineStr">
        <is>
          <t>September</t>
        </is>
      </c>
      <c r="D2546" t="inlineStr">
        <is>
          <t>Smart Sweater</t>
        </is>
      </c>
      <c r="E2546" t="inlineStr">
        <is>
          <t>Clothing</t>
        </is>
      </c>
      <c r="F2546" t="inlineStr">
        <is>
          <t>Laura Rossi</t>
        </is>
      </c>
      <c r="G2546" t="inlineStr">
        <is>
          <t>United States</t>
        </is>
      </c>
      <c r="H2546" t="inlineStr">
        <is>
          <t>Marketplace</t>
        </is>
      </c>
      <c r="I2546" t="n">
        <v>4</v>
      </c>
      <c r="J2546" s="3" t="n">
        <v>559.5599999999999</v>
      </c>
      <c r="K2546" s="3" t="n">
        <v>55.96</v>
      </c>
      <c r="L2546" s="3" t="n">
        <v>503.6</v>
      </c>
      <c r="M2546" s="3" t="n">
        <v>309.4</v>
      </c>
      <c r="N2546" s="3" t="n">
        <v>194.2</v>
      </c>
      <c r="O2546">
        <f>TEXT(A2546,"yyyy-mm")</f>
        <v/>
      </c>
    </row>
    <row r="2547">
      <c r="A2547" s="2" t="n">
        <v>45924</v>
      </c>
      <c r="B2547" t="n">
        <v>2025</v>
      </c>
      <c r="C2547" t="inlineStr">
        <is>
          <t>September</t>
        </is>
      </c>
      <c r="D2547" t="inlineStr">
        <is>
          <t>Classic Bike Helmet</t>
        </is>
      </c>
      <c r="E2547" t="inlineStr">
        <is>
          <t>Sports &amp; Outdoors</t>
        </is>
      </c>
      <c r="F2547" t="inlineStr">
        <is>
          <t>Paul Brown</t>
        </is>
      </c>
      <c r="G2547" t="inlineStr">
        <is>
          <t>United Kingdom</t>
        </is>
      </c>
      <c r="H2547" t="inlineStr">
        <is>
          <t>Mobile App</t>
        </is>
      </c>
      <c r="I2547" t="n">
        <v>2</v>
      </c>
      <c r="J2547" s="3" t="n">
        <v>430.06</v>
      </c>
      <c r="K2547" s="3" t="n">
        <v>0</v>
      </c>
      <c r="L2547" s="3" t="n">
        <v>430.06</v>
      </c>
      <c r="M2547" s="3" t="n">
        <v>307.62</v>
      </c>
      <c r="N2547" s="3" t="n">
        <v>122.44</v>
      </c>
      <c r="O2547">
        <f>TEXT(A2547,"yyyy-mm")</f>
        <v/>
      </c>
    </row>
    <row r="2548">
      <c r="A2548" s="2" t="n">
        <v>45926</v>
      </c>
      <c r="B2548" t="n">
        <v>2025</v>
      </c>
      <c r="C2548" t="inlineStr">
        <is>
          <t>September</t>
        </is>
      </c>
      <c r="D2548" t="inlineStr">
        <is>
          <t>Wireless Drone</t>
        </is>
      </c>
      <c r="E2548" t="inlineStr">
        <is>
          <t>Toys &amp; Games</t>
        </is>
      </c>
      <c r="F2548" t="inlineStr">
        <is>
          <t>Paul Weber</t>
        </is>
      </c>
      <c r="G2548" t="inlineStr">
        <is>
          <t>Germany</t>
        </is>
      </c>
      <c r="H2548" t="inlineStr">
        <is>
          <t>Marketplace</t>
        </is>
      </c>
      <c r="I2548" t="n">
        <v>3</v>
      </c>
      <c r="J2548" s="3" t="n">
        <v>663.03</v>
      </c>
      <c r="K2548" s="3" t="n">
        <v>33.15</v>
      </c>
      <c r="L2548" s="3" t="n">
        <v>629.88</v>
      </c>
      <c r="M2548" s="3" t="n">
        <v>393.87</v>
      </c>
      <c r="N2548" s="3" t="n">
        <v>236.01</v>
      </c>
      <c r="O2548">
        <f>TEXT(A2548,"yyyy-mm")</f>
        <v/>
      </c>
    </row>
    <row r="2549">
      <c r="A2549" s="2" t="n">
        <v>45926</v>
      </c>
      <c r="B2549" t="n">
        <v>2025</v>
      </c>
      <c r="C2549" t="inlineStr">
        <is>
          <t>September</t>
        </is>
      </c>
      <c r="D2549" t="inlineStr">
        <is>
          <t>Classic Charger</t>
        </is>
      </c>
      <c r="E2549" t="inlineStr">
        <is>
          <t>Electronics</t>
        </is>
      </c>
      <c r="F2549" t="inlineStr">
        <is>
          <t>Paul Weber</t>
        </is>
      </c>
      <c r="G2549" t="inlineStr">
        <is>
          <t>Germany</t>
        </is>
      </c>
      <c r="H2549" t="inlineStr">
        <is>
          <t>Marketplace</t>
        </is>
      </c>
      <c r="I2549" t="n">
        <v>4</v>
      </c>
      <c r="J2549" s="3" t="n">
        <v>364.2</v>
      </c>
      <c r="K2549" s="3" t="n">
        <v>54.63</v>
      </c>
      <c r="L2549" s="3" t="n">
        <v>309.57</v>
      </c>
      <c r="M2549" s="3" t="n">
        <v>248.84</v>
      </c>
      <c r="N2549" s="3" t="n">
        <v>60.73</v>
      </c>
      <c r="O2549">
        <f>TEXT(A2549,"yyyy-mm")</f>
        <v/>
      </c>
    </row>
    <row r="2550">
      <c r="A2550" s="2" t="n">
        <v>45926</v>
      </c>
      <c r="B2550" t="n">
        <v>2025</v>
      </c>
      <c r="C2550" t="inlineStr">
        <is>
          <t>September</t>
        </is>
      </c>
      <c r="D2550" t="inlineStr">
        <is>
          <t>Portable Speaker</t>
        </is>
      </c>
      <c r="E2550" t="inlineStr">
        <is>
          <t>Electronics</t>
        </is>
      </c>
      <c r="F2550" t="inlineStr">
        <is>
          <t>Paul Weber</t>
        </is>
      </c>
      <c r="G2550" t="inlineStr">
        <is>
          <t>Germany</t>
        </is>
      </c>
      <c r="H2550" t="inlineStr">
        <is>
          <t>Marketplace</t>
        </is>
      </c>
      <c r="I2550" t="n">
        <v>4</v>
      </c>
      <c r="J2550" s="3" t="n">
        <v>1350.56</v>
      </c>
      <c r="K2550" s="3" t="n">
        <v>0</v>
      </c>
      <c r="L2550" s="3" t="n">
        <v>1350.56</v>
      </c>
      <c r="M2550" s="3" t="n">
        <v>699.3200000000001</v>
      </c>
      <c r="N2550" s="3" t="n">
        <v>651.24</v>
      </c>
      <c r="O2550">
        <f>TEXT(A2550,"yyyy-mm")</f>
        <v/>
      </c>
    </row>
    <row r="2551">
      <c r="A2551" s="2" t="n">
        <v>45926</v>
      </c>
      <c r="B2551" t="n">
        <v>2025</v>
      </c>
      <c r="C2551" t="inlineStr">
        <is>
          <t>September</t>
        </is>
      </c>
      <c r="D2551" t="inlineStr">
        <is>
          <t>Smart Olive Oil</t>
        </is>
      </c>
      <c r="E2551" t="inlineStr">
        <is>
          <t>Grocery</t>
        </is>
      </c>
      <c r="F2551" t="inlineStr">
        <is>
          <t>Paul Weber</t>
        </is>
      </c>
      <c r="G2551" t="inlineStr">
        <is>
          <t>Germany</t>
        </is>
      </c>
      <c r="H2551" t="inlineStr">
        <is>
          <t>Marketplace</t>
        </is>
      </c>
      <c r="I2551" t="n">
        <v>2</v>
      </c>
      <c r="J2551" s="3" t="n">
        <v>327.34</v>
      </c>
      <c r="K2551" s="3" t="n">
        <v>16.37</v>
      </c>
      <c r="L2551" s="3" t="n">
        <v>310.97</v>
      </c>
      <c r="M2551" s="3" t="n">
        <v>220.04</v>
      </c>
      <c r="N2551" s="3" t="n">
        <v>90.93000000000001</v>
      </c>
      <c r="O2551">
        <f>TEXT(A2551,"yyyy-mm")</f>
        <v/>
      </c>
    </row>
    <row r="2552">
      <c r="A2552" s="2" t="n">
        <v>45926</v>
      </c>
      <c r="B2552" t="n">
        <v>2025</v>
      </c>
      <c r="C2552" t="inlineStr">
        <is>
          <t>September</t>
        </is>
      </c>
      <c r="D2552" t="inlineStr">
        <is>
          <t>Classic Yoga Mat</t>
        </is>
      </c>
      <c r="E2552" t="inlineStr">
        <is>
          <t>Sports &amp; Outdoors</t>
        </is>
      </c>
      <c r="F2552" t="inlineStr">
        <is>
          <t>David Moreau</t>
        </is>
      </c>
      <c r="G2552" t="inlineStr">
        <is>
          <t>Poland</t>
        </is>
      </c>
      <c r="H2552" t="inlineStr">
        <is>
          <t>Web Store</t>
        </is>
      </c>
      <c r="I2552" t="n">
        <v>3</v>
      </c>
      <c r="J2552" s="3" t="n">
        <v>1044.06</v>
      </c>
      <c r="K2552" s="3" t="n">
        <v>52.2</v>
      </c>
      <c r="L2552" s="3" t="n">
        <v>991.86</v>
      </c>
      <c r="M2552" s="3" t="n">
        <v>587.1</v>
      </c>
      <c r="N2552" s="3" t="n">
        <v>404.76</v>
      </c>
      <c r="O2552">
        <f>TEXT(A2552,"yyyy-mm")</f>
        <v/>
      </c>
    </row>
    <row r="2553">
      <c r="A2553" s="2" t="n">
        <v>45927</v>
      </c>
      <c r="B2553" t="n">
        <v>2025</v>
      </c>
      <c r="C2553" t="inlineStr">
        <is>
          <t>September</t>
        </is>
      </c>
      <c r="D2553" t="inlineStr">
        <is>
          <t>Eco Tent</t>
        </is>
      </c>
      <c r="E2553" t="inlineStr">
        <is>
          <t>Sports &amp; Outdoors</t>
        </is>
      </c>
      <c r="F2553" t="inlineStr">
        <is>
          <t>Maria Bianchi</t>
        </is>
      </c>
      <c r="G2553" t="inlineStr">
        <is>
          <t>France</t>
        </is>
      </c>
      <c r="H2553" t="inlineStr">
        <is>
          <t>Web Store</t>
        </is>
      </c>
      <c r="I2553" t="n">
        <v>3</v>
      </c>
      <c r="J2553" s="3" t="n">
        <v>748.11</v>
      </c>
      <c r="K2553" s="3" t="n">
        <v>0</v>
      </c>
      <c r="L2553" s="3" t="n">
        <v>748.11</v>
      </c>
      <c r="M2553" s="3" t="n">
        <v>405.09</v>
      </c>
      <c r="N2553" s="3" t="n">
        <v>343.02</v>
      </c>
      <c r="O2553">
        <f>TEXT(A2553,"yyyy-mm")</f>
        <v/>
      </c>
    </row>
    <row r="2554">
      <c r="A2554" s="2" t="n">
        <v>45927</v>
      </c>
      <c r="B2554" t="n">
        <v>2025</v>
      </c>
      <c r="C2554" t="inlineStr">
        <is>
          <t>September</t>
        </is>
      </c>
      <c r="D2554" t="inlineStr">
        <is>
          <t>Smart Jeans</t>
        </is>
      </c>
      <c r="E2554" t="inlineStr">
        <is>
          <t>Clothing</t>
        </is>
      </c>
      <c r="F2554" t="inlineStr">
        <is>
          <t>Sophie Schmidt</t>
        </is>
      </c>
      <c r="G2554" t="inlineStr">
        <is>
          <t>Germany</t>
        </is>
      </c>
      <c r="H2554" t="inlineStr">
        <is>
          <t>Marketplace</t>
        </is>
      </c>
      <c r="I2554" t="n">
        <v>4</v>
      </c>
      <c r="J2554" s="3" t="n">
        <v>1169.72</v>
      </c>
      <c r="K2554" s="3" t="n">
        <v>58.49</v>
      </c>
      <c r="L2554" s="3" t="n">
        <v>1111.23</v>
      </c>
      <c r="M2554" s="3" t="n">
        <v>774.5599999999999</v>
      </c>
      <c r="N2554" s="3" t="n">
        <v>336.67</v>
      </c>
      <c r="O2554">
        <f>TEXT(A2554,"yyyy-mm")</f>
        <v/>
      </c>
    </row>
    <row r="2555">
      <c r="A2555" s="2" t="n">
        <v>45927</v>
      </c>
      <c r="B2555" t="n">
        <v>2025</v>
      </c>
      <c r="C2555" t="inlineStr">
        <is>
          <t>September</t>
        </is>
      </c>
      <c r="D2555" t="inlineStr">
        <is>
          <t>Wireless Cookbook</t>
        </is>
      </c>
      <c r="E2555" t="inlineStr">
        <is>
          <t>Books</t>
        </is>
      </c>
      <c r="F2555" t="inlineStr">
        <is>
          <t>Olivia Wilson</t>
        </is>
      </c>
      <c r="G2555" t="inlineStr">
        <is>
          <t>France</t>
        </is>
      </c>
      <c r="H2555" t="inlineStr">
        <is>
          <t>Mobile App</t>
        </is>
      </c>
      <c r="I2555" t="n">
        <v>2</v>
      </c>
      <c r="J2555" s="3" t="n">
        <v>146.48</v>
      </c>
      <c r="K2555" s="3" t="n">
        <v>21.97</v>
      </c>
      <c r="L2555" s="3" t="n">
        <v>124.51</v>
      </c>
      <c r="M2555" s="3" t="n">
        <v>113.22</v>
      </c>
      <c r="N2555" s="3" t="n">
        <v>11.29</v>
      </c>
      <c r="O2555">
        <f>TEXT(A2555,"yyyy-mm")</f>
        <v/>
      </c>
    </row>
    <row r="2556">
      <c r="A2556" s="2" t="n">
        <v>45927</v>
      </c>
      <c r="B2556" t="n">
        <v>2025</v>
      </c>
      <c r="C2556" t="inlineStr">
        <is>
          <t>September</t>
        </is>
      </c>
      <c r="D2556" t="inlineStr">
        <is>
          <t>Wireless Honey</t>
        </is>
      </c>
      <c r="E2556" t="inlineStr">
        <is>
          <t>Grocery</t>
        </is>
      </c>
      <c r="F2556" t="inlineStr">
        <is>
          <t>Olivia Wilson</t>
        </is>
      </c>
      <c r="G2556" t="inlineStr">
        <is>
          <t>France</t>
        </is>
      </c>
      <c r="H2556" t="inlineStr">
        <is>
          <t>Mobile App</t>
        </is>
      </c>
      <c r="I2556" t="n">
        <v>5</v>
      </c>
      <c r="J2556" s="3" t="n">
        <v>622.9</v>
      </c>
      <c r="K2556" s="3" t="n">
        <v>0</v>
      </c>
      <c r="L2556" s="3" t="n">
        <v>622.9</v>
      </c>
      <c r="M2556" s="3" t="n">
        <v>470.35</v>
      </c>
      <c r="N2556" s="3" t="n">
        <v>152.55</v>
      </c>
      <c r="O2556">
        <f>TEXT(A2556,"yyyy-mm")</f>
        <v/>
      </c>
    </row>
    <row r="2557">
      <c r="A2557" s="2" t="n">
        <v>45927</v>
      </c>
      <c r="B2557" t="n">
        <v>2025</v>
      </c>
      <c r="C2557" t="inlineStr">
        <is>
          <t>September</t>
        </is>
      </c>
      <c r="D2557" t="inlineStr">
        <is>
          <t>Premium Water Bottle</t>
        </is>
      </c>
      <c r="E2557" t="inlineStr">
        <is>
          <t>Sports &amp; Outdoors</t>
        </is>
      </c>
      <c r="F2557" t="inlineStr">
        <is>
          <t>Olivia Wilson</t>
        </is>
      </c>
      <c r="G2557" t="inlineStr">
        <is>
          <t>France</t>
        </is>
      </c>
      <c r="H2557" t="inlineStr">
        <is>
          <t>Mobile App</t>
        </is>
      </c>
      <c r="I2557" t="n">
        <v>5</v>
      </c>
      <c r="J2557" s="3" t="n">
        <v>154.05</v>
      </c>
      <c r="K2557" s="3" t="n">
        <v>7.7</v>
      </c>
      <c r="L2557" s="3" t="n">
        <v>146.35</v>
      </c>
      <c r="M2557" s="3" t="n">
        <v>83.15000000000001</v>
      </c>
      <c r="N2557" s="3" t="n">
        <v>63.2</v>
      </c>
      <c r="O2557">
        <f>TEXT(A2557,"yyyy-mm")</f>
        <v/>
      </c>
    </row>
    <row r="2558">
      <c r="A2558" s="2" t="n">
        <v>45928</v>
      </c>
      <c r="B2558" t="n">
        <v>2025</v>
      </c>
      <c r="C2558" t="inlineStr">
        <is>
          <t>September</t>
        </is>
      </c>
      <c r="D2558" t="inlineStr">
        <is>
          <t>Smart Camera</t>
        </is>
      </c>
      <c r="E2558" t="inlineStr">
        <is>
          <t>Electronics</t>
        </is>
      </c>
      <c r="F2558" t="inlineStr">
        <is>
          <t>Daniel Zielinski</t>
        </is>
      </c>
      <c r="G2558" t="inlineStr">
        <is>
          <t>United States</t>
        </is>
      </c>
      <c r="H2558" t="inlineStr">
        <is>
          <t>Retail Store</t>
        </is>
      </c>
      <c r="I2558" t="n">
        <v>3</v>
      </c>
      <c r="J2558" s="3" t="n">
        <v>354.69</v>
      </c>
      <c r="K2558" s="3" t="n">
        <v>0</v>
      </c>
      <c r="L2558" s="3" t="n">
        <v>354.69</v>
      </c>
      <c r="M2558" s="3" t="n">
        <v>256.74</v>
      </c>
      <c r="N2558" s="3" t="n">
        <v>97.95</v>
      </c>
      <c r="O2558">
        <f>TEXT(A2558,"yyyy-mm")</f>
        <v/>
      </c>
    </row>
    <row r="2559">
      <c r="A2559" s="2" t="n">
        <v>45928</v>
      </c>
      <c r="B2559" t="n">
        <v>2025</v>
      </c>
      <c r="C2559" t="inlineStr">
        <is>
          <t>September</t>
        </is>
      </c>
      <c r="D2559" t="inlineStr">
        <is>
          <t>Classic Charger</t>
        </is>
      </c>
      <c r="E2559" t="inlineStr">
        <is>
          <t>Electronics</t>
        </is>
      </c>
      <c r="F2559" t="inlineStr">
        <is>
          <t>Daniel Zielinski</t>
        </is>
      </c>
      <c r="G2559" t="inlineStr">
        <is>
          <t>United States</t>
        </is>
      </c>
      <c r="H2559" t="inlineStr">
        <is>
          <t>Retail Store</t>
        </is>
      </c>
      <c r="I2559" t="n">
        <v>1</v>
      </c>
      <c r="J2559" s="3" t="n">
        <v>95.94</v>
      </c>
      <c r="K2559" s="3" t="n">
        <v>9.59</v>
      </c>
      <c r="L2559" s="3" t="n">
        <v>86.34999999999999</v>
      </c>
      <c r="M2559" s="3" t="n">
        <v>62.21</v>
      </c>
      <c r="N2559" s="3" t="n">
        <v>24.14</v>
      </c>
      <c r="O2559">
        <f>TEXT(A2559,"yyyy-mm")</f>
        <v/>
      </c>
    </row>
    <row r="2560">
      <c r="A2560" s="2" t="n">
        <v>45928</v>
      </c>
      <c r="B2560" t="n">
        <v>2025</v>
      </c>
      <c r="C2560" t="inlineStr">
        <is>
          <t>September</t>
        </is>
      </c>
      <c r="D2560" t="inlineStr">
        <is>
          <t>Premium Cookbook</t>
        </is>
      </c>
      <c r="E2560" t="inlineStr">
        <is>
          <t>Books</t>
        </is>
      </c>
      <c r="F2560" t="inlineStr">
        <is>
          <t>Daniel Zielinski</t>
        </is>
      </c>
      <c r="G2560" t="inlineStr">
        <is>
          <t>United States</t>
        </is>
      </c>
      <c r="H2560" t="inlineStr">
        <is>
          <t>Retail Store</t>
        </is>
      </c>
      <c r="I2560" t="n">
        <v>2</v>
      </c>
      <c r="J2560" s="3" t="n">
        <v>264.18</v>
      </c>
      <c r="K2560" s="3" t="n">
        <v>13.21</v>
      </c>
      <c r="L2560" s="3" t="n">
        <v>250.97</v>
      </c>
      <c r="M2560" s="3" t="n">
        <v>189.96</v>
      </c>
      <c r="N2560" s="3" t="n">
        <v>61.01</v>
      </c>
      <c r="O2560">
        <f>TEXT(A2560,"yyyy-mm")</f>
        <v/>
      </c>
    </row>
    <row r="2561">
      <c r="A2561" s="2" t="n">
        <v>45928</v>
      </c>
      <c r="B2561" t="n">
        <v>2025</v>
      </c>
      <c r="C2561" t="inlineStr">
        <is>
          <t>September</t>
        </is>
      </c>
      <c r="D2561" t="inlineStr">
        <is>
          <t>Smart Drone</t>
        </is>
      </c>
      <c r="E2561" t="inlineStr">
        <is>
          <t>Toys &amp; Games</t>
        </is>
      </c>
      <c r="F2561" t="inlineStr">
        <is>
          <t>Daniel Zielinski</t>
        </is>
      </c>
      <c r="G2561" t="inlineStr">
        <is>
          <t>United States</t>
        </is>
      </c>
      <c r="H2561" t="inlineStr">
        <is>
          <t>Retail Store</t>
        </is>
      </c>
      <c r="I2561" t="n">
        <v>4</v>
      </c>
      <c r="J2561" s="3" t="n">
        <v>925.8</v>
      </c>
      <c r="K2561" s="3" t="n">
        <v>46.29</v>
      </c>
      <c r="L2561" s="3" t="n">
        <v>879.51</v>
      </c>
      <c r="M2561" s="3" t="n">
        <v>507.8</v>
      </c>
      <c r="N2561" s="3" t="n">
        <v>371.71</v>
      </c>
      <c r="O2561">
        <f>TEXT(A2561,"yyyy-mm")</f>
        <v/>
      </c>
    </row>
    <row r="2562">
      <c r="A2562" s="2" t="n">
        <v>45928</v>
      </c>
      <c r="B2562" t="n">
        <v>2025</v>
      </c>
      <c r="C2562" t="inlineStr">
        <is>
          <t>September</t>
        </is>
      </c>
      <c r="D2562" t="inlineStr">
        <is>
          <t>Wireless Coffee Beans</t>
        </is>
      </c>
      <c r="E2562" t="inlineStr">
        <is>
          <t>Grocery</t>
        </is>
      </c>
      <c r="F2562" t="inlineStr">
        <is>
          <t>Nina Fischer</t>
        </is>
      </c>
      <c r="G2562" t="inlineStr">
        <is>
          <t>Netherlands</t>
        </is>
      </c>
      <c r="H2562" t="inlineStr">
        <is>
          <t>Mobile App</t>
        </is>
      </c>
      <c r="I2562" t="n">
        <v>5</v>
      </c>
      <c r="J2562" s="3" t="n">
        <v>580.5</v>
      </c>
      <c r="K2562" s="3" t="n">
        <v>0</v>
      </c>
      <c r="L2562" s="3" t="n">
        <v>580.5</v>
      </c>
      <c r="M2562" s="3" t="n">
        <v>396.85</v>
      </c>
      <c r="N2562" s="3" t="n">
        <v>183.65</v>
      </c>
      <c r="O2562">
        <f>TEXT(A2562,"yyyy-mm")</f>
        <v/>
      </c>
    </row>
    <row r="2563">
      <c r="A2563" s="2" t="n">
        <v>45928</v>
      </c>
      <c r="B2563" t="n">
        <v>2025</v>
      </c>
      <c r="C2563" t="inlineStr">
        <is>
          <t>September</t>
        </is>
      </c>
      <c r="D2563" t="inlineStr">
        <is>
          <t>Essential Toolset</t>
        </is>
      </c>
      <c r="E2563" t="inlineStr">
        <is>
          <t>Home &amp; Garden</t>
        </is>
      </c>
      <c r="F2563" t="inlineStr">
        <is>
          <t>Nina Fischer</t>
        </is>
      </c>
      <c r="G2563" t="inlineStr">
        <is>
          <t>Netherlands</t>
        </is>
      </c>
      <c r="H2563" t="inlineStr">
        <is>
          <t>Mobile App</t>
        </is>
      </c>
      <c r="I2563" t="n">
        <v>5</v>
      </c>
      <c r="J2563" s="3" t="n">
        <v>1022.35</v>
      </c>
      <c r="K2563" s="3" t="n">
        <v>102.24</v>
      </c>
      <c r="L2563" s="3" t="n">
        <v>920.12</v>
      </c>
      <c r="M2563" s="3" t="n">
        <v>752.65</v>
      </c>
      <c r="N2563" s="3" t="n">
        <v>167.47</v>
      </c>
      <c r="O2563">
        <f>TEXT(A2563,"yyyy-mm")</f>
        <v/>
      </c>
    </row>
    <row r="2564">
      <c r="A2564" s="2" t="n">
        <v>45929</v>
      </c>
      <c r="B2564" t="n">
        <v>2025</v>
      </c>
      <c r="C2564" t="inlineStr">
        <is>
          <t>September</t>
        </is>
      </c>
      <c r="D2564" t="inlineStr">
        <is>
          <t>Wireless Coffee Beans</t>
        </is>
      </c>
      <c r="E2564" t="inlineStr">
        <is>
          <t>Grocery</t>
        </is>
      </c>
      <c r="F2564" t="inlineStr">
        <is>
          <t>James Kowalski</t>
        </is>
      </c>
      <c r="G2564" t="inlineStr">
        <is>
          <t>Germany</t>
        </is>
      </c>
      <c r="H2564" t="inlineStr">
        <is>
          <t>Web Store</t>
        </is>
      </c>
      <c r="I2564" t="n">
        <v>5</v>
      </c>
      <c r="J2564" s="3" t="n">
        <v>586.3</v>
      </c>
      <c r="K2564" s="3" t="n">
        <v>117.26</v>
      </c>
      <c r="L2564" s="3" t="n">
        <v>469.04</v>
      </c>
      <c r="M2564" s="3" t="n">
        <v>396.85</v>
      </c>
      <c r="N2564" s="3" t="n">
        <v>72.19</v>
      </c>
      <c r="O2564">
        <f>TEXT(A2564,"yyyy-mm")</f>
        <v/>
      </c>
    </row>
    <row r="2565">
      <c r="A2565" s="2" t="n">
        <v>45929</v>
      </c>
      <c r="B2565" t="n">
        <v>2025</v>
      </c>
      <c r="C2565" t="inlineStr">
        <is>
          <t>September</t>
        </is>
      </c>
      <c r="D2565" t="inlineStr">
        <is>
          <t>Classic Coffee Beans</t>
        </is>
      </c>
      <c r="E2565" t="inlineStr">
        <is>
          <t>Grocery</t>
        </is>
      </c>
      <c r="F2565" t="inlineStr">
        <is>
          <t>James Kowalski</t>
        </is>
      </c>
      <c r="G2565" t="inlineStr">
        <is>
          <t>Germany</t>
        </is>
      </c>
      <c r="H2565" t="inlineStr">
        <is>
          <t>Web Store</t>
        </is>
      </c>
      <c r="I2565" t="n">
        <v>5</v>
      </c>
      <c r="J2565" s="3" t="n">
        <v>1669.5</v>
      </c>
      <c r="K2565" s="3" t="n">
        <v>83.48</v>
      </c>
      <c r="L2565" s="3" t="n">
        <v>1586.02</v>
      </c>
      <c r="M2565" s="3" t="n">
        <v>973.8</v>
      </c>
      <c r="N2565" s="3" t="n">
        <v>612.23</v>
      </c>
      <c r="O2565">
        <f>TEXT(A2565,"yyyy-mm")</f>
        <v/>
      </c>
    </row>
    <row r="2566">
      <c r="A2566" s="2" t="n">
        <v>45929</v>
      </c>
      <c r="B2566" t="n">
        <v>2025</v>
      </c>
      <c r="C2566" t="inlineStr">
        <is>
          <t>September</t>
        </is>
      </c>
      <c r="D2566" t="inlineStr">
        <is>
          <t>Classic Tent</t>
        </is>
      </c>
      <c r="E2566" t="inlineStr">
        <is>
          <t>Sports &amp; Outdoors</t>
        </is>
      </c>
      <c r="F2566" t="inlineStr">
        <is>
          <t>Michael Martin</t>
        </is>
      </c>
      <c r="G2566" t="inlineStr">
        <is>
          <t>Italy</t>
        </is>
      </c>
      <c r="H2566" t="inlineStr">
        <is>
          <t>Web Store</t>
        </is>
      </c>
      <c r="I2566" t="n">
        <v>3</v>
      </c>
      <c r="J2566" s="3" t="n">
        <v>607.65</v>
      </c>
      <c r="K2566" s="3" t="n">
        <v>91.15000000000001</v>
      </c>
      <c r="L2566" s="3" t="n">
        <v>516.5</v>
      </c>
      <c r="M2566" s="3" t="n">
        <v>354.06</v>
      </c>
      <c r="N2566" s="3" t="n">
        <v>162.44</v>
      </c>
      <c r="O2566">
        <f>TEXT(A2566,"yyyy-mm")</f>
        <v/>
      </c>
    </row>
    <row r="2567">
      <c r="A2567" s="2" t="n">
        <v>45929</v>
      </c>
      <c r="B2567" t="n">
        <v>2025</v>
      </c>
      <c r="C2567" t="inlineStr">
        <is>
          <t>September</t>
        </is>
      </c>
      <c r="D2567" t="inlineStr">
        <is>
          <t>Essential Lamp</t>
        </is>
      </c>
      <c r="E2567" t="inlineStr">
        <is>
          <t>Home &amp; Garden</t>
        </is>
      </c>
      <c r="F2567" t="inlineStr">
        <is>
          <t>Michael Martin</t>
        </is>
      </c>
      <c r="G2567" t="inlineStr">
        <is>
          <t>Italy</t>
        </is>
      </c>
      <c r="H2567" t="inlineStr">
        <is>
          <t>Web Store</t>
        </is>
      </c>
      <c r="I2567" t="n">
        <v>5</v>
      </c>
      <c r="J2567" s="3" t="n">
        <v>331.15</v>
      </c>
      <c r="K2567" s="3" t="n">
        <v>33.12</v>
      </c>
      <c r="L2567" s="3" t="n">
        <v>298.04</v>
      </c>
      <c r="M2567" s="3" t="n">
        <v>227</v>
      </c>
      <c r="N2567" s="3" t="n">
        <v>71.04000000000001</v>
      </c>
      <c r="O2567">
        <f>TEXT(A2567,"yyyy-mm")</f>
        <v/>
      </c>
    </row>
    <row r="2568">
      <c r="A2568" s="2" t="n">
        <v>45929</v>
      </c>
      <c r="B2568" t="n">
        <v>2025</v>
      </c>
      <c r="C2568" t="inlineStr">
        <is>
          <t>September</t>
        </is>
      </c>
      <c r="D2568" t="inlineStr">
        <is>
          <t>Ultra Vitamins</t>
        </is>
      </c>
      <c r="E2568" t="inlineStr">
        <is>
          <t>Beauty &amp; Health</t>
        </is>
      </c>
      <c r="F2568" t="inlineStr">
        <is>
          <t>Michael Martin</t>
        </is>
      </c>
      <c r="G2568" t="inlineStr">
        <is>
          <t>Italy</t>
        </is>
      </c>
      <c r="H2568" t="inlineStr">
        <is>
          <t>Web Store</t>
        </is>
      </c>
      <c r="I2568" t="n">
        <v>2</v>
      </c>
      <c r="J2568" s="3" t="n">
        <v>404.9</v>
      </c>
      <c r="K2568" s="3" t="n">
        <v>0</v>
      </c>
      <c r="L2568" s="3" t="n">
        <v>404.9</v>
      </c>
      <c r="M2568" s="3" t="n">
        <v>252.2</v>
      </c>
      <c r="N2568" s="3" t="n">
        <v>152.7</v>
      </c>
      <c r="O2568">
        <f>TEXT(A2568,"yyyy-mm")</f>
        <v/>
      </c>
    </row>
    <row r="2569">
      <c r="A2569" s="2" t="n">
        <v>45929</v>
      </c>
      <c r="B2569" t="n">
        <v>2025</v>
      </c>
      <c r="C2569" t="inlineStr">
        <is>
          <t>September</t>
        </is>
      </c>
      <c r="D2569" t="inlineStr">
        <is>
          <t>Portable Toolset</t>
        </is>
      </c>
      <c r="E2569" t="inlineStr">
        <is>
          <t>Home &amp; Garden</t>
        </is>
      </c>
      <c r="F2569" t="inlineStr">
        <is>
          <t>Olivia Brown</t>
        </is>
      </c>
      <c r="G2569" t="inlineStr">
        <is>
          <t>United States</t>
        </is>
      </c>
      <c r="H2569" t="inlineStr">
        <is>
          <t>Web Store</t>
        </is>
      </c>
      <c r="I2569" t="n">
        <v>2</v>
      </c>
      <c r="J2569" s="3" t="n">
        <v>293.38</v>
      </c>
      <c r="K2569" s="3" t="n">
        <v>58.68</v>
      </c>
      <c r="L2569" s="3" t="n">
        <v>234.7</v>
      </c>
      <c r="M2569" s="3" t="n">
        <v>185.7</v>
      </c>
      <c r="N2569" s="3" t="n">
        <v>49</v>
      </c>
      <c r="O2569">
        <f>TEXT(A2569,"yyyy-mm")</f>
        <v/>
      </c>
    </row>
    <row r="2570">
      <c r="A2570" s="2" t="n">
        <v>45929</v>
      </c>
      <c r="B2570" t="n">
        <v>2025</v>
      </c>
      <c r="C2570" t="inlineStr">
        <is>
          <t>September</t>
        </is>
      </c>
      <c r="D2570" t="inlineStr">
        <is>
          <t>Classic Coffee Beans</t>
        </is>
      </c>
      <c r="E2570" t="inlineStr">
        <is>
          <t>Grocery</t>
        </is>
      </c>
      <c r="F2570" t="inlineStr">
        <is>
          <t>Olivia Brown</t>
        </is>
      </c>
      <c r="G2570" t="inlineStr">
        <is>
          <t>United States</t>
        </is>
      </c>
      <c r="H2570" t="inlineStr">
        <is>
          <t>Web Store</t>
        </is>
      </c>
      <c r="I2570" t="n">
        <v>5</v>
      </c>
      <c r="J2570" s="3" t="n">
        <v>1686.75</v>
      </c>
      <c r="K2570" s="3" t="n">
        <v>168.68</v>
      </c>
      <c r="L2570" s="3" t="n">
        <v>1518.08</v>
      </c>
      <c r="M2570" s="3" t="n">
        <v>973.8</v>
      </c>
      <c r="N2570" s="3" t="n">
        <v>544.28</v>
      </c>
      <c r="O2570">
        <f>TEXT(A2570,"yyyy-mm")</f>
        <v/>
      </c>
    </row>
    <row r="2571">
      <c r="A2571" s="2" t="n">
        <v>45929</v>
      </c>
      <c r="B2571" t="n">
        <v>2025</v>
      </c>
      <c r="C2571" t="inlineStr">
        <is>
          <t>September</t>
        </is>
      </c>
      <c r="D2571" t="inlineStr">
        <is>
          <t>Portable Speaker</t>
        </is>
      </c>
      <c r="E2571" t="inlineStr">
        <is>
          <t>Electronics</t>
        </is>
      </c>
      <c r="F2571" t="inlineStr">
        <is>
          <t>Olivia Brown</t>
        </is>
      </c>
      <c r="G2571" t="inlineStr">
        <is>
          <t>United States</t>
        </is>
      </c>
      <c r="H2571" t="inlineStr">
        <is>
          <t>Web Store</t>
        </is>
      </c>
      <c r="I2571" t="n">
        <v>4</v>
      </c>
      <c r="J2571" s="3" t="n">
        <v>1277.36</v>
      </c>
      <c r="K2571" s="3" t="n">
        <v>63.87</v>
      </c>
      <c r="L2571" s="3" t="n">
        <v>1213.49</v>
      </c>
      <c r="M2571" s="3" t="n">
        <v>699.3200000000001</v>
      </c>
      <c r="N2571" s="3" t="n">
        <v>514.17</v>
      </c>
      <c r="O2571">
        <f>TEXT(A2571,"yyyy-mm")</f>
        <v/>
      </c>
    </row>
    <row r="2572">
      <c r="A2572" s="2" t="n">
        <v>45931</v>
      </c>
      <c r="B2572" t="n">
        <v>2025</v>
      </c>
      <c r="C2572" t="inlineStr">
        <is>
          <t>October</t>
        </is>
      </c>
      <c r="D2572" t="inlineStr">
        <is>
          <t>Wireless Backpack</t>
        </is>
      </c>
      <c r="E2572" t="inlineStr">
        <is>
          <t>Sports &amp; Outdoors</t>
        </is>
      </c>
      <c r="F2572" t="inlineStr">
        <is>
          <t>Olivia Garcia</t>
        </is>
      </c>
      <c r="G2572" t="inlineStr">
        <is>
          <t>United States</t>
        </is>
      </c>
      <c r="H2572" t="inlineStr">
        <is>
          <t>Mobile App</t>
        </is>
      </c>
      <c r="I2572" t="n">
        <v>2</v>
      </c>
      <c r="J2572" s="3" t="n">
        <v>97.84</v>
      </c>
      <c r="K2572" s="3" t="n">
        <v>0</v>
      </c>
      <c r="L2572" s="3" t="n">
        <v>97.84</v>
      </c>
      <c r="M2572" s="3" t="n">
        <v>56.2</v>
      </c>
      <c r="N2572" s="3" t="n">
        <v>41.64</v>
      </c>
      <c r="O2572">
        <f>TEXT(A2572,"yyyy-mm")</f>
        <v/>
      </c>
    </row>
    <row r="2573">
      <c r="A2573" s="2" t="n">
        <v>45931</v>
      </c>
      <c r="B2573" t="n">
        <v>2025</v>
      </c>
      <c r="C2573" t="inlineStr">
        <is>
          <t>October</t>
        </is>
      </c>
      <c r="D2573" t="inlineStr">
        <is>
          <t>Compact Pasta</t>
        </is>
      </c>
      <c r="E2573" t="inlineStr">
        <is>
          <t>Grocery</t>
        </is>
      </c>
      <c r="F2573" t="inlineStr">
        <is>
          <t>Olivia Garcia</t>
        </is>
      </c>
      <c r="G2573" t="inlineStr">
        <is>
          <t>United States</t>
        </is>
      </c>
      <c r="H2573" t="inlineStr">
        <is>
          <t>Mobile App</t>
        </is>
      </c>
      <c r="I2573" t="n">
        <v>4</v>
      </c>
      <c r="J2573" s="3" t="n">
        <v>1281.76</v>
      </c>
      <c r="K2573" s="3" t="n">
        <v>192.26</v>
      </c>
      <c r="L2573" s="3" t="n">
        <v>1089.5</v>
      </c>
      <c r="M2573" s="3" t="n">
        <v>797.6</v>
      </c>
      <c r="N2573" s="3" t="n">
        <v>291.9</v>
      </c>
      <c r="O2573">
        <f>TEXT(A2573,"yyyy-mm")</f>
        <v/>
      </c>
    </row>
    <row r="2574">
      <c r="A2574" s="2" t="n">
        <v>45931</v>
      </c>
      <c r="B2574" t="n">
        <v>2025</v>
      </c>
      <c r="C2574" t="inlineStr">
        <is>
          <t>October</t>
        </is>
      </c>
      <c r="D2574" t="inlineStr">
        <is>
          <t>Eco Biography</t>
        </is>
      </c>
      <c r="E2574" t="inlineStr">
        <is>
          <t>Books</t>
        </is>
      </c>
      <c r="F2574" t="inlineStr">
        <is>
          <t>Olivia Garcia</t>
        </is>
      </c>
      <c r="G2574" t="inlineStr">
        <is>
          <t>United States</t>
        </is>
      </c>
      <c r="H2574" t="inlineStr">
        <is>
          <t>Mobile App</t>
        </is>
      </c>
      <c r="I2574" t="n">
        <v>2</v>
      </c>
      <c r="J2574" s="3" t="n">
        <v>235.18</v>
      </c>
      <c r="K2574" s="3" t="n">
        <v>0</v>
      </c>
      <c r="L2574" s="3" t="n">
        <v>235.18</v>
      </c>
      <c r="M2574" s="3" t="n">
        <v>142.04</v>
      </c>
      <c r="N2574" s="3" t="n">
        <v>93.14</v>
      </c>
      <c r="O2574">
        <f>TEXT(A2574,"yyyy-mm")</f>
        <v/>
      </c>
    </row>
    <row r="2575">
      <c r="A2575" s="2" t="n">
        <v>45931</v>
      </c>
      <c r="B2575" t="n">
        <v>2025</v>
      </c>
      <c r="C2575" t="inlineStr">
        <is>
          <t>October</t>
        </is>
      </c>
      <c r="D2575" t="inlineStr">
        <is>
          <t>Ultra Rug</t>
        </is>
      </c>
      <c r="E2575" t="inlineStr">
        <is>
          <t>Home &amp; Garden</t>
        </is>
      </c>
      <c r="F2575" t="inlineStr">
        <is>
          <t>Olivia Garcia</t>
        </is>
      </c>
      <c r="G2575" t="inlineStr">
        <is>
          <t>United States</t>
        </is>
      </c>
      <c r="H2575" t="inlineStr">
        <is>
          <t>Mobile App</t>
        </is>
      </c>
      <c r="I2575" t="n">
        <v>2</v>
      </c>
      <c r="J2575" s="3" t="n">
        <v>99.58</v>
      </c>
      <c r="K2575" s="3" t="n">
        <v>4.98</v>
      </c>
      <c r="L2575" s="3" t="n">
        <v>94.59999999999999</v>
      </c>
      <c r="M2575" s="3" t="n">
        <v>65.81999999999999</v>
      </c>
      <c r="N2575" s="3" t="n">
        <v>28.78</v>
      </c>
      <c r="O2575">
        <f>TEXT(A2575,"yyyy-mm")</f>
        <v/>
      </c>
    </row>
    <row r="2576">
      <c r="A2576" s="2" t="n">
        <v>45931</v>
      </c>
      <c r="B2576" t="n">
        <v>2025</v>
      </c>
      <c r="C2576" t="inlineStr">
        <is>
          <t>October</t>
        </is>
      </c>
      <c r="D2576" t="inlineStr">
        <is>
          <t>Premium Water Bottle</t>
        </is>
      </c>
      <c r="E2576" t="inlineStr">
        <is>
          <t>Sports &amp; Outdoors</t>
        </is>
      </c>
      <c r="F2576" t="inlineStr">
        <is>
          <t>Olivia Smith</t>
        </is>
      </c>
      <c r="G2576" t="inlineStr">
        <is>
          <t>Germany</t>
        </is>
      </c>
      <c r="H2576" t="inlineStr">
        <is>
          <t>Mobile App</t>
        </is>
      </c>
      <c r="I2576" t="n">
        <v>2</v>
      </c>
      <c r="J2576" s="3" t="n">
        <v>253.98</v>
      </c>
      <c r="K2576" s="3" t="n">
        <v>25.4</v>
      </c>
      <c r="L2576" s="3" t="n">
        <v>228.58</v>
      </c>
      <c r="M2576" s="3" t="n">
        <v>179.24</v>
      </c>
      <c r="N2576" s="3" t="n">
        <v>49.34</v>
      </c>
      <c r="O2576">
        <f>TEXT(A2576,"yyyy-mm")</f>
        <v/>
      </c>
    </row>
    <row r="2577">
      <c r="A2577" s="2" t="n">
        <v>45931</v>
      </c>
      <c r="B2577" t="n">
        <v>2025</v>
      </c>
      <c r="C2577" t="inlineStr">
        <is>
          <t>October</t>
        </is>
      </c>
      <c r="D2577" t="inlineStr">
        <is>
          <t>Essential Lamp</t>
        </is>
      </c>
      <c r="E2577" t="inlineStr">
        <is>
          <t>Home &amp; Garden</t>
        </is>
      </c>
      <c r="F2577" t="inlineStr">
        <is>
          <t>Olivia Smith</t>
        </is>
      </c>
      <c r="G2577" t="inlineStr">
        <is>
          <t>Germany</t>
        </is>
      </c>
      <c r="H2577" t="inlineStr">
        <is>
          <t>Mobile App</t>
        </is>
      </c>
      <c r="I2577" t="n">
        <v>1</v>
      </c>
      <c r="J2577" s="3" t="n">
        <v>64.36</v>
      </c>
      <c r="K2577" s="3" t="n">
        <v>12.87</v>
      </c>
      <c r="L2577" s="3" t="n">
        <v>51.49</v>
      </c>
      <c r="M2577" s="3" t="n">
        <v>45.4</v>
      </c>
      <c r="N2577" s="3" t="n">
        <v>6.09</v>
      </c>
      <c r="O2577">
        <f>TEXT(A2577,"yyyy-mm")</f>
        <v/>
      </c>
    </row>
    <row r="2578">
      <c r="A2578" s="2" t="n">
        <v>45931</v>
      </c>
      <c r="B2578" t="n">
        <v>2025</v>
      </c>
      <c r="C2578" t="inlineStr">
        <is>
          <t>October</t>
        </is>
      </c>
      <c r="D2578" t="inlineStr">
        <is>
          <t>Smart Olive Oil</t>
        </is>
      </c>
      <c r="E2578" t="inlineStr">
        <is>
          <t>Grocery</t>
        </is>
      </c>
      <c r="F2578" t="inlineStr">
        <is>
          <t>Olivia Smith</t>
        </is>
      </c>
      <c r="G2578" t="inlineStr">
        <is>
          <t>Germany</t>
        </is>
      </c>
      <c r="H2578" t="inlineStr">
        <is>
          <t>Mobile App</t>
        </is>
      </c>
      <c r="I2578" t="n">
        <v>1</v>
      </c>
      <c r="J2578" s="3" t="n">
        <v>158.37</v>
      </c>
      <c r="K2578" s="3" t="n">
        <v>15.84</v>
      </c>
      <c r="L2578" s="3" t="n">
        <v>142.53</v>
      </c>
      <c r="M2578" s="3" t="n">
        <v>110.02</v>
      </c>
      <c r="N2578" s="3" t="n">
        <v>32.51</v>
      </c>
      <c r="O2578">
        <f>TEXT(A2578,"yyyy-mm")</f>
        <v/>
      </c>
    </row>
    <row r="2579">
      <c r="A2579" s="2" t="n">
        <v>45931</v>
      </c>
      <c r="B2579" t="n">
        <v>2025</v>
      </c>
      <c r="C2579" t="inlineStr">
        <is>
          <t>October</t>
        </is>
      </c>
      <c r="D2579" t="inlineStr">
        <is>
          <t>Essential Planter</t>
        </is>
      </c>
      <c r="E2579" t="inlineStr">
        <is>
          <t>Home &amp; Garden</t>
        </is>
      </c>
      <c r="F2579" t="inlineStr">
        <is>
          <t>Olivia Smith</t>
        </is>
      </c>
      <c r="G2579" t="inlineStr">
        <is>
          <t>Germany</t>
        </is>
      </c>
      <c r="H2579" t="inlineStr">
        <is>
          <t>Mobile App</t>
        </is>
      </c>
      <c r="I2579" t="n">
        <v>4</v>
      </c>
      <c r="J2579" s="3" t="n">
        <v>104.12</v>
      </c>
      <c r="K2579" s="3" t="n">
        <v>15.62</v>
      </c>
      <c r="L2579" s="3" t="n">
        <v>88.5</v>
      </c>
      <c r="M2579" s="3" t="n">
        <v>78.56</v>
      </c>
      <c r="N2579" s="3" t="n">
        <v>9.94</v>
      </c>
      <c r="O2579">
        <f>TEXT(A2579,"yyyy-mm")</f>
        <v/>
      </c>
    </row>
    <row r="2580">
      <c r="A2580" s="2" t="n">
        <v>45932</v>
      </c>
      <c r="B2580" t="n">
        <v>2025</v>
      </c>
      <c r="C2580" t="inlineStr">
        <is>
          <t>October</t>
        </is>
      </c>
      <c r="D2580" t="inlineStr">
        <is>
          <t>Premium Water Bottle</t>
        </is>
      </c>
      <c r="E2580" t="inlineStr">
        <is>
          <t>Sports &amp; Outdoors</t>
        </is>
      </c>
      <c r="F2580" t="inlineStr">
        <is>
          <t>David Dubois</t>
        </is>
      </c>
      <c r="G2580" t="inlineStr">
        <is>
          <t>United Kingdom</t>
        </is>
      </c>
      <c r="H2580" t="inlineStr">
        <is>
          <t>Web Store</t>
        </is>
      </c>
      <c r="I2580" t="n">
        <v>2</v>
      </c>
      <c r="J2580" s="3" t="n">
        <v>238.52</v>
      </c>
      <c r="K2580" s="3" t="n">
        <v>0</v>
      </c>
      <c r="L2580" s="3" t="n">
        <v>238.52</v>
      </c>
      <c r="M2580" s="3" t="n">
        <v>179.24</v>
      </c>
      <c r="N2580" s="3" t="n">
        <v>59.28</v>
      </c>
      <c r="O2580">
        <f>TEXT(A2580,"yyyy-mm")</f>
        <v/>
      </c>
    </row>
    <row r="2581">
      <c r="A2581" s="2" t="n">
        <v>45932</v>
      </c>
      <c r="B2581" t="n">
        <v>2025</v>
      </c>
      <c r="C2581" t="inlineStr">
        <is>
          <t>October</t>
        </is>
      </c>
      <c r="D2581" t="inlineStr">
        <is>
          <t>Portable Bike Helmet</t>
        </is>
      </c>
      <c r="E2581" t="inlineStr">
        <is>
          <t>Sports &amp; Outdoors</t>
        </is>
      </c>
      <c r="F2581" t="inlineStr">
        <is>
          <t>David Dubois</t>
        </is>
      </c>
      <c r="G2581" t="inlineStr">
        <is>
          <t>United Kingdom</t>
        </is>
      </c>
      <c r="H2581" t="inlineStr">
        <is>
          <t>Web Store</t>
        </is>
      </c>
      <c r="I2581" t="n">
        <v>3</v>
      </c>
      <c r="J2581" s="3" t="n">
        <v>885.1799999999999</v>
      </c>
      <c r="K2581" s="3" t="n">
        <v>44.26</v>
      </c>
      <c r="L2581" s="3" t="n">
        <v>840.92</v>
      </c>
      <c r="M2581" s="3" t="n">
        <v>496.11</v>
      </c>
      <c r="N2581" s="3" t="n">
        <v>344.81</v>
      </c>
      <c r="O2581">
        <f>TEXT(A2581,"yyyy-mm")</f>
        <v/>
      </c>
    </row>
    <row r="2582">
      <c r="A2582" s="2" t="n">
        <v>45932</v>
      </c>
      <c r="B2582" t="n">
        <v>2025</v>
      </c>
      <c r="C2582" t="inlineStr">
        <is>
          <t>October</t>
        </is>
      </c>
      <c r="D2582" t="inlineStr">
        <is>
          <t>Smart Cookbook</t>
        </is>
      </c>
      <c r="E2582" t="inlineStr">
        <is>
          <t>Books</t>
        </is>
      </c>
      <c r="F2582" t="inlineStr">
        <is>
          <t>David Dubois</t>
        </is>
      </c>
      <c r="G2582" t="inlineStr">
        <is>
          <t>United Kingdom</t>
        </is>
      </c>
      <c r="H2582" t="inlineStr">
        <is>
          <t>Web Store</t>
        </is>
      </c>
      <c r="I2582" t="n">
        <v>2</v>
      </c>
      <c r="J2582" s="3" t="n">
        <v>35</v>
      </c>
      <c r="K2582" s="3" t="n">
        <v>0</v>
      </c>
      <c r="L2582" s="3" t="n">
        <v>35</v>
      </c>
      <c r="M2582" s="3" t="n">
        <v>19.76</v>
      </c>
      <c r="N2582" s="3" t="n">
        <v>15.24</v>
      </c>
      <c r="O2582">
        <f>TEXT(A2582,"yyyy-mm")</f>
        <v/>
      </c>
    </row>
    <row r="2583">
      <c r="A2583" s="2" t="n">
        <v>45932</v>
      </c>
      <c r="B2583" t="n">
        <v>2025</v>
      </c>
      <c r="C2583" t="inlineStr">
        <is>
          <t>October</t>
        </is>
      </c>
      <c r="D2583" t="inlineStr">
        <is>
          <t>Deluxe Headphones</t>
        </is>
      </c>
      <c r="E2583" t="inlineStr">
        <is>
          <t>Electronics</t>
        </is>
      </c>
      <c r="F2583" t="inlineStr">
        <is>
          <t>Thomas Nowak</t>
        </is>
      </c>
      <c r="G2583" t="inlineStr">
        <is>
          <t>United States</t>
        </is>
      </c>
      <c r="H2583" t="inlineStr">
        <is>
          <t>Marketplace</t>
        </is>
      </c>
      <c r="I2583" t="n">
        <v>4</v>
      </c>
      <c r="J2583" s="3" t="n">
        <v>293.16</v>
      </c>
      <c r="K2583" s="3" t="n">
        <v>14.66</v>
      </c>
      <c r="L2583" s="3" t="n">
        <v>278.5</v>
      </c>
      <c r="M2583" s="3" t="n">
        <v>210</v>
      </c>
      <c r="N2583" s="3" t="n">
        <v>68.5</v>
      </c>
      <c r="O2583">
        <f>TEXT(A2583,"yyyy-mm")</f>
        <v/>
      </c>
    </row>
    <row r="2584">
      <c r="A2584" s="2" t="n">
        <v>45932</v>
      </c>
      <c r="B2584" t="n">
        <v>2025</v>
      </c>
      <c r="C2584" t="inlineStr">
        <is>
          <t>October</t>
        </is>
      </c>
      <c r="D2584" t="inlineStr">
        <is>
          <t>Wireless Coffee Beans</t>
        </is>
      </c>
      <c r="E2584" t="inlineStr">
        <is>
          <t>Grocery</t>
        </is>
      </c>
      <c r="F2584" t="inlineStr">
        <is>
          <t>David Dubois</t>
        </is>
      </c>
      <c r="G2584" t="inlineStr">
        <is>
          <t>United Kingdom</t>
        </is>
      </c>
      <c r="H2584" t="inlineStr">
        <is>
          <t>Web Store</t>
        </is>
      </c>
      <c r="I2584" t="n">
        <v>3</v>
      </c>
      <c r="J2584" s="3" t="n">
        <v>352.02</v>
      </c>
      <c r="K2584" s="3" t="n">
        <v>0</v>
      </c>
      <c r="L2584" s="3" t="n">
        <v>352.02</v>
      </c>
      <c r="M2584" s="3" t="n">
        <v>238.11</v>
      </c>
      <c r="N2584" s="3" t="n">
        <v>113.91</v>
      </c>
      <c r="O2584">
        <f>TEXT(A2584,"yyyy-mm")</f>
        <v/>
      </c>
    </row>
    <row r="2585">
      <c r="A2585" s="2" t="n">
        <v>45933</v>
      </c>
      <c r="B2585" t="n">
        <v>2025</v>
      </c>
      <c r="C2585" t="inlineStr">
        <is>
          <t>October</t>
        </is>
      </c>
      <c r="D2585" t="inlineStr">
        <is>
          <t>Smart Sweater</t>
        </is>
      </c>
      <c r="E2585" t="inlineStr">
        <is>
          <t>Clothing</t>
        </is>
      </c>
      <c r="F2585" t="inlineStr">
        <is>
          <t>Sophie Muller</t>
        </is>
      </c>
      <c r="G2585" t="inlineStr">
        <is>
          <t>United States</t>
        </is>
      </c>
      <c r="H2585" t="inlineStr">
        <is>
          <t>Web Store</t>
        </is>
      </c>
      <c r="I2585" t="n">
        <v>3</v>
      </c>
      <c r="J2585" s="3" t="n">
        <v>421.95</v>
      </c>
      <c r="K2585" s="3" t="n">
        <v>0</v>
      </c>
      <c r="L2585" s="3" t="n">
        <v>421.95</v>
      </c>
      <c r="M2585" s="3" t="n">
        <v>232.05</v>
      </c>
      <c r="N2585" s="3" t="n">
        <v>189.9</v>
      </c>
      <c r="O2585">
        <f>TEXT(A2585,"yyyy-mm")</f>
        <v/>
      </c>
    </row>
    <row r="2586">
      <c r="A2586" s="2" t="n">
        <v>45933</v>
      </c>
      <c r="B2586" t="n">
        <v>2025</v>
      </c>
      <c r="C2586" t="inlineStr">
        <is>
          <t>October</t>
        </is>
      </c>
      <c r="D2586" t="inlineStr">
        <is>
          <t>Portable Toolset</t>
        </is>
      </c>
      <c r="E2586" t="inlineStr">
        <is>
          <t>Home &amp; Garden</t>
        </is>
      </c>
      <c r="F2586" t="inlineStr">
        <is>
          <t>Anna Nowak</t>
        </is>
      </c>
      <c r="G2586" t="inlineStr">
        <is>
          <t>Poland</t>
        </is>
      </c>
      <c r="H2586" t="inlineStr">
        <is>
          <t>Marketplace</t>
        </is>
      </c>
      <c r="I2586" t="n">
        <v>2</v>
      </c>
      <c r="J2586" s="3" t="n">
        <v>287.78</v>
      </c>
      <c r="K2586" s="3" t="n">
        <v>28.78</v>
      </c>
      <c r="L2586" s="3" t="n">
        <v>259</v>
      </c>
      <c r="M2586" s="3" t="n">
        <v>185.7</v>
      </c>
      <c r="N2586" s="3" t="n">
        <v>73.3</v>
      </c>
      <c r="O2586">
        <f>TEXT(A2586,"yyyy-mm")</f>
        <v/>
      </c>
    </row>
    <row r="2587">
      <c r="A2587" s="2" t="n">
        <v>45933</v>
      </c>
      <c r="B2587" t="n">
        <v>2025</v>
      </c>
      <c r="C2587" t="inlineStr">
        <is>
          <t>October</t>
        </is>
      </c>
      <c r="D2587" t="inlineStr">
        <is>
          <t>Smart Olive Oil</t>
        </is>
      </c>
      <c r="E2587" t="inlineStr">
        <is>
          <t>Grocery</t>
        </is>
      </c>
      <c r="F2587" t="inlineStr">
        <is>
          <t>Anna Nowak</t>
        </is>
      </c>
      <c r="G2587" t="inlineStr">
        <is>
          <t>Poland</t>
        </is>
      </c>
      <c r="H2587" t="inlineStr">
        <is>
          <t>Marketplace</t>
        </is>
      </c>
      <c r="I2587" t="n">
        <v>1</v>
      </c>
      <c r="J2587" s="3" t="n">
        <v>165.23</v>
      </c>
      <c r="K2587" s="3" t="n">
        <v>0</v>
      </c>
      <c r="L2587" s="3" t="n">
        <v>165.23</v>
      </c>
      <c r="M2587" s="3" t="n">
        <v>110.02</v>
      </c>
      <c r="N2587" s="3" t="n">
        <v>55.21</v>
      </c>
      <c r="O2587">
        <f>TEXT(A2587,"yyyy-mm")</f>
        <v/>
      </c>
    </row>
    <row r="2588">
      <c r="A2588" s="2" t="n">
        <v>45933</v>
      </c>
      <c r="B2588" t="n">
        <v>2025</v>
      </c>
      <c r="C2588" t="inlineStr">
        <is>
          <t>October</t>
        </is>
      </c>
      <c r="D2588" t="inlineStr">
        <is>
          <t>Wireless Coffee Beans</t>
        </is>
      </c>
      <c r="E2588" t="inlineStr">
        <is>
          <t>Grocery</t>
        </is>
      </c>
      <c r="F2588" t="inlineStr">
        <is>
          <t>Anna Nowak</t>
        </is>
      </c>
      <c r="G2588" t="inlineStr">
        <is>
          <t>Poland</t>
        </is>
      </c>
      <c r="H2588" t="inlineStr">
        <is>
          <t>Marketplace</t>
        </is>
      </c>
      <c r="I2588" t="n">
        <v>3</v>
      </c>
      <c r="J2588" s="3" t="n">
        <v>367.56</v>
      </c>
      <c r="K2588" s="3" t="n">
        <v>0</v>
      </c>
      <c r="L2588" s="3" t="n">
        <v>367.56</v>
      </c>
      <c r="M2588" s="3" t="n">
        <v>238.11</v>
      </c>
      <c r="N2588" s="3" t="n">
        <v>129.45</v>
      </c>
      <c r="O2588">
        <f>TEXT(A2588,"yyyy-mm")</f>
        <v/>
      </c>
    </row>
    <row r="2589">
      <c r="A2589" s="2" t="n">
        <v>45933</v>
      </c>
      <c r="B2589" t="n">
        <v>2025</v>
      </c>
      <c r="C2589" t="inlineStr">
        <is>
          <t>October</t>
        </is>
      </c>
      <c r="D2589" t="inlineStr">
        <is>
          <t>Smart Camera</t>
        </is>
      </c>
      <c r="E2589" t="inlineStr">
        <is>
          <t>Electronics</t>
        </is>
      </c>
      <c r="F2589" t="inlineStr">
        <is>
          <t>Anna Nowak</t>
        </is>
      </c>
      <c r="G2589" t="inlineStr">
        <is>
          <t>Poland</t>
        </is>
      </c>
      <c r="H2589" t="inlineStr">
        <is>
          <t>Marketplace</t>
        </is>
      </c>
      <c r="I2589" t="n">
        <v>4</v>
      </c>
      <c r="J2589" s="3" t="n">
        <v>498.24</v>
      </c>
      <c r="K2589" s="3" t="n">
        <v>0</v>
      </c>
      <c r="L2589" s="3" t="n">
        <v>498.24</v>
      </c>
      <c r="M2589" s="3" t="n">
        <v>342.32</v>
      </c>
      <c r="N2589" s="3" t="n">
        <v>155.92</v>
      </c>
      <c r="O2589">
        <f>TEXT(A2589,"yyyy-mm")</f>
        <v/>
      </c>
    </row>
    <row r="2590">
      <c r="A2590" s="2" t="n">
        <v>45933</v>
      </c>
      <c r="B2590" t="n">
        <v>2025</v>
      </c>
      <c r="C2590" t="inlineStr">
        <is>
          <t>October</t>
        </is>
      </c>
      <c r="D2590" t="inlineStr">
        <is>
          <t>Premium Water Bottle</t>
        </is>
      </c>
      <c r="E2590" t="inlineStr">
        <is>
          <t>Sports &amp; Outdoors</t>
        </is>
      </c>
      <c r="F2590" t="inlineStr">
        <is>
          <t>James Moreau</t>
        </is>
      </c>
      <c r="G2590" t="inlineStr">
        <is>
          <t>Poland</t>
        </is>
      </c>
      <c r="H2590" t="inlineStr">
        <is>
          <t>Web Store</t>
        </is>
      </c>
      <c r="I2590" t="n">
        <v>3</v>
      </c>
      <c r="J2590" s="3" t="n">
        <v>353.07</v>
      </c>
      <c r="K2590" s="3" t="n">
        <v>0</v>
      </c>
      <c r="L2590" s="3" t="n">
        <v>353.07</v>
      </c>
      <c r="M2590" s="3" t="n">
        <v>268.86</v>
      </c>
      <c r="N2590" s="3" t="n">
        <v>84.20999999999999</v>
      </c>
      <c r="O2590">
        <f>TEXT(A2590,"yyyy-mm")</f>
        <v/>
      </c>
    </row>
    <row r="2591">
      <c r="A2591" s="2" t="n">
        <v>45934</v>
      </c>
      <c r="B2591" t="n">
        <v>2025</v>
      </c>
      <c r="C2591" t="inlineStr">
        <is>
          <t>October</t>
        </is>
      </c>
      <c r="D2591" t="inlineStr">
        <is>
          <t>Premium Rug</t>
        </is>
      </c>
      <c r="E2591" t="inlineStr">
        <is>
          <t>Home &amp; Garden</t>
        </is>
      </c>
      <c r="F2591" t="inlineStr">
        <is>
          <t>Laura Conti</t>
        </is>
      </c>
      <c r="G2591" t="inlineStr">
        <is>
          <t>Netherlands</t>
        </is>
      </c>
      <c r="H2591" t="inlineStr">
        <is>
          <t>Mobile App</t>
        </is>
      </c>
      <c r="I2591" t="n">
        <v>2</v>
      </c>
      <c r="J2591" s="3" t="n">
        <v>373.1</v>
      </c>
      <c r="K2591" s="3" t="n">
        <v>0</v>
      </c>
      <c r="L2591" s="3" t="n">
        <v>373.1</v>
      </c>
      <c r="M2591" s="3" t="n">
        <v>222.38</v>
      </c>
      <c r="N2591" s="3" t="n">
        <v>150.72</v>
      </c>
      <c r="O2591">
        <f>TEXT(A2591,"yyyy-mm")</f>
        <v/>
      </c>
    </row>
    <row r="2592">
      <c r="A2592" s="2" t="n">
        <v>45934</v>
      </c>
      <c r="B2592" t="n">
        <v>2025</v>
      </c>
      <c r="C2592" t="inlineStr">
        <is>
          <t>October</t>
        </is>
      </c>
      <c r="D2592" t="inlineStr">
        <is>
          <t>Smart Tea Set</t>
        </is>
      </c>
      <c r="E2592" t="inlineStr">
        <is>
          <t>Grocery</t>
        </is>
      </c>
      <c r="F2592" t="inlineStr">
        <is>
          <t>Laura Conti</t>
        </is>
      </c>
      <c r="G2592" t="inlineStr">
        <is>
          <t>Netherlands</t>
        </is>
      </c>
      <c r="H2592" t="inlineStr">
        <is>
          <t>Mobile App</t>
        </is>
      </c>
      <c r="I2592" t="n">
        <v>4</v>
      </c>
      <c r="J2592" s="3" t="n">
        <v>364.16</v>
      </c>
      <c r="K2592" s="3" t="n">
        <v>18.21</v>
      </c>
      <c r="L2592" s="3" t="n">
        <v>345.95</v>
      </c>
      <c r="M2592" s="3" t="n">
        <v>247.2</v>
      </c>
      <c r="N2592" s="3" t="n">
        <v>98.75</v>
      </c>
      <c r="O2592">
        <f>TEXT(A2592,"yyyy-mm")</f>
        <v/>
      </c>
    </row>
    <row r="2593">
      <c r="A2593" s="2" t="n">
        <v>45934</v>
      </c>
      <c r="B2593" t="n">
        <v>2025</v>
      </c>
      <c r="C2593" t="inlineStr">
        <is>
          <t>October</t>
        </is>
      </c>
      <c r="D2593" t="inlineStr">
        <is>
          <t>Eco Sweater</t>
        </is>
      </c>
      <c r="E2593" t="inlineStr">
        <is>
          <t>Clothing</t>
        </is>
      </c>
      <c r="F2593" t="inlineStr">
        <is>
          <t>Maria Moreau</t>
        </is>
      </c>
      <c r="G2593" t="inlineStr">
        <is>
          <t>Germany</t>
        </is>
      </c>
      <c r="H2593" t="inlineStr">
        <is>
          <t>Web Store</t>
        </is>
      </c>
      <c r="I2593" t="n">
        <v>5</v>
      </c>
      <c r="J2593" s="3" t="n">
        <v>785.8</v>
      </c>
      <c r="K2593" s="3" t="n">
        <v>39.29</v>
      </c>
      <c r="L2593" s="3" t="n">
        <v>746.51</v>
      </c>
      <c r="M2593" s="3" t="n">
        <v>521.15</v>
      </c>
      <c r="N2593" s="3" t="n">
        <v>225.36</v>
      </c>
      <c r="O2593">
        <f>TEXT(A2593,"yyyy-mm")</f>
        <v/>
      </c>
    </row>
    <row r="2594">
      <c r="A2594" s="2" t="n">
        <v>45934</v>
      </c>
      <c r="B2594" t="n">
        <v>2025</v>
      </c>
      <c r="C2594" t="inlineStr">
        <is>
          <t>October</t>
        </is>
      </c>
      <c r="D2594" t="inlineStr">
        <is>
          <t>Portable Speaker</t>
        </is>
      </c>
      <c r="E2594" t="inlineStr">
        <is>
          <t>Electronics</t>
        </is>
      </c>
      <c r="F2594" t="inlineStr">
        <is>
          <t>Maria Moreau</t>
        </is>
      </c>
      <c r="G2594" t="inlineStr">
        <is>
          <t>Germany</t>
        </is>
      </c>
      <c r="H2594" t="inlineStr">
        <is>
          <t>Web Store</t>
        </is>
      </c>
      <c r="I2594" t="n">
        <v>2</v>
      </c>
      <c r="J2594" s="3" t="n">
        <v>680.62</v>
      </c>
      <c r="K2594" s="3" t="n">
        <v>102.09</v>
      </c>
      <c r="L2594" s="3" t="n">
        <v>578.53</v>
      </c>
      <c r="M2594" s="3" t="n">
        <v>349.66</v>
      </c>
      <c r="N2594" s="3" t="n">
        <v>228.87</v>
      </c>
      <c r="O2594">
        <f>TEXT(A2594,"yyyy-mm")</f>
        <v/>
      </c>
    </row>
    <row r="2595">
      <c r="A2595" s="2" t="n">
        <v>45934</v>
      </c>
      <c r="B2595" t="n">
        <v>2025</v>
      </c>
      <c r="C2595" t="inlineStr">
        <is>
          <t>October</t>
        </is>
      </c>
      <c r="D2595" t="inlineStr">
        <is>
          <t>Essential Notebook</t>
        </is>
      </c>
      <c r="E2595" t="inlineStr">
        <is>
          <t>Books</t>
        </is>
      </c>
      <c r="F2595" t="inlineStr">
        <is>
          <t>Maria Moreau</t>
        </is>
      </c>
      <c r="G2595" t="inlineStr">
        <is>
          <t>Germany</t>
        </is>
      </c>
      <c r="H2595" t="inlineStr">
        <is>
          <t>Web Store</t>
        </is>
      </c>
      <c r="I2595" t="n">
        <v>4</v>
      </c>
      <c r="J2595" s="3" t="n">
        <v>483.72</v>
      </c>
      <c r="K2595" s="3" t="n">
        <v>0</v>
      </c>
      <c r="L2595" s="3" t="n">
        <v>483.72</v>
      </c>
      <c r="M2595" s="3" t="n">
        <v>316.4</v>
      </c>
      <c r="N2595" s="3" t="n">
        <v>167.32</v>
      </c>
      <c r="O2595">
        <f>TEXT(A2595,"yyyy-mm")</f>
        <v/>
      </c>
    </row>
    <row r="2596">
      <c r="A2596" s="2" t="n">
        <v>45934</v>
      </c>
      <c r="B2596" t="n">
        <v>2025</v>
      </c>
      <c r="C2596" t="inlineStr">
        <is>
          <t>October</t>
        </is>
      </c>
      <c r="D2596" t="inlineStr">
        <is>
          <t>Eco Tent</t>
        </is>
      </c>
      <c r="E2596" t="inlineStr">
        <is>
          <t>Sports &amp; Outdoors</t>
        </is>
      </c>
      <c r="F2596" t="inlineStr">
        <is>
          <t>Thomas Fischer</t>
        </is>
      </c>
      <c r="G2596" t="inlineStr">
        <is>
          <t>France</t>
        </is>
      </c>
      <c r="H2596" t="inlineStr">
        <is>
          <t>Retail Store</t>
        </is>
      </c>
      <c r="I2596" t="n">
        <v>5</v>
      </c>
      <c r="J2596" s="3" t="n">
        <v>327.35</v>
      </c>
      <c r="K2596" s="3" t="n">
        <v>0</v>
      </c>
      <c r="L2596" s="3" t="n">
        <v>327.35</v>
      </c>
      <c r="M2596" s="3" t="n">
        <v>219.25</v>
      </c>
      <c r="N2596" s="3" t="n">
        <v>108.1</v>
      </c>
      <c r="O2596">
        <f>TEXT(A2596,"yyyy-mm")</f>
        <v/>
      </c>
    </row>
    <row r="2597">
      <c r="A2597" s="2" t="n">
        <v>45935</v>
      </c>
      <c r="B2597" t="n">
        <v>2025</v>
      </c>
      <c r="C2597" t="inlineStr">
        <is>
          <t>October</t>
        </is>
      </c>
      <c r="D2597" t="inlineStr">
        <is>
          <t>Portable Toolset</t>
        </is>
      </c>
      <c r="E2597" t="inlineStr">
        <is>
          <t>Home &amp; Garden</t>
        </is>
      </c>
      <c r="F2597" t="inlineStr">
        <is>
          <t>Julia Brown</t>
        </is>
      </c>
      <c r="G2597" t="inlineStr">
        <is>
          <t>United Kingdom</t>
        </is>
      </c>
      <c r="H2597" t="inlineStr">
        <is>
          <t>Mobile App</t>
        </is>
      </c>
      <c r="I2597" t="n">
        <v>2</v>
      </c>
      <c r="J2597" s="3" t="n">
        <v>177.72</v>
      </c>
      <c r="K2597" s="3" t="n">
        <v>8.890000000000001</v>
      </c>
      <c r="L2597" s="3" t="n">
        <v>168.83</v>
      </c>
      <c r="M2597" s="3" t="n">
        <v>101.08</v>
      </c>
      <c r="N2597" s="3" t="n">
        <v>67.75</v>
      </c>
      <c r="O2597">
        <f>TEXT(A2597,"yyyy-mm")</f>
        <v/>
      </c>
    </row>
    <row r="2598">
      <c r="A2598" s="2" t="n">
        <v>45935</v>
      </c>
      <c r="B2598" t="n">
        <v>2025</v>
      </c>
      <c r="C2598" t="inlineStr">
        <is>
          <t>October</t>
        </is>
      </c>
      <c r="D2598" t="inlineStr">
        <is>
          <t>Smart Charger</t>
        </is>
      </c>
      <c r="E2598" t="inlineStr">
        <is>
          <t>Electronics</t>
        </is>
      </c>
      <c r="F2598" t="inlineStr">
        <is>
          <t>Julia Brown</t>
        </is>
      </c>
      <c r="G2598" t="inlineStr">
        <is>
          <t>United Kingdom</t>
        </is>
      </c>
      <c r="H2598" t="inlineStr">
        <is>
          <t>Mobile App</t>
        </is>
      </c>
      <c r="I2598" t="n">
        <v>4</v>
      </c>
      <c r="J2598" s="3" t="n">
        <v>1034.8</v>
      </c>
      <c r="K2598" s="3" t="n">
        <v>51.74</v>
      </c>
      <c r="L2598" s="3" t="n">
        <v>983.0599999999999</v>
      </c>
      <c r="M2598" s="3" t="n">
        <v>570.08</v>
      </c>
      <c r="N2598" s="3" t="n">
        <v>412.98</v>
      </c>
      <c r="O2598">
        <f>TEXT(A2598,"yyyy-mm")</f>
        <v/>
      </c>
    </row>
    <row r="2599">
      <c r="A2599" s="2" t="n">
        <v>45935</v>
      </c>
      <c r="B2599" t="n">
        <v>2025</v>
      </c>
      <c r="C2599" t="inlineStr">
        <is>
          <t>October</t>
        </is>
      </c>
      <c r="D2599" t="inlineStr">
        <is>
          <t>Essential Vitamins</t>
        </is>
      </c>
      <c r="E2599" t="inlineStr">
        <is>
          <t>Beauty &amp; Health</t>
        </is>
      </c>
      <c r="F2599" t="inlineStr">
        <is>
          <t>Mark Martin</t>
        </is>
      </c>
      <c r="G2599" t="inlineStr">
        <is>
          <t>Spain</t>
        </is>
      </c>
      <c r="H2599" t="inlineStr">
        <is>
          <t>Web Store</t>
        </is>
      </c>
      <c r="I2599" t="n">
        <v>2</v>
      </c>
      <c r="J2599" s="3" t="n">
        <v>334.04</v>
      </c>
      <c r="K2599" s="3" t="n">
        <v>50.11</v>
      </c>
      <c r="L2599" s="3" t="n">
        <v>283.93</v>
      </c>
      <c r="M2599" s="3" t="n">
        <v>220.6</v>
      </c>
      <c r="N2599" s="3" t="n">
        <v>63.33</v>
      </c>
      <c r="O2599">
        <f>TEXT(A2599,"yyyy-mm")</f>
        <v/>
      </c>
    </row>
    <row r="2600">
      <c r="A2600" s="2" t="n">
        <v>45935</v>
      </c>
      <c r="B2600" t="n">
        <v>2025</v>
      </c>
      <c r="C2600" t="inlineStr">
        <is>
          <t>October</t>
        </is>
      </c>
      <c r="D2600" t="inlineStr">
        <is>
          <t>Essential Charger</t>
        </is>
      </c>
      <c r="E2600" t="inlineStr">
        <is>
          <t>Electronics</t>
        </is>
      </c>
      <c r="F2600" t="inlineStr">
        <is>
          <t>Mark Martin</t>
        </is>
      </c>
      <c r="G2600" t="inlineStr">
        <is>
          <t>Spain</t>
        </is>
      </c>
      <c r="H2600" t="inlineStr">
        <is>
          <t>Web Store</t>
        </is>
      </c>
      <c r="I2600" t="n">
        <v>4</v>
      </c>
      <c r="J2600" s="3" t="n">
        <v>181.92</v>
      </c>
      <c r="K2600" s="3" t="n">
        <v>27.29</v>
      </c>
      <c r="L2600" s="3" t="n">
        <v>154.63</v>
      </c>
      <c r="M2600" s="3" t="n">
        <v>116.4</v>
      </c>
      <c r="N2600" s="3" t="n">
        <v>38.23</v>
      </c>
      <c r="O2600">
        <f>TEXT(A2600,"yyyy-mm")</f>
        <v/>
      </c>
    </row>
    <row r="2601">
      <c r="A2601" s="2" t="n">
        <v>45935</v>
      </c>
      <c r="B2601" t="n">
        <v>2025</v>
      </c>
      <c r="C2601" t="inlineStr">
        <is>
          <t>October</t>
        </is>
      </c>
      <c r="D2601" t="inlineStr">
        <is>
          <t>Eco Drone</t>
        </is>
      </c>
      <c r="E2601" t="inlineStr">
        <is>
          <t>Toys &amp; Games</t>
        </is>
      </c>
      <c r="F2601" t="inlineStr">
        <is>
          <t>Mark Martin</t>
        </is>
      </c>
      <c r="G2601" t="inlineStr">
        <is>
          <t>Spain</t>
        </is>
      </c>
      <c r="H2601" t="inlineStr">
        <is>
          <t>Web Store</t>
        </is>
      </c>
      <c r="I2601" t="n">
        <v>1</v>
      </c>
      <c r="J2601" s="3" t="n">
        <v>211.05</v>
      </c>
      <c r="K2601" s="3" t="n">
        <v>31.66</v>
      </c>
      <c r="L2601" s="3" t="n">
        <v>179.39</v>
      </c>
      <c r="M2601" s="3" t="n">
        <v>129.59</v>
      </c>
      <c r="N2601" s="3" t="n">
        <v>49.8</v>
      </c>
      <c r="O2601">
        <f>TEXT(A2601,"yyyy-mm")</f>
        <v/>
      </c>
    </row>
    <row r="2602">
      <c r="A2602" s="2" t="n">
        <v>45935</v>
      </c>
      <c r="B2602" t="n">
        <v>2025</v>
      </c>
      <c r="C2602" t="inlineStr">
        <is>
          <t>October</t>
        </is>
      </c>
      <c r="D2602" t="inlineStr">
        <is>
          <t>Premium Cookbook</t>
        </is>
      </c>
      <c r="E2602" t="inlineStr">
        <is>
          <t>Books</t>
        </is>
      </c>
      <c r="F2602" t="inlineStr">
        <is>
          <t>Mark Martin</t>
        </is>
      </c>
      <c r="G2602" t="inlineStr">
        <is>
          <t>Spain</t>
        </is>
      </c>
      <c r="H2602" t="inlineStr">
        <is>
          <t>Web Store</t>
        </is>
      </c>
      <c r="I2602" t="n">
        <v>2</v>
      </c>
      <c r="J2602" s="3" t="n">
        <v>269.04</v>
      </c>
      <c r="K2602" s="3" t="n">
        <v>53.81</v>
      </c>
      <c r="L2602" s="3" t="n">
        <v>215.23</v>
      </c>
      <c r="M2602" s="3" t="n">
        <v>189.96</v>
      </c>
      <c r="N2602" s="3" t="n">
        <v>25.27</v>
      </c>
      <c r="O2602">
        <f>TEXT(A2602,"yyyy-mm")</f>
        <v/>
      </c>
    </row>
    <row r="2603">
      <c r="A2603" s="2" t="n">
        <v>45935</v>
      </c>
      <c r="B2603" t="n">
        <v>2025</v>
      </c>
      <c r="C2603" t="inlineStr">
        <is>
          <t>October</t>
        </is>
      </c>
      <c r="D2603" t="inlineStr">
        <is>
          <t>Deluxe Smartwatch</t>
        </is>
      </c>
      <c r="E2603" t="inlineStr">
        <is>
          <t>Electronics</t>
        </is>
      </c>
      <c r="F2603" t="inlineStr">
        <is>
          <t>Julia Brown</t>
        </is>
      </c>
      <c r="G2603" t="inlineStr">
        <is>
          <t>United Kingdom</t>
        </is>
      </c>
      <c r="H2603" t="inlineStr">
        <is>
          <t>Mobile App</t>
        </is>
      </c>
      <c r="I2603" t="n">
        <v>5</v>
      </c>
      <c r="J2603" s="3" t="n">
        <v>796.05</v>
      </c>
      <c r="K2603" s="3" t="n">
        <v>39.8</v>
      </c>
      <c r="L2603" s="3" t="n">
        <v>756.25</v>
      </c>
      <c r="M2603" s="3" t="n">
        <v>613.6</v>
      </c>
      <c r="N2603" s="3" t="n">
        <v>142.65</v>
      </c>
      <c r="O2603">
        <f>TEXT(A2603,"yyyy-mm")</f>
        <v/>
      </c>
    </row>
    <row r="2604">
      <c r="A2604" s="2" t="n">
        <v>45936</v>
      </c>
      <c r="B2604" t="n">
        <v>2025</v>
      </c>
      <c r="C2604" t="inlineStr">
        <is>
          <t>October</t>
        </is>
      </c>
      <c r="D2604" t="inlineStr">
        <is>
          <t>Portable Toolset</t>
        </is>
      </c>
      <c r="E2604" t="inlineStr">
        <is>
          <t>Home &amp; Garden</t>
        </is>
      </c>
      <c r="F2604" t="inlineStr">
        <is>
          <t>Thomas Conti</t>
        </is>
      </c>
      <c r="G2604" t="inlineStr">
        <is>
          <t>United States</t>
        </is>
      </c>
      <c r="H2604" t="inlineStr">
        <is>
          <t>Mobile App</t>
        </is>
      </c>
      <c r="I2604" t="n">
        <v>1</v>
      </c>
      <c r="J2604" s="3" t="n">
        <v>90.06</v>
      </c>
      <c r="K2604" s="3" t="n">
        <v>4.5</v>
      </c>
      <c r="L2604" s="3" t="n">
        <v>85.56</v>
      </c>
      <c r="M2604" s="3" t="n">
        <v>50.54</v>
      </c>
      <c r="N2604" s="3" t="n">
        <v>35.02</v>
      </c>
      <c r="O2604">
        <f>TEXT(A2604,"yyyy-mm")</f>
        <v/>
      </c>
    </row>
    <row r="2605">
      <c r="A2605" s="2" t="n">
        <v>45936</v>
      </c>
      <c r="B2605" t="n">
        <v>2025</v>
      </c>
      <c r="C2605" t="inlineStr">
        <is>
          <t>October</t>
        </is>
      </c>
      <c r="D2605" t="inlineStr">
        <is>
          <t>Wireless Drone</t>
        </is>
      </c>
      <c r="E2605" t="inlineStr">
        <is>
          <t>Toys &amp; Games</t>
        </is>
      </c>
      <c r="F2605" t="inlineStr">
        <is>
          <t>Thomas Conti</t>
        </is>
      </c>
      <c r="G2605" t="inlineStr">
        <is>
          <t>United States</t>
        </is>
      </c>
      <c r="H2605" t="inlineStr">
        <is>
          <t>Mobile App</t>
        </is>
      </c>
      <c r="I2605" t="n">
        <v>2</v>
      </c>
      <c r="J2605" s="3" t="n">
        <v>427.62</v>
      </c>
      <c r="K2605" s="3" t="n">
        <v>0</v>
      </c>
      <c r="L2605" s="3" t="n">
        <v>427.62</v>
      </c>
      <c r="M2605" s="3" t="n">
        <v>262.58</v>
      </c>
      <c r="N2605" s="3" t="n">
        <v>165.04</v>
      </c>
      <c r="O2605">
        <f>TEXT(A2605,"yyyy-mm")</f>
        <v/>
      </c>
    </row>
    <row r="2606">
      <c r="A2606" s="2" t="n">
        <v>45936</v>
      </c>
      <c r="B2606" t="n">
        <v>2025</v>
      </c>
      <c r="C2606" t="inlineStr">
        <is>
          <t>October</t>
        </is>
      </c>
      <c r="D2606" t="inlineStr">
        <is>
          <t>Premium Tent</t>
        </is>
      </c>
      <c r="E2606" t="inlineStr">
        <is>
          <t>Sports &amp; Outdoors</t>
        </is>
      </c>
      <c r="F2606" t="inlineStr">
        <is>
          <t>Thomas Conti</t>
        </is>
      </c>
      <c r="G2606" t="inlineStr">
        <is>
          <t>United States</t>
        </is>
      </c>
      <c r="H2606" t="inlineStr">
        <is>
          <t>Mobile App</t>
        </is>
      </c>
      <c r="I2606" t="n">
        <v>5</v>
      </c>
      <c r="J2606" s="3" t="n">
        <v>703</v>
      </c>
      <c r="K2606" s="3" t="n">
        <v>0</v>
      </c>
      <c r="L2606" s="3" t="n">
        <v>703</v>
      </c>
      <c r="M2606" s="3" t="n">
        <v>482</v>
      </c>
      <c r="N2606" s="3" t="n">
        <v>221</v>
      </c>
      <c r="O2606">
        <f>TEXT(A2606,"yyyy-mm")</f>
        <v/>
      </c>
    </row>
    <row r="2607">
      <c r="A2607" s="2" t="n">
        <v>45936</v>
      </c>
      <c r="B2607" t="n">
        <v>2025</v>
      </c>
      <c r="C2607" t="inlineStr">
        <is>
          <t>October</t>
        </is>
      </c>
      <c r="D2607" t="inlineStr">
        <is>
          <t>Compact Jacket</t>
        </is>
      </c>
      <c r="E2607" t="inlineStr">
        <is>
          <t>Clothing</t>
        </is>
      </c>
      <c r="F2607" t="inlineStr">
        <is>
          <t>James Dubois</t>
        </is>
      </c>
      <c r="G2607" t="inlineStr">
        <is>
          <t>France</t>
        </is>
      </c>
      <c r="H2607" t="inlineStr">
        <is>
          <t>Retail Store</t>
        </is>
      </c>
      <c r="I2607" t="n">
        <v>4</v>
      </c>
      <c r="J2607" s="3" t="n">
        <v>141.6</v>
      </c>
      <c r="K2607" s="3" t="n">
        <v>28.32</v>
      </c>
      <c r="L2607" s="3" t="n">
        <v>113.28</v>
      </c>
      <c r="M2607" s="3" t="n">
        <v>81.59999999999999</v>
      </c>
      <c r="N2607" s="3" t="n">
        <v>31.68</v>
      </c>
      <c r="O2607">
        <f>TEXT(A2607,"yyyy-mm")</f>
        <v/>
      </c>
    </row>
    <row r="2608">
      <c r="A2608" s="2" t="n">
        <v>45936</v>
      </c>
      <c r="B2608" t="n">
        <v>2025</v>
      </c>
      <c r="C2608" t="inlineStr">
        <is>
          <t>October</t>
        </is>
      </c>
      <c r="D2608" t="inlineStr">
        <is>
          <t>Classic Tea Set</t>
        </is>
      </c>
      <c r="E2608" t="inlineStr">
        <is>
          <t>Grocery</t>
        </is>
      </c>
      <c r="F2608" t="inlineStr">
        <is>
          <t>Thomas Conti</t>
        </is>
      </c>
      <c r="G2608" t="inlineStr">
        <is>
          <t>United States</t>
        </is>
      </c>
      <c r="H2608" t="inlineStr">
        <is>
          <t>Mobile App</t>
        </is>
      </c>
      <c r="I2608" t="n">
        <v>3</v>
      </c>
      <c r="J2608" s="3" t="n">
        <v>523.77</v>
      </c>
      <c r="K2608" s="3" t="n">
        <v>26.19</v>
      </c>
      <c r="L2608" s="3" t="n">
        <v>497.58</v>
      </c>
      <c r="M2608" s="3" t="n">
        <v>376.2</v>
      </c>
      <c r="N2608" s="3" t="n">
        <v>121.38</v>
      </c>
      <c r="O2608">
        <f>TEXT(A2608,"yyyy-mm")</f>
        <v/>
      </c>
    </row>
    <row r="2609">
      <c r="A2609" s="2" t="n">
        <v>45936</v>
      </c>
      <c r="B2609" t="n">
        <v>2025</v>
      </c>
      <c r="C2609" t="inlineStr">
        <is>
          <t>October</t>
        </is>
      </c>
      <c r="D2609" t="inlineStr">
        <is>
          <t>Wireless Drone</t>
        </is>
      </c>
      <c r="E2609" t="inlineStr">
        <is>
          <t>Toys &amp; Games</t>
        </is>
      </c>
      <c r="F2609" t="inlineStr">
        <is>
          <t>James Dubois</t>
        </is>
      </c>
      <c r="G2609" t="inlineStr">
        <is>
          <t>France</t>
        </is>
      </c>
      <c r="H2609" t="inlineStr">
        <is>
          <t>Retail Store</t>
        </is>
      </c>
      <c r="I2609" t="n">
        <v>1</v>
      </c>
      <c r="J2609" s="3" t="n">
        <v>230.49</v>
      </c>
      <c r="K2609" s="3" t="n">
        <v>0</v>
      </c>
      <c r="L2609" s="3" t="n">
        <v>230.49</v>
      </c>
      <c r="M2609" s="3" t="n">
        <v>131.29</v>
      </c>
      <c r="N2609" s="3" t="n">
        <v>99.2</v>
      </c>
      <c r="O2609">
        <f>TEXT(A2609,"yyyy-mm")</f>
        <v/>
      </c>
    </row>
    <row r="2610">
      <c r="A2610" s="2" t="n">
        <v>45937</v>
      </c>
      <c r="B2610" t="n">
        <v>2025</v>
      </c>
      <c r="C2610" t="inlineStr">
        <is>
          <t>October</t>
        </is>
      </c>
      <c r="D2610" t="inlineStr">
        <is>
          <t>Wireless Drone</t>
        </is>
      </c>
      <c r="E2610" t="inlineStr">
        <is>
          <t>Toys &amp; Games</t>
        </is>
      </c>
      <c r="F2610" t="inlineStr">
        <is>
          <t>Daniel Lopez</t>
        </is>
      </c>
      <c r="G2610" t="inlineStr">
        <is>
          <t>Italy</t>
        </is>
      </c>
      <c r="H2610" t="inlineStr">
        <is>
          <t>Retail Store</t>
        </is>
      </c>
      <c r="I2610" t="n">
        <v>4</v>
      </c>
      <c r="J2610" s="3" t="n">
        <v>855.4</v>
      </c>
      <c r="K2610" s="3" t="n">
        <v>0</v>
      </c>
      <c r="L2610" s="3" t="n">
        <v>855.4</v>
      </c>
      <c r="M2610" s="3" t="n">
        <v>525.16</v>
      </c>
      <c r="N2610" s="3" t="n">
        <v>330.24</v>
      </c>
      <c r="O2610">
        <f>TEXT(A2610,"yyyy-mm")</f>
        <v/>
      </c>
    </row>
    <row r="2611">
      <c r="A2611" s="2" t="n">
        <v>45937</v>
      </c>
      <c r="B2611" t="n">
        <v>2025</v>
      </c>
      <c r="C2611" t="inlineStr">
        <is>
          <t>October</t>
        </is>
      </c>
      <c r="D2611" t="inlineStr">
        <is>
          <t>Essential Vitamins</t>
        </is>
      </c>
      <c r="E2611" t="inlineStr">
        <is>
          <t>Beauty &amp; Health</t>
        </is>
      </c>
      <c r="F2611" t="inlineStr">
        <is>
          <t>Maria Dubois</t>
        </is>
      </c>
      <c r="G2611" t="inlineStr">
        <is>
          <t>United Kingdom</t>
        </is>
      </c>
      <c r="H2611" t="inlineStr">
        <is>
          <t>Marketplace</t>
        </is>
      </c>
      <c r="I2611" t="n">
        <v>2</v>
      </c>
      <c r="J2611" s="3" t="n">
        <v>328.44</v>
      </c>
      <c r="K2611" s="3" t="n">
        <v>16.42</v>
      </c>
      <c r="L2611" s="3" t="n">
        <v>312.02</v>
      </c>
      <c r="M2611" s="3" t="n">
        <v>220.6</v>
      </c>
      <c r="N2611" s="3" t="n">
        <v>91.42</v>
      </c>
      <c r="O2611">
        <f>TEXT(A2611,"yyyy-mm")</f>
        <v/>
      </c>
    </row>
    <row r="2612">
      <c r="A2612" s="2" t="n">
        <v>45937</v>
      </c>
      <c r="B2612" t="n">
        <v>2025</v>
      </c>
      <c r="C2612" t="inlineStr">
        <is>
          <t>October</t>
        </is>
      </c>
      <c r="D2612" t="inlineStr">
        <is>
          <t>Classic Tent</t>
        </is>
      </c>
      <c r="E2612" t="inlineStr">
        <is>
          <t>Sports &amp; Outdoors</t>
        </is>
      </c>
      <c r="F2612" t="inlineStr">
        <is>
          <t>Maria Dubois</t>
        </is>
      </c>
      <c r="G2612" t="inlineStr">
        <is>
          <t>United Kingdom</t>
        </is>
      </c>
      <c r="H2612" t="inlineStr">
        <is>
          <t>Marketplace</t>
        </is>
      </c>
      <c r="I2612" t="n">
        <v>1</v>
      </c>
      <c r="J2612" s="3" t="n">
        <v>206.61</v>
      </c>
      <c r="K2612" s="3" t="n">
        <v>0</v>
      </c>
      <c r="L2612" s="3" t="n">
        <v>206.61</v>
      </c>
      <c r="M2612" s="3" t="n">
        <v>118.02</v>
      </c>
      <c r="N2612" s="3" t="n">
        <v>88.59</v>
      </c>
      <c r="O2612">
        <f>TEXT(A2612,"yyyy-mm")</f>
        <v/>
      </c>
    </row>
    <row r="2613">
      <c r="A2613" s="2" t="n">
        <v>45937</v>
      </c>
      <c r="B2613" t="n">
        <v>2025</v>
      </c>
      <c r="C2613" t="inlineStr">
        <is>
          <t>October</t>
        </is>
      </c>
      <c r="D2613" t="inlineStr">
        <is>
          <t>Wireless Coffee Beans</t>
        </is>
      </c>
      <c r="E2613" t="inlineStr">
        <is>
          <t>Grocery</t>
        </is>
      </c>
      <c r="F2613" t="inlineStr">
        <is>
          <t>Maria Dubois</t>
        </is>
      </c>
      <c r="G2613" t="inlineStr">
        <is>
          <t>United Kingdom</t>
        </is>
      </c>
      <c r="H2613" t="inlineStr">
        <is>
          <t>Marketplace</t>
        </is>
      </c>
      <c r="I2613" t="n">
        <v>5</v>
      </c>
      <c r="J2613" s="3" t="n">
        <v>589.55</v>
      </c>
      <c r="K2613" s="3" t="n">
        <v>88.43000000000001</v>
      </c>
      <c r="L2613" s="3" t="n">
        <v>501.12</v>
      </c>
      <c r="M2613" s="3" t="n">
        <v>396.85</v>
      </c>
      <c r="N2613" s="3" t="n">
        <v>104.27</v>
      </c>
      <c r="O2613">
        <f>TEXT(A2613,"yyyy-mm")</f>
        <v/>
      </c>
    </row>
    <row r="2614">
      <c r="A2614" s="2" t="n">
        <v>45937</v>
      </c>
      <c r="B2614" t="n">
        <v>2025</v>
      </c>
      <c r="C2614" t="inlineStr">
        <is>
          <t>October</t>
        </is>
      </c>
      <c r="D2614" t="inlineStr">
        <is>
          <t>Classic Yoga Mat</t>
        </is>
      </c>
      <c r="E2614" t="inlineStr">
        <is>
          <t>Sports &amp; Outdoors</t>
        </is>
      </c>
      <c r="F2614" t="inlineStr">
        <is>
          <t>Maria Dubois</t>
        </is>
      </c>
      <c r="G2614" t="inlineStr">
        <is>
          <t>United Kingdom</t>
        </is>
      </c>
      <c r="H2614" t="inlineStr">
        <is>
          <t>Marketplace</t>
        </is>
      </c>
      <c r="I2614" t="n">
        <v>5</v>
      </c>
      <c r="J2614" s="3" t="n">
        <v>1649.3</v>
      </c>
      <c r="K2614" s="3" t="n">
        <v>0</v>
      </c>
      <c r="L2614" s="3" t="n">
        <v>1649.3</v>
      </c>
      <c r="M2614" s="3" t="n">
        <v>978.5</v>
      </c>
      <c r="N2614" s="3" t="n">
        <v>670.8</v>
      </c>
      <c r="O2614">
        <f>TEXT(A2614,"yyyy-mm")</f>
        <v/>
      </c>
    </row>
    <row r="2615">
      <c r="A2615" s="2" t="n">
        <v>45937</v>
      </c>
      <c r="B2615" t="n">
        <v>2025</v>
      </c>
      <c r="C2615" t="inlineStr">
        <is>
          <t>October</t>
        </is>
      </c>
      <c r="D2615" t="inlineStr">
        <is>
          <t>Essential Vitamins</t>
        </is>
      </c>
      <c r="E2615" t="inlineStr">
        <is>
          <t>Beauty &amp; Health</t>
        </is>
      </c>
      <c r="F2615" t="inlineStr">
        <is>
          <t>Sophie Smith</t>
        </is>
      </c>
      <c r="G2615" t="inlineStr">
        <is>
          <t>United Kingdom</t>
        </is>
      </c>
      <c r="H2615" t="inlineStr">
        <is>
          <t>Mobile App</t>
        </is>
      </c>
      <c r="I2615" t="n">
        <v>5</v>
      </c>
      <c r="J2615" s="3" t="n">
        <v>890.85</v>
      </c>
      <c r="K2615" s="3" t="n">
        <v>0</v>
      </c>
      <c r="L2615" s="3" t="n">
        <v>890.85</v>
      </c>
      <c r="M2615" s="3" t="n">
        <v>551.5</v>
      </c>
      <c r="N2615" s="3" t="n">
        <v>339.35</v>
      </c>
      <c r="O2615">
        <f>TEXT(A2615,"yyyy-mm")</f>
        <v/>
      </c>
    </row>
    <row r="2616">
      <c r="A2616" s="2" t="n">
        <v>45937</v>
      </c>
      <c r="B2616" t="n">
        <v>2025</v>
      </c>
      <c r="C2616" t="inlineStr">
        <is>
          <t>October</t>
        </is>
      </c>
      <c r="D2616" t="inlineStr">
        <is>
          <t>Deluxe Toothbrush</t>
        </is>
      </c>
      <c r="E2616" t="inlineStr">
        <is>
          <t>Beauty &amp; Health</t>
        </is>
      </c>
      <c r="F2616" t="inlineStr">
        <is>
          <t>Sophie Smith</t>
        </is>
      </c>
      <c r="G2616" t="inlineStr">
        <is>
          <t>United Kingdom</t>
        </is>
      </c>
      <c r="H2616" t="inlineStr">
        <is>
          <t>Mobile App</t>
        </is>
      </c>
      <c r="I2616" t="n">
        <v>5</v>
      </c>
      <c r="J2616" s="3" t="n">
        <v>1612.8</v>
      </c>
      <c r="K2616" s="3" t="n">
        <v>0</v>
      </c>
      <c r="L2616" s="3" t="n">
        <v>1612.8</v>
      </c>
      <c r="M2616" s="3" t="n">
        <v>872.85</v>
      </c>
      <c r="N2616" s="3" t="n">
        <v>739.95</v>
      </c>
      <c r="O2616">
        <f>TEXT(A2616,"yyyy-mm")</f>
        <v/>
      </c>
    </row>
    <row r="2617">
      <c r="A2617" s="2" t="n">
        <v>45937</v>
      </c>
      <c r="B2617" t="n">
        <v>2025</v>
      </c>
      <c r="C2617" t="inlineStr">
        <is>
          <t>October</t>
        </is>
      </c>
      <c r="D2617" t="inlineStr">
        <is>
          <t>Deluxe Puzzle</t>
        </is>
      </c>
      <c r="E2617" t="inlineStr">
        <is>
          <t>Toys &amp; Games</t>
        </is>
      </c>
      <c r="F2617" t="inlineStr">
        <is>
          <t>Sophie Smith</t>
        </is>
      </c>
      <c r="G2617" t="inlineStr">
        <is>
          <t>United Kingdom</t>
        </is>
      </c>
      <c r="H2617" t="inlineStr">
        <is>
          <t>Mobile App</t>
        </is>
      </c>
      <c r="I2617" t="n">
        <v>4</v>
      </c>
      <c r="J2617" s="3" t="n">
        <v>847.92</v>
      </c>
      <c r="K2617" s="3" t="n">
        <v>0</v>
      </c>
      <c r="L2617" s="3" t="n">
        <v>847.92</v>
      </c>
      <c r="M2617" s="3" t="n">
        <v>444.68</v>
      </c>
      <c r="N2617" s="3" t="n">
        <v>403.24</v>
      </c>
      <c r="O2617">
        <f>TEXT(A2617,"yyyy-mm")</f>
        <v/>
      </c>
    </row>
    <row r="2618">
      <c r="A2618" s="2" t="n">
        <v>45937</v>
      </c>
      <c r="B2618" t="n">
        <v>2025</v>
      </c>
      <c r="C2618" t="inlineStr">
        <is>
          <t>October</t>
        </is>
      </c>
      <c r="D2618" t="inlineStr">
        <is>
          <t>Smart Face Cream</t>
        </is>
      </c>
      <c r="E2618" t="inlineStr">
        <is>
          <t>Beauty &amp; Health</t>
        </is>
      </c>
      <c r="F2618" t="inlineStr">
        <is>
          <t>Sophie Smith</t>
        </is>
      </c>
      <c r="G2618" t="inlineStr">
        <is>
          <t>United Kingdom</t>
        </is>
      </c>
      <c r="H2618" t="inlineStr">
        <is>
          <t>Mobile App</t>
        </is>
      </c>
      <c r="I2618" t="n">
        <v>2</v>
      </c>
      <c r="J2618" s="3" t="n">
        <v>539.04</v>
      </c>
      <c r="K2618" s="3" t="n">
        <v>80.86</v>
      </c>
      <c r="L2618" s="3" t="n">
        <v>458.18</v>
      </c>
      <c r="M2618" s="3" t="n">
        <v>386.28</v>
      </c>
      <c r="N2618" s="3" t="n">
        <v>71.90000000000001</v>
      </c>
      <c r="O2618">
        <f>TEXT(A2618,"yyyy-mm")</f>
        <v/>
      </c>
    </row>
    <row r="2619">
      <c r="A2619" s="2" t="n">
        <v>45937</v>
      </c>
      <c r="B2619" t="n">
        <v>2025</v>
      </c>
      <c r="C2619" t="inlineStr">
        <is>
          <t>October</t>
        </is>
      </c>
      <c r="D2619" t="inlineStr">
        <is>
          <t>Premium Tent</t>
        </is>
      </c>
      <c r="E2619" t="inlineStr">
        <is>
          <t>Sports &amp; Outdoors</t>
        </is>
      </c>
      <c r="F2619" t="inlineStr">
        <is>
          <t>Anna Fischer</t>
        </is>
      </c>
      <c r="G2619" t="inlineStr">
        <is>
          <t>Spain</t>
        </is>
      </c>
      <c r="H2619" t="inlineStr">
        <is>
          <t>Retail Store</t>
        </is>
      </c>
      <c r="I2619" t="n">
        <v>2</v>
      </c>
      <c r="J2619" s="3" t="n">
        <v>532.8</v>
      </c>
      <c r="K2619" s="3" t="n">
        <v>26.64</v>
      </c>
      <c r="L2619" s="3" t="n">
        <v>506.16</v>
      </c>
      <c r="M2619" s="3" t="n">
        <v>330.62</v>
      </c>
      <c r="N2619" s="3" t="n">
        <v>175.54</v>
      </c>
      <c r="O2619">
        <f>TEXT(A2619,"yyyy-mm")</f>
        <v/>
      </c>
    </row>
    <row r="2620">
      <c r="A2620" s="2" t="n">
        <v>45937</v>
      </c>
      <c r="B2620" t="n">
        <v>2025</v>
      </c>
      <c r="C2620" t="inlineStr">
        <is>
          <t>October</t>
        </is>
      </c>
      <c r="D2620" t="inlineStr">
        <is>
          <t>Classic Yoga Mat</t>
        </is>
      </c>
      <c r="E2620" t="inlineStr">
        <is>
          <t>Sports &amp; Outdoors</t>
        </is>
      </c>
      <c r="F2620" t="inlineStr">
        <is>
          <t>Anna Fischer</t>
        </is>
      </c>
      <c r="G2620" t="inlineStr">
        <is>
          <t>Spain</t>
        </is>
      </c>
      <c r="H2620" t="inlineStr">
        <is>
          <t>Retail Store</t>
        </is>
      </c>
      <c r="I2620" t="n">
        <v>3</v>
      </c>
      <c r="J2620" s="3" t="n">
        <v>1018.02</v>
      </c>
      <c r="K2620" s="3" t="n">
        <v>0</v>
      </c>
      <c r="L2620" s="3" t="n">
        <v>1018.02</v>
      </c>
      <c r="M2620" s="3" t="n">
        <v>587.1</v>
      </c>
      <c r="N2620" s="3" t="n">
        <v>430.92</v>
      </c>
      <c r="O2620">
        <f>TEXT(A2620,"yyyy-mm")</f>
        <v/>
      </c>
    </row>
    <row r="2621">
      <c r="A2621" s="2" t="n">
        <v>45937</v>
      </c>
      <c r="B2621" t="n">
        <v>2025</v>
      </c>
      <c r="C2621" t="inlineStr">
        <is>
          <t>October</t>
        </is>
      </c>
      <c r="D2621" t="inlineStr">
        <is>
          <t>Premium Cookbook</t>
        </is>
      </c>
      <c r="E2621" t="inlineStr">
        <is>
          <t>Books</t>
        </is>
      </c>
      <c r="F2621" t="inlineStr">
        <is>
          <t>Anna Fischer</t>
        </is>
      </c>
      <c r="G2621" t="inlineStr">
        <is>
          <t>Spain</t>
        </is>
      </c>
      <c r="H2621" t="inlineStr">
        <is>
          <t>Retail Store</t>
        </is>
      </c>
      <c r="I2621" t="n">
        <v>4</v>
      </c>
      <c r="J2621" s="3" t="n">
        <v>539.5599999999999</v>
      </c>
      <c r="K2621" s="3" t="n">
        <v>0</v>
      </c>
      <c r="L2621" s="3" t="n">
        <v>539.5599999999999</v>
      </c>
      <c r="M2621" s="3" t="n">
        <v>379.92</v>
      </c>
      <c r="N2621" s="3" t="n">
        <v>159.64</v>
      </c>
      <c r="O2621">
        <f>TEXT(A2621,"yyyy-mm")</f>
        <v/>
      </c>
    </row>
    <row r="2622">
      <c r="A2622" s="2" t="n">
        <v>45937</v>
      </c>
      <c r="B2622" t="n">
        <v>2025</v>
      </c>
      <c r="C2622" t="inlineStr">
        <is>
          <t>October</t>
        </is>
      </c>
      <c r="D2622" t="inlineStr">
        <is>
          <t>Eco Tent</t>
        </is>
      </c>
      <c r="E2622" t="inlineStr">
        <is>
          <t>Sports &amp; Outdoors</t>
        </is>
      </c>
      <c r="F2622" t="inlineStr">
        <is>
          <t>Mark Moreau</t>
        </is>
      </c>
      <c r="G2622" t="inlineStr">
        <is>
          <t>Italy</t>
        </is>
      </c>
      <c r="H2622" t="inlineStr">
        <is>
          <t>Web Store</t>
        </is>
      </c>
      <c r="I2622" t="n">
        <v>2</v>
      </c>
      <c r="J2622" s="3" t="n">
        <v>499.46</v>
      </c>
      <c r="K2622" s="3" t="n">
        <v>0</v>
      </c>
      <c r="L2622" s="3" t="n">
        <v>499.46</v>
      </c>
      <c r="M2622" s="3" t="n">
        <v>270.06</v>
      </c>
      <c r="N2622" s="3" t="n">
        <v>229.4</v>
      </c>
      <c r="O2622">
        <f>TEXT(A2622,"yyyy-mm")</f>
        <v/>
      </c>
    </row>
    <row r="2623">
      <c r="A2623" s="2" t="n">
        <v>45937</v>
      </c>
      <c r="B2623" t="n">
        <v>2025</v>
      </c>
      <c r="C2623" t="inlineStr">
        <is>
          <t>October</t>
        </is>
      </c>
      <c r="D2623" t="inlineStr">
        <is>
          <t>Smart Cookbook</t>
        </is>
      </c>
      <c r="E2623" t="inlineStr">
        <is>
          <t>Books</t>
        </is>
      </c>
      <c r="F2623" t="inlineStr">
        <is>
          <t>Anna Fischer</t>
        </is>
      </c>
      <c r="G2623" t="inlineStr">
        <is>
          <t>Spain</t>
        </is>
      </c>
      <c r="H2623" t="inlineStr">
        <is>
          <t>Retail Store</t>
        </is>
      </c>
      <c r="I2623" t="n">
        <v>1</v>
      </c>
      <c r="J2623" s="3" t="n">
        <v>17.48</v>
      </c>
      <c r="K2623" s="3" t="n">
        <v>1.75</v>
      </c>
      <c r="L2623" s="3" t="n">
        <v>15.73</v>
      </c>
      <c r="M2623" s="3" t="n">
        <v>9.880000000000001</v>
      </c>
      <c r="N2623" s="3" t="n">
        <v>5.85</v>
      </c>
      <c r="O2623">
        <f>TEXT(A2623,"yyyy-mm")</f>
        <v/>
      </c>
    </row>
    <row r="2624">
      <c r="A2624" s="2" t="n">
        <v>45938</v>
      </c>
      <c r="B2624" t="n">
        <v>2025</v>
      </c>
      <c r="C2624" t="inlineStr">
        <is>
          <t>October</t>
        </is>
      </c>
      <c r="D2624" t="inlineStr">
        <is>
          <t>Classic Sunscreen</t>
        </is>
      </c>
      <c r="E2624" t="inlineStr">
        <is>
          <t>Beauty &amp; Health</t>
        </is>
      </c>
      <c r="F2624" t="inlineStr">
        <is>
          <t>Olivia Moreau</t>
        </is>
      </c>
      <c r="G2624" t="inlineStr">
        <is>
          <t>Italy</t>
        </is>
      </c>
      <c r="H2624" t="inlineStr">
        <is>
          <t>Web Store</t>
        </is>
      </c>
      <c r="I2624" t="n">
        <v>1</v>
      </c>
      <c r="J2624" s="3" t="n">
        <v>146.05</v>
      </c>
      <c r="K2624" s="3" t="n">
        <v>7.3</v>
      </c>
      <c r="L2624" s="3" t="n">
        <v>138.75</v>
      </c>
      <c r="M2624" s="3" t="n">
        <v>93.69</v>
      </c>
      <c r="N2624" s="3" t="n">
        <v>45.06</v>
      </c>
      <c r="O2624">
        <f>TEXT(A2624,"yyyy-mm")</f>
        <v/>
      </c>
    </row>
    <row r="2625">
      <c r="A2625" s="2" t="n">
        <v>45938</v>
      </c>
      <c r="B2625" t="n">
        <v>2025</v>
      </c>
      <c r="C2625" t="inlineStr">
        <is>
          <t>October</t>
        </is>
      </c>
      <c r="D2625" t="inlineStr">
        <is>
          <t>Wireless Coffee Beans</t>
        </is>
      </c>
      <c r="E2625" t="inlineStr">
        <is>
          <t>Grocery</t>
        </is>
      </c>
      <c r="F2625" t="inlineStr">
        <is>
          <t>Olivia Moreau</t>
        </is>
      </c>
      <c r="G2625" t="inlineStr">
        <is>
          <t>Italy</t>
        </is>
      </c>
      <c r="H2625" t="inlineStr">
        <is>
          <t>Web Store</t>
        </is>
      </c>
      <c r="I2625" t="n">
        <v>3</v>
      </c>
      <c r="J2625" s="3" t="n">
        <v>659.79</v>
      </c>
      <c r="K2625" s="3" t="n">
        <v>98.97</v>
      </c>
      <c r="L2625" s="3" t="n">
        <v>560.8200000000001</v>
      </c>
      <c r="M2625" s="3" t="n">
        <v>390.39</v>
      </c>
      <c r="N2625" s="3" t="n">
        <v>170.43</v>
      </c>
      <c r="O2625">
        <f>TEXT(A2625,"yyyy-mm")</f>
        <v/>
      </c>
    </row>
    <row r="2626">
      <c r="A2626" s="2" t="n">
        <v>45938</v>
      </c>
      <c r="B2626" t="n">
        <v>2025</v>
      </c>
      <c r="C2626" t="inlineStr">
        <is>
          <t>October</t>
        </is>
      </c>
      <c r="D2626" t="inlineStr">
        <is>
          <t>Premium Water Bottle</t>
        </is>
      </c>
      <c r="E2626" t="inlineStr">
        <is>
          <t>Sports &amp; Outdoors</t>
        </is>
      </c>
      <c r="F2626" t="inlineStr">
        <is>
          <t>Olivia Moreau</t>
        </is>
      </c>
      <c r="G2626" t="inlineStr">
        <is>
          <t>Italy</t>
        </is>
      </c>
      <c r="H2626" t="inlineStr">
        <is>
          <t>Web Store</t>
        </is>
      </c>
      <c r="I2626" t="n">
        <v>5</v>
      </c>
      <c r="J2626" s="3" t="n">
        <v>591.15</v>
      </c>
      <c r="K2626" s="3" t="n">
        <v>0</v>
      </c>
      <c r="L2626" s="3" t="n">
        <v>591.15</v>
      </c>
      <c r="M2626" s="3" t="n">
        <v>448.1</v>
      </c>
      <c r="N2626" s="3" t="n">
        <v>143.05</v>
      </c>
      <c r="O2626">
        <f>TEXT(A2626,"yyyy-mm")</f>
        <v/>
      </c>
    </row>
    <row r="2627">
      <c r="A2627" s="2" t="n">
        <v>45939</v>
      </c>
      <c r="B2627" t="n">
        <v>2025</v>
      </c>
      <c r="C2627" t="inlineStr">
        <is>
          <t>October</t>
        </is>
      </c>
      <c r="D2627" t="inlineStr">
        <is>
          <t>Eco Drone</t>
        </is>
      </c>
      <c r="E2627" t="inlineStr">
        <is>
          <t>Toys &amp; Games</t>
        </is>
      </c>
      <c r="F2627" t="inlineStr">
        <is>
          <t>David Garcia</t>
        </is>
      </c>
      <c r="G2627" t="inlineStr">
        <is>
          <t>United Kingdom</t>
        </is>
      </c>
      <c r="H2627" t="inlineStr">
        <is>
          <t>Marketplace</t>
        </is>
      </c>
      <c r="I2627" t="n">
        <v>4</v>
      </c>
      <c r="J2627" s="3" t="n">
        <v>830.6</v>
      </c>
      <c r="K2627" s="3" t="n">
        <v>166.12</v>
      </c>
      <c r="L2627" s="3" t="n">
        <v>664.48</v>
      </c>
      <c r="M2627" s="3" t="n">
        <v>518.36</v>
      </c>
      <c r="N2627" s="3" t="n">
        <v>146.12</v>
      </c>
      <c r="O2627">
        <f>TEXT(A2627,"yyyy-mm")</f>
        <v/>
      </c>
    </row>
    <row r="2628">
      <c r="A2628" s="2" t="n">
        <v>45939</v>
      </c>
      <c r="B2628" t="n">
        <v>2025</v>
      </c>
      <c r="C2628" t="inlineStr">
        <is>
          <t>October</t>
        </is>
      </c>
      <c r="D2628" t="inlineStr">
        <is>
          <t>Smart Honey</t>
        </is>
      </c>
      <c r="E2628" t="inlineStr">
        <is>
          <t>Grocery</t>
        </is>
      </c>
      <c r="F2628" t="inlineStr">
        <is>
          <t>David Garcia</t>
        </is>
      </c>
      <c r="G2628" t="inlineStr">
        <is>
          <t>United Kingdom</t>
        </is>
      </c>
      <c r="H2628" t="inlineStr">
        <is>
          <t>Marketplace</t>
        </is>
      </c>
      <c r="I2628" t="n">
        <v>5</v>
      </c>
      <c r="J2628" s="3" t="n">
        <v>668.65</v>
      </c>
      <c r="K2628" s="3" t="n">
        <v>0</v>
      </c>
      <c r="L2628" s="3" t="n">
        <v>668.65</v>
      </c>
      <c r="M2628" s="3" t="n">
        <v>357.2</v>
      </c>
      <c r="N2628" s="3" t="n">
        <v>311.45</v>
      </c>
      <c r="O2628">
        <f>TEXT(A2628,"yyyy-mm")</f>
        <v/>
      </c>
    </row>
    <row r="2629">
      <c r="A2629" s="2" t="n">
        <v>45939</v>
      </c>
      <c r="B2629" t="n">
        <v>2025</v>
      </c>
      <c r="C2629" t="inlineStr">
        <is>
          <t>October</t>
        </is>
      </c>
      <c r="D2629" t="inlineStr">
        <is>
          <t>Compact Jacket</t>
        </is>
      </c>
      <c r="E2629" t="inlineStr">
        <is>
          <t>Clothing</t>
        </is>
      </c>
      <c r="F2629" t="inlineStr">
        <is>
          <t>Julia Wilson</t>
        </is>
      </c>
      <c r="G2629" t="inlineStr">
        <is>
          <t>United Kingdom</t>
        </is>
      </c>
      <c r="H2629" t="inlineStr">
        <is>
          <t>Marketplace</t>
        </is>
      </c>
      <c r="I2629" t="n">
        <v>5</v>
      </c>
      <c r="J2629" s="3" t="n">
        <v>188.95</v>
      </c>
      <c r="K2629" s="3" t="n">
        <v>0</v>
      </c>
      <c r="L2629" s="3" t="n">
        <v>188.95</v>
      </c>
      <c r="M2629" s="3" t="n">
        <v>102</v>
      </c>
      <c r="N2629" s="3" t="n">
        <v>86.95</v>
      </c>
      <c r="O2629">
        <f>TEXT(A2629,"yyyy-mm")</f>
        <v/>
      </c>
    </row>
    <row r="2630">
      <c r="A2630" s="2" t="n">
        <v>45939</v>
      </c>
      <c r="B2630" t="n">
        <v>2025</v>
      </c>
      <c r="C2630" t="inlineStr">
        <is>
          <t>October</t>
        </is>
      </c>
      <c r="D2630" t="inlineStr">
        <is>
          <t>Classic Tent</t>
        </is>
      </c>
      <c r="E2630" t="inlineStr">
        <is>
          <t>Sports &amp; Outdoors</t>
        </is>
      </c>
      <c r="F2630" t="inlineStr">
        <is>
          <t>Julia Wilson</t>
        </is>
      </c>
      <c r="G2630" t="inlineStr">
        <is>
          <t>United Kingdom</t>
        </is>
      </c>
      <c r="H2630" t="inlineStr">
        <is>
          <t>Marketplace</t>
        </is>
      </c>
      <c r="I2630" t="n">
        <v>2</v>
      </c>
      <c r="J2630" s="3" t="n">
        <v>425.38</v>
      </c>
      <c r="K2630" s="3" t="n">
        <v>42.54</v>
      </c>
      <c r="L2630" s="3" t="n">
        <v>382.84</v>
      </c>
      <c r="M2630" s="3" t="n">
        <v>236.04</v>
      </c>
      <c r="N2630" s="3" t="n">
        <v>146.8</v>
      </c>
      <c r="O2630">
        <f>TEXT(A2630,"yyyy-mm")</f>
        <v/>
      </c>
    </row>
    <row r="2631">
      <c r="A2631" s="2" t="n">
        <v>45939</v>
      </c>
      <c r="B2631" t="n">
        <v>2025</v>
      </c>
      <c r="C2631" t="inlineStr">
        <is>
          <t>October</t>
        </is>
      </c>
      <c r="D2631" t="inlineStr">
        <is>
          <t>Premium Cookbook</t>
        </is>
      </c>
      <c r="E2631" t="inlineStr">
        <is>
          <t>Books</t>
        </is>
      </c>
      <c r="F2631" t="inlineStr">
        <is>
          <t>Julia Wilson</t>
        </is>
      </c>
      <c r="G2631" t="inlineStr">
        <is>
          <t>United Kingdom</t>
        </is>
      </c>
      <c r="H2631" t="inlineStr">
        <is>
          <t>Marketplace</t>
        </is>
      </c>
      <c r="I2631" t="n">
        <v>3</v>
      </c>
      <c r="J2631" s="3" t="n">
        <v>408.75</v>
      </c>
      <c r="K2631" s="3" t="n">
        <v>0</v>
      </c>
      <c r="L2631" s="3" t="n">
        <v>408.75</v>
      </c>
      <c r="M2631" s="3" t="n">
        <v>284.94</v>
      </c>
      <c r="N2631" s="3" t="n">
        <v>123.81</v>
      </c>
      <c r="O2631">
        <f>TEXT(A2631,"yyyy-mm")</f>
        <v/>
      </c>
    </row>
    <row r="2632">
      <c r="A2632" s="2" t="n">
        <v>45939</v>
      </c>
      <c r="B2632" t="n">
        <v>2025</v>
      </c>
      <c r="C2632" t="inlineStr">
        <is>
          <t>October</t>
        </is>
      </c>
      <c r="D2632" t="inlineStr">
        <is>
          <t>Essential Toolset</t>
        </is>
      </c>
      <c r="E2632" t="inlineStr">
        <is>
          <t>Home &amp; Garden</t>
        </is>
      </c>
      <c r="F2632" t="inlineStr">
        <is>
          <t>Mark Martin</t>
        </is>
      </c>
      <c r="G2632" t="inlineStr">
        <is>
          <t>Spain</t>
        </is>
      </c>
      <c r="H2632" t="inlineStr">
        <is>
          <t>Web Store</t>
        </is>
      </c>
      <c r="I2632" t="n">
        <v>3</v>
      </c>
      <c r="J2632" s="3" t="n">
        <v>594.6900000000001</v>
      </c>
      <c r="K2632" s="3" t="n">
        <v>59.47</v>
      </c>
      <c r="L2632" s="3" t="n">
        <v>535.22</v>
      </c>
      <c r="M2632" s="3" t="n">
        <v>451.59</v>
      </c>
      <c r="N2632" s="3" t="n">
        <v>83.63</v>
      </c>
      <c r="O2632">
        <f>TEXT(A2632,"yyyy-mm")</f>
        <v/>
      </c>
    </row>
    <row r="2633">
      <c r="A2633" s="2" t="n">
        <v>45939</v>
      </c>
      <c r="B2633" t="n">
        <v>2025</v>
      </c>
      <c r="C2633" t="inlineStr">
        <is>
          <t>October</t>
        </is>
      </c>
      <c r="D2633" t="inlineStr">
        <is>
          <t>Deluxe Toolset</t>
        </is>
      </c>
      <c r="E2633" t="inlineStr">
        <is>
          <t>Home &amp; Garden</t>
        </is>
      </c>
      <c r="F2633" t="inlineStr">
        <is>
          <t>Daniel Garcia</t>
        </is>
      </c>
      <c r="G2633" t="inlineStr">
        <is>
          <t>Italy</t>
        </is>
      </c>
      <c r="H2633" t="inlineStr">
        <is>
          <t>Marketplace</t>
        </is>
      </c>
      <c r="I2633" t="n">
        <v>3</v>
      </c>
      <c r="J2633" s="3" t="n">
        <v>193.92</v>
      </c>
      <c r="K2633" s="3" t="n">
        <v>9.699999999999999</v>
      </c>
      <c r="L2633" s="3" t="n">
        <v>184.22</v>
      </c>
      <c r="M2633" s="3" t="n">
        <v>143.13</v>
      </c>
      <c r="N2633" s="3" t="n">
        <v>41.09</v>
      </c>
      <c r="O2633">
        <f>TEXT(A2633,"yyyy-mm")</f>
        <v/>
      </c>
    </row>
    <row r="2634">
      <c r="A2634" s="2" t="n">
        <v>45939</v>
      </c>
      <c r="B2634" t="n">
        <v>2025</v>
      </c>
      <c r="C2634" t="inlineStr">
        <is>
          <t>October</t>
        </is>
      </c>
      <c r="D2634" t="inlineStr">
        <is>
          <t>Essential Lamp</t>
        </is>
      </c>
      <c r="E2634" t="inlineStr">
        <is>
          <t>Home &amp; Garden</t>
        </is>
      </c>
      <c r="F2634" t="inlineStr">
        <is>
          <t>Daniel Garcia</t>
        </is>
      </c>
      <c r="G2634" t="inlineStr">
        <is>
          <t>Italy</t>
        </is>
      </c>
      <c r="H2634" t="inlineStr">
        <is>
          <t>Marketplace</t>
        </is>
      </c>
      <c r="I2634" t="n">
        <v>2</v>
      </c>
      <c r="J2634" s="3" t="n">
        <v>125.98</v>
      </c>
      <c r="K2634" s="3" t="n">
        <v>0</v>
      </c>
      <c r="L2634" s="3" t="n">
        <v>125.98</v>
      </c>
      <c r="M2634" s="3" t="n">
        <v>90.8</v>
      </c>
      <c r="N2634" s="3" t="n">
        <v>35.18</v>
      </c>
      <c r="O2634">
        <f>TEXT(A2634,"yyyy-mm")</f>
        <v/>
      </c>
    </row>
    <row r="2635">
      <c r="A2635" s="2" t="n">
        <v>45939</v>
      </c>
      <c r="B2635" t="n">
        <v>2025</v>
      </c>
      <c r="C2635" t="inlineStr">
        <is>
          <t>October</t>
        </is>
      </c>
      <c r="D2635" t="inlineStr">
        <is>
          <t>Classic Tea Set</t>
        </is>
      </c>
      <c r="E2635" t="inlineStr">
        <is>
          <t>Grocery</t>
        </is>
      </c>
      <c r="F2635" t="inlineStr">
        <is>
          <t>Daniel Garcia</t>
        </is>
      </c>
      <c r="G2635" t="inlineStr">
        <is>
          <t>Italy</t>
        </is>
      </c>
      <c r="H2635" t="inlineStr">
        <is>
          <t>Marketplace</t>
        </is>
      </c>
      <c r="I2635" t="n">
        <v>1</v>
      </c>
      <c r="J2635" s="3" t="n">
        <v>182.38</v>
      </c>
      <c r="K2635" s="3" t="n">
        <v>18.24</v>
      </c>
      <c r="L2635" s="3" t="n">
        <v>164.14</v>
      </c>
      <c r="M2635" s="3" t="n">
        <v>125.4</v>
      </c>
      <c r="N2635" s="3" t="n">
        <v>38.74</v>
      </c>
      <c r="O2635">
        <f>TEXT(A2635,"yyyy-mm")</f>
        <v/>
      </c>
    </row>
    <row r="2636">
      <c r="A2636" s="2" t="n">
        <v>45940</v>
      </c>
      <c r="B2636" t="n">
        <v>2025</v>
      </c>
      <c r="C2636" t="inlineStr">
        <is>
          <t>October</t>
        </is>
      </c>
      <c r="D2636" t="inlineStr">
        <is>
          <t>Smart Sweater</t>
        </is>
      </c>
      <c r="E2636" t="inlineStr">
        <is>
          <t>Clothing</t>
        </is>
      </c>
      <c r="F2636" t="inlineStr">
        <is>
          <t>Sophie Bianchi</t>
        </is>
      </c>
      <c r="G2636" t="inlineStr">
        <is>
          <t>United States</t>
        </is>
      </c>
      <c r="H2636" t="inlineStr">
        <is>
          <t>Mobile App</t>
        </is>
      </c>
      <c r="I2636" t="n">
        <v>4</v>
      </c>
      <c r="J2636" s="3" t="n">
        <v>578.48</v>
      </c>
      <c r="K2636" s="3" t="n">
        <v>0</v>
      </c>
      <c r="L2636" s="3" t="n">
        <v>578.48</v>
      </c>
      <c r="M2636" s="3" t="n">
        <v>309.4</v>
      </c>
      <c r="N2636" s="3" t="n">
        <v>269.08</v>
      </c>
      <c r="O2636">
        <f>TEXT(A2636,"yyyy-mm")</f>
        <v/>
      </c>
    </row>
    <row r="2637">
      <c r="A2637" s="2" t="n">
        <v>45940</v>
      </c>
      <c r="B2637" t="n">
        <v>2025</v>
      </c>
      <c r="C2637" t="inlineStr">
        <is>
          <t>October</t>
        </is>
      </c>
      <c r="D2637" t="inlineStr">
        <is>
          <t>Essential Jacket</t>
        </is>
      </c>
      <c r="E2637" t="inlineStr">
        <is>
          <t>Clothing</t>
        </is>
      </c>
      <c r="F2637" t="inlineStr">
        <is>
          <t>Sophie Bianchi</t>
        </is>
      </c>
      <c r="G2637" t="inlineStr">
        <is>
          <t>United States</t>
        </is>
      </c>
      <c r="H2637" t="inlineStr">
        <is>
          <t>Mobile App</t>
        </is>
      </c>
      <c r="I2637" t="n">
        <v>1</v>
      </c>
      <c r="J2637" s="3" t="n">
        <v>140.58</v>
      </c>
      <c r="K2637" s="3" t="n">
        <v>0</v>
      </c>
      <c r="L2637" s="3" t="n">
        <v>140.58</v>
      </c>
      <c r="M2637" s="3" t="n">
        <v>85.34999999999999</v>
      </c>
      <c r="N2637" s="3" t="n">
        <v>55.23</v>
      </c>
      <c r="O2637">
        <f>TEXT(A2637,"yyyy-mm")</f>
        <v/>
      </c>
    </row>
    <row r="2638">
      <c r="A2638" s="2" t="n">
        <v>45940</v>
      </c>
      <c r="B2638" t="n">
        <v>2025</v>
      </c>
      <c r="C2638" t="inlineStr">
        <is>
          <t>October</t>
        </is>
      </c>
      <c r="D2638" t="inlineStr">
        <is>
          <t>Premium Water Bottle</t>
        </is>
      </c>
      <c r="E2638" t="inlineStr">
        <is>
          <t>Sports &amp; Outdoors</t>
        </is>
      </c>
      <c r="F2638" t="inlineStr">
        <is>
          <t>Sophie Bianchi</t>
        </is>
      </c>
      <c r="G2638" t="inlineStr">
        <is>
          <t>United States</t>
        </is>
      </c>
      <c r="H2638" t="inlineStr">
        <is>
          <t>Mobile App</t>
        </is>
      </c>
      <c r="I2638" t="n">
        <v>2</v>
      </c>
      <c r="J2638" s="3" t="n">
        <v>236.26</v>
      </c>
      <c r="K2638" s="3" t="n">
        <v>23.63</v>
      </c>
      <c r="L2638" s="3" t="n">
        <v>212.63</v>
      </c>
      <c r="M2638" s="3" t="n">
        <v>179.24</v>
      </c>
      <c r="N2638" s="3" t="n">
        <v>33.39</v>
      </c>
      <c r="O2638">
        <f>TEXT(A2638,"yyyy-mm")</f>
        <v/>
      </c>
    </row>
    <row r="2639">
      <c r="A2639" s="2" t="n">
        <v>45940</v>
      </c>
      <c r="B2639" t="n">
        <v>2025</v>
      </c>
      <c r="C2639" t="inlineStr">
        <is>
          <t>October</t>
        </is>
      </c>
      <c r="D2639" t="inlineStr">
        <is>
          <t>Smart Drone</t>
        </is>
      </c>
      <c r="E2639" t="inlineStr">
        <is>
          <t>Toys &amp; Games</t>
        </is>
      </c>
      <c r="F2639" t="inlineStr">
        <is>
          <t>Maria Rossi</t>
        </is>
      </c>
      <c r="G2639" t="inlineStr">
        <is>
          <t>Spain</t>
        </is>
      </c>
      <c r="H2639" t="inlineStr">
        <is>
          <t>Web Store</t>
        </is>
      </c>
      <c r="I2639" t="n">
        <v>1</v>
      </c>
      <c r="J2639" s="3" t="n">
        <v>232.49</v>
      </c>
      <c r="K2639" s="3" t="n">
        <v>46.5</v>
      </c>
      <c r="L2639" s="3" t="n">
        <v>185.99</v>
      </c>
      <c r="M2639" s="3" t="n">
        <v>126.95</v>
      </c>
      <c r="N2639" s="3" t="n">
        <v>59.04</v>
      </c>
      <c r="O2639">
        <f>TEXT(A2639,"yyyy-mm")</f>
        <v/>
      </c>
    </row>
    <row r="2640">
      <c r="A2640" s="2" t="n">
        <v>45940</v>
      </c>
      <c r="B2640" t="n">
        <v>2025</v>
      </c>
      <c r="C2640" t="inlineStr">
        <is>
          <t>October</t>
        </is>
      </c>
      <c r="D2640" t="inlineStr">
        <is>
          <t>Premium Water Bottle</t>
        </is>
      </c>
      <c r="E2640" t="inlineStr">
        <is>
          <t>Sports &amp; Outdoors</t>
        </is>
      </c>
      <c r="F2640" t="inlineStr">
        <is>
          <t>Maria Rossi</t>
        </is>
      </c>
      <c r="G2640" t="inlineStr">
        <is>
          <t>Spain</t>
        </is>
      </c>
      <c r="H2640" t="inlineStr">
        <is>
          <t>Web Store</t>
        </is>
      </c>
      <c r="I2640" t="n">
        <v>4</v>
      </c>
      <c r="J2640" s="3" t="n">
        <v>115</v>
      </c>
      <c r="K2640" s="3" t="n">
        <v>23</v>
      </c>
      <c r="L2640" s="3" t="n">
        <v>92</v>
      </c>
      <c r="M2640" s="3" t="n">
        <v>66.52</v>
      </c>
      <c r="N2640" s="3" t="n">
        <v>25.48</v>
      </c>
      <c r="O2640">
        <f>TEXT(A2640,"yyyy-mm")</f>
        <v/>
      </c>
    </row>
    <row r="2641">
      <c r="A2641" s="2" t="n">
        <v>45941</v>
      </c>
      <c r="B2641" t="n">
        <v>2025</v>
      </c>
      <c r="C2641" t="inlineStr">
        <is>
          <t>October</t>
        </is>
      </c>
      <c r="D2641" t="inlineStr">
        <is>
          <t>Essential Cushion</t>
        </is>
      </c>
      <c r="E2641" t="inlineStr">
        <is>
          <t>Home &amp; Garden</t>
        </is>
      </c>
      <c r="F2641" t="inlineStr">
        <is>
          <t>Robert Wojcik</t>
        </is>
      </c>
      <c r="G2641" t="inlineStr">
        <is>
          <t>Italy</t>
        </is>
      </c>
      <c r="H2641" t="inlineStr">
        <is>
          <t>Web Store</t>
        </is>
      </c>
      <c r="I2641" t="n">
        <v>3</v>
      </c>
      <c r="J2641" s="3" t="n">
        <v>133.5</v>
      </c>
      <c r="K2641" s="3" t="n">
        <v>13.35</v>
      </c>
      <c r="L2641" s="3" t="n">
        <v>120.15</v>
      </c>
      <c r="M2641" s="3" t="n">
        <v>91.65000000000001</v>
      </c>
      <c r="N2641" s="3" t="n">
        <v>28.5</v>
      </c>
      <c r="O2641">
        <f>TEXT(A2641,"yyyy-mm")</f>
        <v/>
      </c>
    </row>
    <row r="2642">
      <c r="A2642" s="2" t="n">
        <v>45941</v>
      </c>
      <c r="B2642" t="n">
        <v>2025</v>
      </c>
      <c r="C2642" t="inlineStr">
        <is>
          <t>October</t>
        </is>
      </c>
      <c r="D2642" t="inlineStr">
        <is>
          <t>Deluxe Puzzle</t>
        </is>
      </c>
      <c r="E2642" t="inlineStr">
        <is>
          <t>Toys &amp; Games</t>
        </is>
      </c>
      <c r="F2642" t="inlineStr">
        <is>
          <t>Mark Weber</t>
        </is>
      </c>
      <c r="G2642" t="inlineStr">
        <is>
          <t>Poland</t>
        </is>
      </c>
      <c r="H2642" t="inlineStr">
        <is>
          <t>Mobile App</t>
        </is>
      </c>
      <c r="I2642" t="n">
        <v>2</v>
      </c>
      <c r="J2642" s="3" t="n">
        <v>407.92</v>
      </c>
      <c r="K2642" s="3" t="n">
        <v>40.79</v>
      </c>
      <c r="L2642" s="3" t="n">
        <v>367.13</v>
      </c>
      <c r="M2642" s="3" t="n">
        <v>222.34</v>
      </c>
      <c r="N2642" s="3" t="n">
        <v>144.79</v>
      </c>
      <c r="O2642">
        <f>TEXT(A2642,"yyyy-mm")</f>
        <v/>
      </c>
    </row>
    <row r="2643">
      <c r="A2643" s="2" t="n">
        <v>45941</v>
      </c>
      <c r="B2643" t="n">
        <v>2025</v>
      </c>
      <c r="C2643" t="inlineStr">
        <is>
          <t>October</t>
        </is>
      </c>
      <c r="D2643" t="inlineStr">
        <is>
          <t>Smart Drone</t>
        </is>
      </c>
      <c r="E2643" t="inlineStr">
        <is>
          <t>Toys &amp; Games</t>
        </is>
      </c>
      <c r="F2643" t="inlineStr">
        <is>
          <t>Mark Weber</t>
        </is>
      </c>
      <c r="G2643" t="inlineStr">
        <is>
          <t>Poland</t>
        </is>
      </c>
      <c r="H2643" t="inlineStr">
        <is>
          <t>Mobile App</t>
        </is>
      </c>
      <c r="I2643" t="n">
        <v>3</v>
      </c>
      <c r="J2643" s="3" t="n">
        <v>678.9</v>
      </c>
      <c r="K2643" s="3" t="n">
        <v>0</v>
      </c>
      <c r="L2643" s="3" t="n">
        <v>678.9</v>
      </c>
      <c r="M2643" s="3" t="n">
        <v>380.85</v>
      </c>
      <c r="N2643" s="3" t="n">
        <v>298.05</v>
      </c>
      <c r="O2643">
        <f>TEXT(A2643,"yyyy-mm")</f>
        <v/>
      </c>
    </row>
    <row r="2644">
      <c r="A2644" s="2" t="n">
        <v>45941</v>
      </c>
      <c r="B2644" t="n">
        <v>2025</v>
      </c>
      <c r="C2644" t="inlineStr">
        <is>
          <t>October</t>
        </is>
      </c>
      <c r="D2644" t="inlineStr">
        <is>
          <t>Smart Tea Set</t>
        </is>
      </c>
      <c r="E2644" t="inlineStr">
        <is>
          <t>Grocery</t>
        </is>
      </c>
      <c r="F2644" t="inlineStr">
        <is>
          <t>Thomas Schmidt</t>
        </is>
      </c>
      <c r="G2644" t="inlineStr">
        <is>
          <t>United Kingdom</t>
        </is>
      </c>
      <c r="H2644" t="inlineStr">
        <is>
          <t>Web Store</t>
        </is>
      </c>
      <c r="I2644" t="n">
        <v>1</v>
      </c>
      <c r="J2644" s="3" t="n">
        <v>90.06999999999999</v>
      </c>
      <c r="K2644" s="3" t="n">
        <v>0</v>
      </c>
      <c r="L2644" s="3" t="n">
        <v>90.06999999999999</v>
      </c>
      <c r="M2644" s="3" t="n">
        <v>61.8</v>
      </c>
      <c r="N2644" s="3" t="n">
        <v>28.27</v>
      </c>
      <c r="O2644">
        <f>TEXT(A2644,"yyyy-mm")</f>
        <v/>
      </c>
    </row>
    <row r="2645">
      <c r="A2645" s="2" t="n">
        <v>45941</v>
      </c>
      <c r="B2645" t="n">
        <v>2025</v>
      </c>
      <c r="C2645" t="inlineStr">
        <is>
          <t>October</t>
        </is>
      </c>
      <c r="D2645" t="inlineStr">
        <is>
          <t>Essential Lamp</t>
        </is>
      </c>
      <c r="E2645" t="inlineStr">
        <is>
          <t>Home &amp; Garden</t>
        </is>
      </c>
      <c r="F2645" t="inlineStr">
        <is>
          <t>Mark Weber</t>
        </is>
      </c>
      <c r="G2645" t="inlineStr">
        <is>
          <t>Poland</t>
        </is>
      </c>
      <c r="H2645" t="inlineStr">
        <is>
          <t>Mobile App</t>
        </is>
      </c>
      <c r="I2645" t="n">
        <v>2</v>
      </c>
      <c r="J2645" s="3" t="n">
        <v>131.38</v>
      </c>
      <c r="K2645" s="3" t="n">
        <v>19.71</v>
      </c>
      <c r="L2645" s="3" t="n">
        <v>111.67</v>
      </c>
      <c r="M2645" s="3" t="n">
        <v>90.8</v>
      </c>
      <c r="N2645" s="3" t="n">
        <v>20.87</v>
      </c>
      <c r="O2645">
        <f>TEXT(A2645,"yyyy-mm")</f>
        <v/>
      </c>
    </row>
    <row r="2646">
      <c r="A2646" s="2" t="n">
        <v>45941</v>
      </c>
      <c r="B2646" t="n">
        <v>2025</v>
      </c>
      <c r="C2646" t="inlineStr">
        <is>
          <t>October</t>
        </is>
      </c>
      <c r="D2646" t="inlineStr">
        <is>
          <t>Ultra Rug</t>
        </is>
      </c>
      <c r="E2646" t="inlineStr">
        <is>
          <t>Home &amp; Garden</t>
        </is>
      </c>
      <c r="F2646" t="inlineStr">
        <is>
          <t>Mark Weber</t>
        </is>
      </c>
      <c r="G2646" t="inlineStr">
        <is>
          <t>Poland</t>
        </is>
      </c>
      <c r="H2646" t="inlineStr">
        <is>
          <t>Mobile App</t>
        </is>
      </c>
      <c r="I2646" t="n">
        <v>3</v>
      </c>
      <c r="J2646" s="3" t="n">
        <v>150.45</v>
      </c>
      <c r="K2646" s="3" t="n">
        <v>7.52</v>
      </c>
      <c r="L2646" s="3" t="n">
        <v>142.93</v>
      </c>
      <c r="M2646" s="3" t="n">
        <v>98.73</v>
      </c>
      <c r="N2646" s="3" t="n">
        <v>44.2</v>
      </c>
      <c r="O2646">
        <f>TEXT(A2646,"yyyy-mm")</f>
        <v/>
      </c>
    </row>
    <row r="2647">
      <c r="A2647" s="2" t="n">
        <v>45942</v>
      </c>
      <c r="B2647" t="n">
        <v>2025</v>
      </c>
      <c r="C2647" t="inlineStr">
        <is>
          <t>October</t>
        </is>
      </c>
      <c r="D2647" t="inlineStr">
        <is>
          <t>Premium Water Bottle</t>
        </is>
      </c>
      <c r="E2647" t="inlineStr">
        <is>
          <t>Sports &amp; Outdoors</t>
        </is>
      </c>
      <c r="F2647" t="inlineStr">
        <is>
          <t>Robert Fischer</t>
        </is>
      </c>
      <c r="G2647" t="inlineStr">
        <is>
          <t>Netherlands</t>
        </is>
      </c>
      <c r="H2647" t="inlineStr">
        <is>
          <t>Mobile App</t>
        </is>
      </c>
      <c r="I2647" t="n">
        <v>5</v>
      </c>
      <c r="J2647" s="3" t="n">
        <v>1499.15</v>
      </c>
      <c r="K2647" s="3" t="n">
        <v>0</v>
      </c>
      <c r="L2647" s="3" t="n">
        <v>1499.15</v>
      </c>
      <c r="M2647" s="3" t="n">
        <v>905.8</v>
      </c>
      <c r="N2647" s="3" t="n">
        <v>593.35</v>
      </c>
      <c r="O2647">
        <f>TEXT(A2647,"yyyy-mm")</f>
        <v/>
      </c>
    </row>
    <row r="2648">
      <c r="A2648" s="2" t="n">
        <v>45942</v>
      </c>
      <c r="B2648" t="n">
        <v>2025</v>
      </c>
      <c r="C2648" t="inlineStr">
        <is>
          <t>October</t>
        </is>
      </c>
      <c r="D2648" t="inlineStr">
        <is>
          <t>Smart Charger</t>
        </is>
      </c>
      <c r="E2648" t="inlineStr">
        <is>
          <t>Electronics</t>
        </is>
      </c>
      <c r="F2648" t="inlineStr">
        <is>
          <t>Robert Fischer</t>
        </is>
      </c>
      <c r="G2648" t="inlineStr">
        <is>
          <t>Netherlands</t>
        </is>
      </c>
      <c r="H2648" t="inlineStr">
        <is>
          <t>Mobile App</t>
        </is>
      </c>
      <c r="I2648" t="n">
        <v>4</v>
      </c>
      <c r="J2648" s="3" t="n">
        <v>166.2</v>
      </c>
      <c r="K2648" s="3" t="n">
        <v>0</v>
      </c>
      <c r="L2648" s="3" t="n">
        <v>166.2</v>
      </c>
      <c r="M2648" s="3" t="n">
        <v>110.56</v>
      </c>
      <c r="N2648" s="3" t="n">
        <v>55.64</v>
      </c>
      <c r="O2648">
        <f>TEXT(A2648,"yyyy-mm")</f>
        <v/>
      </c>
    </row>
    <row r="2649">
      <c r="A2649" s="2" t="n">
        <v>45942</v>
      </c>
      <c r="B2649" t="n">
        <v>2025</v>
      </c>
      <c r="C2649" t="inlineStr">
        <is>
          <t>October</t>
        </is>
      </c>
      <c r="D2649" t="inlineStr">
        <is>
          <t>Smart Olive Oil</t>
        </is>
      </c>
      <c r="E2649" t="inlineStr">
        <is>
          <t>Grocery</t>
        </is>
      </c>
      <c r="F2649" t="inlineStr">
        <is>
          <t>Robert Fischer</t>
        </is>
      </c>
      <c r="G2649" t="inlineStr">
        <is>
          <t>Netherlands</t>
        </is>
      </c>
      <c r="H2649" t="inlineStr">
        <is>
          <t>Mobile App</t>
        </is>
      </c>
      <c r="I2649" t="n">
        <v>1</v>
      </c>
      <c r="J2649" s="3" t="n">
        <v>166.17</v>
      </c>
      <c r="K2649" s="3" t="n">
        <v>0</v>
      </c>
      <c r="L2649" s="3" t="n">
        <v>166.17</v>
      </c>
      <c r="M2649" s="3" t="n">
        <v>110.02</v>
      </c>
      <c r="N2649" s="3" t="n">
        <v>56.15</v>
      </c>
      <c r="O2649">
        <f>TEXT(A2649,"yyyy-mm")</f>
        <v/>
      </c>
    </row>
    <row r="2650">
      <c r="A2650" s="2" t="n">
        <v>45942</v>
      </c>
      <c r="B2650" t="n">
        <v>2025</v>
      </c>
      <c r="C2650" t="inlineStr">
        <is>
          <t>October</t>
        </is>
      </c>
      <c r="D2650" t="inlineStr">
        <is>
          <t>Portable Tea Set</t>
        </is>
      </c>
      <c r="E2650" t="inlineStr">
        <is>
          <t>Grocery</t>
        </is>
      </c>
      <c r="F2650" t="inlineStr">
        <is>
          <t>Robert Fischer</t>
        </is>
      </c>
      <c r="G2650" t="inlineStr">
        <is>
          <t>Netherlands</t>
        </is>
      </c>
      <c r="H2650" t="inlineStr">
        <is>
          <t>Mobile App</t>
        </is>
      </c>
      <c r="I2650" t="n">
        <v>2</v>
      </c>
      <c r="J2650" s="3" t="n">
        <v>546.76</v>
      </c>
      <c r="K2650" s="3" t="n">
        <v>0</v>
      </c>
      <c r="L2650" s="3" t="n">
        <v>546.76</v>
      </c>
      <c r="M2650" s="3" t="n">
        <v>376.24</v>
      </c>
      <c r="N2650" s="3" t="n">
        <v>170.52</v>
      </c>
      <c r="O2650">
        <f>TEXT(A2650,"yyyy-mm")</f>
        <v/>
      </c>
    </row>
    <row r="2651">
      <c r="A2651" s="2" t="n">
        <v>45942</v>
      </c>
      <c r="B2651" t="n">
        <v>2025</v>
      </c>
      <c r="C2651" t="inlineStr">
        <is>
          <t>October</t>
        </is>
      </c>
      <c r="D2651" t="inlineStr">
        <is>
          <t>Wireless Coffee Beans</t>
        </is>
      </c>
      <c r="E2651" t="inlineStr">
        <is>
          <t>Grocery</t>
        </is>
      </c>
      <c r="F2651" t="inlineStr">
        <is>
          <t>John Johnson</t>
        </is>
      </c>
      <c r="G2651" t="inlineStr">
        <is>
          <t>Spain</t>
        </is>
      </c>
      <c r="H2651" t="inlineStr">
        <is>
          <t>Mobile App</t>
        </is>
      </c>
      <c r="I2651" t="n">
        <v>4</v>
      </c>
      <c r="J2651" s="3" t="n">
        <v>842.6</v>
      </c>
      <c r="K2651" s="3" t="n">
        <v>0</v>
      </c>
      <c r="L2651" s="3" t="n">
        <v>842.6</v>
      </c>
      <c r="M2651" s="3" t="n">
        <v>520.52</v>
      </c>
      <c r="N2651" s="3" t="n">
        <v>322.08</v>
      </c>
      <c r="O2651">
        <f>TEXT(A2651,"yyyy-mm")</f>
        <v/>
      </c>
    </row>
    <row r="2652">
      <c r="A2652" s="2" t="n">
        <v>45942</v>
      </c>
      <c r="B2652" t="n">
        <v>2025</v>
      </c>
      <c r="C2652" t="inlineStr">
        <is>
          <t>October</t>
        </is>
      </c>
      <c r="D2652" t="inlineStr">
        <is>
          <t>Deluxe Puzzle</t>
        </is>
      </c>
      <c r="E2652" t="inlineStr">
        <is>
          <t>Toys &amp; Games</t>
        </is>
      </c>
      <c r="F2652" t="inlineStr">
        <is>
          <t>John Johnson</t>
        </is>
      </c>
      <c r="G2652" t="inlineStr">
        <is>
          <t>Spain</t>
        </is>
      </c>
      <c r="H2652" t="inlineStr">
        <is>
          <t>Mobile App</t>
        </is>
      </c>
      <c r="I2652" t="n">
        <v>5</v>
      </c>
      <c r="J2652" s="3" t="n">
        <v>1023.25</v>
      </c>
      <c r="K2652" s="3" t="n">
        <v>51.16</v>
      </c>
      <c r="L2652" s="3" t="n">
        <v>972.09</v>
      </c>
      <c r="M2652" s="3" t="n">
        <v>555.85</v>
      </c>
      <c r="N2652" s="3" t="n">
        <v>416.24</v>
      </c>
      <c r="O2652">
        <f>TEXT(A2652,"yyyy-mm")</f>
        <v/>
      </c>
    </row>
    <row r="2653">
      <c r="A2653" s="2" t="n">
        <v>45943</v>
      </c>
      <c r="B2653" t="n">
        <v>2025</v>
      </c>
      <c r="C2653" t="inlineStr">
        <is>
          <t>October</t>
        </is>
      </c>
      <c r="D2653" t="inlineStr">
        <is>
          <t>Essential Vitamins</t>
        </is>
      </c>
      <c r="E2653" t="inlineStr">
        <is>
          <t>Beauty &amp; Health</t>
        </is>
      </c>
      <c r="F2653" t="inlineStr">
        <is>
          <t>Maria Brown</t>
        </is>
      </c>
      <c r="G2653" t="inlineStr">
        <is>
          <t>United Kingdom</t>
        </is>
      </c>
      <c r="H2653" t="inlineStr">
        <is>
          <t>Web Store</t>
        </is>
      </c>
      <c r="I2653" t="n">
        <v>3</v>
      </c>
      <c r="J2653" s="3" t="n">
        <v>523.2</v>
      </c>
      <c r="K2653" s="3" t="n">
        <v>0</v>
      </c>
      <c r="L2653" s="3" t="n">
        <v>523.2</v>
      </c>
      <c r="M2653" s="3" t="n">
        <v>330.9</v>
      </c>
      <c r="N2653" s="3" t="n">
        <v>192.3</v>
      </c>
      <c r="O2653">
        <f>TEXT(A2653,"yyyy-mm")</f>
        <v/>
      </c>
    </row>
    <row r="2654">
      <c r="A2654" s="2" t="n">
        <v>45943</v>
      </c>
      <c r="B2654" t="n">
        <v>2025</v>
      </c>
      <c r="C2654" t="inlineStr">
        <is>
          <t>October</t>
        </is>
      </c>
      <c r="D2654" t="inlineStr">
        <is>
          <t>Essential Cushion</t>
        </is>
      </c>
      <c r="E2654" t="inlineStr">
        <is>
          <t>Home &amp; Garden</t>
        </is>
      </c>
      <c r="F2654" t="inlineStr">
        <is>
          <t>Mark Fischer</t>
        </is>
      </c>
      <c r="G2654" t="inlineStr">
        <is>
          <t>Germany</t>
        </is>
      </c>
      <c r="H2654" t="inlineStr">
        <is>
          <t>Marketplace</t>
        </is>
      </c>
      <c r="I2654" t="n">
        <v>2</v>
      </c>
      <c r="J2654" s="3" t="n">
        <v>94.06</v>
      </c>
      <c r="K2654" s="3" t="n">
        <v>0</v>
      </c>
      <c r="L2654" s="3" t="n">
        <v>94.06</v>
      </c>
      <c r="M2654" s="3" t="n">
        <v>61.1</v>
      </c>
      <c r="N2654" s="3" t="n">
        <v>32.96</v>
      </c>
      <c r="O2654">
        <f>TEXT(A2654,"yyyy-mm")</f>
        <v/>
      </c>
    </row>
    <row r="2655">
      <c r="A2655" s="2" t="n">
        <v>45943</v>
      </c>
      <c r="B2655" t="n">
        <v>2025</v>
      </c>
      <c r="C2655" t="inlineStr">
        <is>
          <t>October</t>
        </is>
      </c>
      <c r="D2655" t="inlineStr">
        <is>
          <t>Essential Planter</t>
        </is>
      </c>
      <c r="E2655" t="inlineStr">
        <is>
          <t>Home &amp; Garden</t>
        </is>
      </c>
      <c r="F2655" t="inlineStr">
        <is>
          <t>Clara Smith</t>
        </is>
      </c>
      <c r="G2655" t="inlineStr">
        <is>
          <t>Poland</t>
        </is>
      </c>
      <c r="H2655" t="inlineStr">
        <is>
          <t>Retail Store</t>
        </is>
      </c>
      <c r="I2655" t="n">
        <v>2</v>
      </c>
      <c r="J2655" s="3" t="n">
        <v>52.88</v>
      </c>
      <c r="K2655" s="3" t="n">
        <v>2.64</v>
      </c>
      <c r="L2655" s="3" t="n">
        <v>50.24</v>
      </c>
      <c r="M2655" s="3" t="n">
        <v>39.28</v>
      </c>
      <c r="N2655" s="3" t="n">
        <v>10.96</v>
      </c>
      <c r="O2655">
        <f>TEXT(A2655,"yyyy-mm")</f>
        <v/>
      </c>
    </row>
    <row r="2656">
      <c r="A2656" s="2" t="n">
        <v>45943</v>
      </c>
      <c r="B2656" t="n">
        <v>2025</v>
      </c>
      <c r="C2656" t="inlineStr">
        <is>
          <t>October</t>
        </is>
      </c>
      <c r="D2656" t="inlineStr">
        <is>
          <t>Premium Cookbook</t>
        </is>
      </c>
      <c r="E2656" t="inlineStr">
        <is>
          <t>Books</t>
        </is>
      </c>
      <c r="F2656" t="inlineStr">
        <is>
          <t>Clara Smith</t>
        </is>
      </c>
      <c r="G2656" t="inlineStr">
        <is>
          <t>Poland</t>
        </is>
      </c>
      <c r="H2656" t="inlineStr">
        <is>
          <t>Retail Store</t>
        </is>
      </c>
      <c r="I2656" t="n">
        <v>3</v>
      </c>
      <c r="J2656" s="3" t="n">
        <v>384.48</v>
      </c>
      <c r="K2656" s="3" t="n">
        <v>0</v>
      </c>
      <c r="L2656" s="3" t="n">
        <v>384.48</v>
      </c>
      <c r="M2656" s="3" t="n">
        <v>284.94</v>
      </c>
      <c r="N2656" s="3" t="n">
        <v>99.54000000000001</v>
      </c>
      <c r="O2656">
        <f>TEXT(A2656,"yyyy-mm")</f>
        <v/>
      </c>
    </row>
    <row r="2657">
      <c r="A2657" s="2" t="n">
        <v>45943</v>
      </c>
      <c r="B2657" t="n">
        <v>2025</v>
      </c>
      <c r="C2657" t="inlineStr">
        <is>
          <t>October</t>
        </is>
      </c>
      <c r="D2657" t="inlineStr">
        <is>
          <t>Smart Tea Set</t>
        </is>
      </c>
      <c r="E2657" t="inlineStr">
        <is>
          <t>Grocery</t>
        </is>
      </c>
      <c r="F2657" t="inlineStr">
        <is>
          <t>Mark Fischer</t>
        </is>
      </c>
      <c r="G2657" t="inlineStr">
        <is>
          <t>Germany</t>
        </is>
      </c>
      <c r="H2657" t="inlineStr">
        <is>
          <t>Marketplace</t>
        </is>
      </c>
      <c r="I2657" t="n">
        <v>2</v>
      </c>
      <c r="J2657" s="3" t="n">
        <v>177.02</v>
      </c>
      <c r="K2657" s="3" t="n">
        <v>0</v>
      </c>
      <c r="L2657" s="3" t="n">
        <v>177.02</v>
      </c>
      <c r="M2657" s="3" t="n">
        <v>123.6</v>
      </c>
      <c r="N2657" s="3" t="n">
        <v>53.42</v>
      </c>
      <c r="O2657">
        <f>TEXT(A2657,"yyyy-mm")</f>
        <v/>
      </c>
    </row>
    <row r="2658">
      <c r="A2658" s="2" t="n">
        <v>45943</v>
      </c>
      <c r="B2658" t="n">
        <v>2025</v>
      </c>
      <c r="C2658" t="inlineStr">
        <is>
          <t>October</t>
        </is>
      </c>
      <c r="D2658" t="inlineStr">
        <is>
          <t>Classic Coffee Beans</t>
        </is>
      </c>
      <c r="E2658" t="inlineStr">
        <is>
          <t>Grocery</t>
        </is>
      </c>
      <c r="F2658" t="inlineStr">
        <is>
          <t>Mark Fischer</t>
        </is>
      </c>
      <c r="G2658" t="inlineStr">
        <is>
          <t>Germany</t>
        </is>
      </c>
      <c r="H2658" t="inlineStr">
        <is>
          <t>Marketplace</t>
        </is>
      </c>
      <c r="I2658" t="n">
        <v>3</v>
      </c>
      <c r="J2658" s="3" t="n">
        <v>993.9299999999999</v>
      </c>
      <c r="K2658" s="3" t="n">
        <v>0</v>
      </c>
      <c r="L2658" s="3" t="n">
        <v>993.9299999999999</v>
      </c>
      <c r="M2658" s="3" t="n">
        <v>584.28</v>
      </c>
      <c r="N2658" s="3" t="n">
        <v>409.65</v>
      </c>
      <c r="O2658">
        <f>TEXT(A2658,"yyyy-mm")</f>
        <v/>
      </c>
    </row>
    <row r="2659">
      <c r="A2659" s="2" t="n">
        <v>45944</v>
      </c>
      <c r="B2659" t="n">
        <v>2025</v>
      </c>
      <c r="C2659" t="inlineStr">
        <is>
          <t>October</t>
        </is>
      </c>
      <c r="D2659" t="inlineStr">
        <is>
          <t>Portable Puzzle</t>
        </is>
      </c>
      <c r="E2659" t="inlineStr">
        <is>
          <t>Toys &amp; Games</t>
        </is>
      </c>
      <c r="F2659" t="inlineStr">
        <is>
          <t>Nina Zielinski</t>
        </is>
      </c>
      <c r="G2659" t="inlineStr">
        <is>
          <t>United Kingdom</t>
        </is>
      </c>
      <c r="H2659" t="inlineStr">
        <is>
          <t>Web Store</t>
        </is>
      </c>
      <c r="I2659" t="n">
        <v>5</v>
      </c>
      <c r="J2659" s="3" t="n">
        <v>1575.6</v>
      </c>
      <c r="K2659" s="3" t="n">
        <v>78.78</v>
      </c>
      <c r="L2659" s="3" t="n">
        <v>1496.82</v>
      </c>
      <c r="M2659" s="3" t="n">
        <v>868.3</v>
      </c>
      <c r="N2659" s="3" t="n">
        <v>628.52</v>
      </c>
      <c r="O2659">
        <f>TEXT(A2659,"yyyy-mm")</f>
        <v/>
      </c>
    </row>
    <row r="2660">
      <c r="A2660" s="2" t="n">
        <v>45944</v>
      </c>
      <c r="B2660" t="n">
        <v>2025</v>
      </c>
      <c r="C2660" t="inlineStr">
        <is>
          <t>October</t>
        </is>
      </c>
      <c r="D2660" t="inlineStr">
        <is>
          <t>Deluxe Notebook</t>
        </is>
      </c>
      <c r="E2660" t="inlineStr">
        <is>
          <t>Books</t>
        </is>
      </c>
      <c r="F2660" t="inlineStr">
        <is>
          <t>Nina Zielinski</t>
        </is>
      </c>
      <c r="G2660" t="inlineStr">
        <is>
          <t>United Kingdom</t>
        </is>
      </c>
      <c r="H2660" t="inlineStr">
        <is>
          <t>Web Store</t>
        </is>
      </c>
      <c r="I2660" t="n">
        <v>2</v>
      </c>
      <c r="J2660" s="3" t="n">
        <v>437.3</v>
      </c>
      <c r="K2660" s="3" t="n">
        <v>87.45999999999999</v>
      </c>
      <c r="L2660" s="3" t="n">
        <v>349.84</v>
      </c>
      <c r="M2660" s="3" t="n">
        <v>301.52</v>
      </c>
      <c r="N2660" s="3" t="n">
        <v>48.32</v>
      </c>
      <c r="O2660">
        <f>TEXT(A2660,"yyyy-mm")</f>
        <v/>
      </c>
    </row>
    <row r="2661">
      <c r="A2661" s="2" t="n">
        <v>45944</v>
      </c>
      <c r="B2661" t="n">
        <v>2025</v>
      </c>
      <c r="C2661" t="inlineStr">
        <is>
          <t>October</t>
        </is>
      </c>
      <c r="D2661" t="inlineStr">
        <is>
          <t>Smart Camera</t>
        </is>
      </c>
      <c r="E2661" t="inlineStr">
        <is>
          <t>Electronics</t>
        </is>
      </c>
      <c r="F2661" t="inlineStr">
        <is>
          <t>Nina Zielinski</t>
        </is>
      </c>
      <c r="G2661" t="inlineStr">
        <is>
          <t>United Kingdom</t>
        </is>
      </c>
      <c r="H2661" t="inlineStr">
        <is>
          <t>Web Store</t>
        </is>
      </c>
      <c r="I2661" t="n">
        <v>4</v>
      </c>
      <c r="J2661" s="3" t="n">
        <v>1174.04</v>
      </c>
      <c r="K2661" s="3" t="n">
        <v>58.7</v>
      </c>
      <c r="L2661" s="3" t="n">
        <v>1115.34</v>
      </c>
      <c r="M2661" s="3" t="n">
        <v>669.6</v>
      </c>
      <c r="N2661" s="3" t="n">
        <v>445.74</v>
      </c>
      <c r="O2661">
        <f>TEXT(A2661,"yyyy-mm")</f>
        <v/>
      </c>
    </row>
    <row r="2662">
      <c r="A2662" s="2" t="n">
        <v>45944</v>
      </c>
      <c r="B2662" t="n">
        <v>2025</v>
      </c>
      <c r="C2662" t="inlineStr">
        <is>
          <t>October</t>
        </is>
      </c>
      <c r="D2662" t="inlineStr">
        <is>
          <t>Classic Yoga Mat</t>
        </is>
      </c>
      <c r="E2662" t="inlineStr">
        <is>
          <t>Sports &amp; Outdoors</t>
        </is>
      </c>
      <c r="F2662" t="inlineStr">
        <is>
          <t>Nina Zielinski</t>
        </is>
      </c>
      <c r="G2662" t="inlineStr">
        <is>
          <t>United Kingdom</t>
        </is>
      </c>
      <c r="H2662" t="inlineStr">
        <is>
          <t>Web Store</t>
        </is>
      </c>
      <c r="I2662" t="n">
        <v>4</v>
      </c>
      <c r="J2662" s="3" t="n">
        <v>1373.76</v>
      </c>
      <c r="K2662" s="3" t="n">
        <v>274.75</v>
      </c>
      <c r="L2662" s="3" t="n">
        <v>1099.01</v>
      </c>
      <c r="M2662" s="3" t="n">
        <v>782.8</v>
      </c>
      <c r="N2662" s="3" t="n">
        <v>316.21</v>
      </c>
      <c r="O2662">
        <f>TEXT(A2662,"yyyy-mm")</f>
        <v/>
      </c>
    </row>
    <row r="2663">
      <c r="A2663" s="2" t="n">
        <v>45944</v>
      </c>
      <c r="B2663" t="n">
        <v>2025</v>
      </c>
      <c r="C2663" t="inlineStr">
        <is>
          <t>October</t>
        </is>
      </c>
      <c r="D2663" t="inlineStr">
        <is>
          <t>Premium Tent</t>
        </is>
      </c>
      <c r="E2663" t="inlineStr">
        <is>
          <t>Sports &amp; Outdoors</t>
        </is>
      </c>
      <c r="F2663" t="inlineStr">
        <is>
          <t>Clara Weber</t>
        </is>
      </c>
      <c r="G2663" t="inlineStr">
        <is>
          <t>Netherlands</t>
        </is>
      </c>
      <c r="H2663" t="inlineStr">
        <is>
          <t>Web Store</t>
        </is>
      </c>
      <c r="I2663" t="n">
        <v>5</v>
      </c>
      <c r="J2663" s="3" t="n">
        <v>1237.85</v>
      </c>
      <c r="K2663" s="3" t="n">
        <v>123.78</v>
      </c>
      <c r="L2663" s="3" t="n">
        <v>1114.06</v>
      </c>
      <c r="M2663" s="3" t="n">
        <v>826.55</v>
      </c>
      <c r="N2663" s="3" t="n">
        <v>287.51</v>
      </c>
      <c r="O2663">
        <f>TEXT(A2663,"yyyy-mm")</f>
        <v/>
      </c>
    </row>
    <row r="2664">
      <c r="A2664" s="2" t="n">
        <v>45944</v>
      </c>
      <c r="B2664" t="n">
        <v>2025</v>
      </c>
      <c r="C2664" t="inlineStr">
        <is>
          <t>October</t>
        </is>
      </c>
      <c r="D2664" t="inlineStr">
        <is>
          <t>Classic Sunscreen</t>
        </is>
      </c>
      <c r="E2664" t="inlineStr">
        <is>
          <t>Beauty &amp; Health</t>
        </is>
      </c>
      <c r="F2664" t="inlineStr">
        <is>
          <t>Clara Weber</t>
        </is>
      </c>
      <c r="G2664" t="inlineStr">
        <is>
          <t>Netherlands</t>
        </is>
      </c>
      <c r="H2664" t="inlineStr">
        <is>
          <t>Web Store</t>
        </is>
      </c>
      <c r="I2664" t="n">
        <v>5</v>
      </c>
      <c r="J2664" s="3" t="n">
        <v>707.45</v>
      </c>
      <c r="K2664" s="3" t="n">
        <v>0</v>
      </c>
      <c r="L2664" s="3" t="n">
        <v>707.45</v>
      </c>
      <c r="M2664" s="3" t="n">
        <v>468.45</v>
      </c>
      <c r="N2664" s="3" t="n">
        <v>239</v>
      </c>
      <c r="O2664">
        <f>TEXT(A2664,"yyyy-mm")</f>
        <v/>
      </c>
    </row>
    <row r="2665">
      <c r="A2665" s="2" t="n">
        <v>45944</v>
      </c>
      <c r="B2665" t="n">
        <v>2025</v>
      </c>
      <c r="C2665" t="inlineStr">
        <is>
          <t>October</t>
        </is>
      </c>
      <c r="D2665" t="inlineStr">
        <is>
          <t>Essential Vitamins</t>
        </is>
      </c>
      <c r="E2665" t="inlineStr">
        <is>
          <t>Beauty &amp; Health</t>
        </is>
      </c>
      <c r="F2665" t="inlineStr">
        <is>
          <t>Maria Moreau</t>
        </is>
      </c>
      <c r="G2665" t="inlineStr">
        <is>
          <t>United Kingdom</t>
        </is>
      </c>
      <c r="H2665" t="inlineStr">
        <is>
          <t>Retail Store</t>
        </is>
      </c>
      <c r="I2665" t="n">
        <v>3</v>
      </c>
      <c r="J2665" s="3" t="n">
        <v>541.14</v>
      </c>
      <c r="K2665" s="3" t="n">
        <v>0</v>
      </c>
      <c r="L2665" s="3" t="n">
        <v>541.14</v>
      </c>
      <c r="M2665" s="3" t="n">
        <v>330.9</v>
      </c>
      <c r="N2665" s="3" t="n">
        <v>210.24</v>
      </c>
      <c r="O2665">
        <f>TEXT(A2665,"yyyy-mm")</f>
        <v/>
      </c>
    </row>
    <row r="2666">
      <c r="A2666" s="2" t="n">
        <v>45944</v>
      </c>
      <c r="B2666" t="n">
        <v>2025</v>
      </c>
      <c r="C2666" t="inlineStr">
        <is>
          <t>October</t>
        </is>
      </c>
      <c r="D2666" t="inlineStr">
        <is>
          <t>Portable Notebook</t>
        </is>
      </c>
      <c r="E2666" t="inlineStr">
        <is>
          <t>Books</t>
        </is>
      </c>
      <c r="F2666" t="inlineStr">
        <is>
          <t>Maria Moreau</t>
        </is>
      </c>
      <c r="G2666" t="inlineStr">
        <is>
          <t>United Kingdom</t>
        </is>
      </c>
      <c r="H2666" t="inlineStr">
        <is>
          <t>Retail Store</t>
        </is>
      </c>
      <c r="I2666" t="n">
        <v>1</v>
      </c>
      <c r="J2666" s="3" t="n">
        <v>132.33</v>
      </c>
      <c r="K2666" s="3" t="n">
        <v>0</v>
      </c>
      <c r="L2666" s="3" t="n">
        <v>132.33</v>
      </c>
      <c r="M2666" s="3" t="n">
        <v>71.28</v>
      </c>
      <c r="N2666" s="3" t="n">
        <v>61.05</v>
      </c>
      <c r="O2666">
        <f>TEXT(A2666,"yyyy-mm")</f>
        <v/>
      </c>
    </row>
    <row r="2667">
      <c r="A2667" s="2" t="n">
        <v>45944</v>
      </c>
      <c r="B2667" t="n">
        <v>2025</v>
      </c>
      <c r="C2667" t="inlineStr">
        <is>
          <t>October</t>
        </is>
      </c>
      <c r="D2667" t="inlineStr">
        <is>
          <t>Ultra Backpack</t>
        </is>
      </c>
      <c r="E2667" t="inlineStr">
        <is>
          <t>Sports &amp; Outdoors</t>
        </is>
      </c>
      <c r="F2667" t="inlineStr">
        <is>
          <t>Maria Moreau</t>
        </is>
      </c>
      <c r="G2667" t="inlineStr">
        <is>
          <t>United Kingdom</t>
        </is>
      </c>
      <c r="H2667" t="inlineStr">
        <is>
          <t>Retail Store</t>
        </is>
      </c>
      <c r="I2667" t="n">
        <v>2</v>
      </c>
      <c r="J2667" s="3" t="n">
        <v>623.88</v>
      </c>
      <c r="K2667" s="3" t="n">
        <v>124.78</v>
      </c>
      <c r="L2667" s="3" t="n">
        <v>499.1</v>
      </c>
      <c r="M2667" s="3" t="n">
        <v>347.38</v>
      </c>
      <c r="N2667" s="3" t="n">
        <v>151.72</v>
      </c>
      <c r="O2667">
        <f>TEXT(A2667,"yyyy-mm")</f>
        <v/>
      </c>
    </row>
    <row r="2668">
      <c r="A2668" s="2" t="n">
        <v>45944</v>
      </c>
      <c r="B2668" t="n">
        <v>2025</v>
      </c>
      <c r="C2668" t="inlineStr">
        <is>
          <t>October</t>
        </is>
      </c>
      <c r="D2668" t="inlineStr">
        <is>
          <t>Smart Charger</t>
        </is>
      </c>
      <c r="E2668" t="inlineStr">
        <is>
          <t>Electronics</t>
        </is>
      </c>
      <c r="F2668" t="inlineStr">
        <is>
          <t>Maria Moreau</t>
        </is>
      </c>
      <c r="G2668" t="inlineStr">
        <is>
          <t>United Kingdom</t>
        </is>
      </c>
      <c r="H2668" t="inlineStr">
        <is>
          <t>Retail Store</t>
        </is>
      </c>
      <c r="I2668" t="n">
        <v>2</v>
      </c>
      <c r="J2668" s="3" t="n">
        <v>77.28</v>
      </c>
      <c r="K2668" s="3" t="n">
        <v>0</v>
      </c>
      <c r="L2668" s="3" t="n">
        <v>77.28</v>
      </c>
      <c r="M2668" s="3" t="n">
        <v>55.28</v>
      </c>
      <c r="N2668" s="3" t="n">
        <v>22</v>
      </c>
      <c r="O2668">
        <f>TEXT(A2668,"yyyy-mm")</f>
        <v/>
      </c>
    </row>
    <row r="2669">
      <c r="A2669" s="2" t="n">
        <v>45944</v>
      </c>
      <c r="B2669" t="n">
        <v>2025</v>
      </c>
      <c r="C2669" t="inlineStr">
        <is>
          <t>October</t>
        </is>
      </c>
      <c r="D2669" t="inlineStr">
        <is>
          <t>Premium Water Bottle</t>
        </is>
      </c>
      <c r="E2669" t="inlineStr">
        <is>
          <t>Sports &amp; Outdoors</t>
        </is>
      </c>
      <c r="F2669" t="inlineStr">
        <is>
          <t>Emma Schmidt</t>
        </is>
      </c>
      <c r="G2669" t="inlineStr">
        <is>
          <t>France</t>
        </is>
      </c>
      <c r="H2669" t="inlineStr">
        <is>
          <t>Retail Store</t>
        </is>
      </c>
      <c r="I2669" t="n">
        <v>4</v>
      </c>
      <c r="J2669" s="3" t="n">
        <v>1280.8</v>
      </c>
      <c r="K2669" s="3" t="n">
        <v>0</v>
      </c>
      <c r="L2669" s="3" t="n">
        <v>1280.8</v>
      </c>
      <c r="M2669" s="3" t="n">
        <v>724.64</v>
      </c>
      <c r="N2669" s="3" t="n">
        <v>556.16</v>
      </c>
      <c r="O2669">
        <f>TEXT(A2669,"yyyy-mm")</f>
        <v/>
      </c>
    </row>
    <row r="2670">
      <c r="A2670" s="2" t="n">
        <v>45944</v>
      </c>
      <c r="B2670" t="n">
        <v>2025</v>
      </c>
      <c r="C2670" t="inlineStr">
        <is>
          <t>October</t>
        </is>
      </c>
      <c r="D2670" t="inlineStr">
        <is>
          <t>Deluxe Cookbook</t>
        </is>
      </c>
      <c r="E2670" t="inlineStr">
        <is>
          <t>Books</t>
        </is>
      </c>
      <c r="F2670" t="inlineStr">
        <is>
          <t>Thomas Conti</t>
        </is>
      </c>
      <c r="G2670" t="inlineStr">
        <is>
          <t>United States</t>
        </is>
      </c>
      <c r="H2670" t="inlineStr">
        <is>
          <t>Web Store</t>
        </is>
      </c>
      <c r="I2670" t="n">
        <v>2</v>
      </c>
      <c r="J2670" s="3" t="n">
        <v>261.92</v>
      </c>
      <c r="K2670" s="3" t="n">
        <v>0</v>
      </c>
      <c r="L2670" s="3" t="n">
        <v>261.92</v>
      </c>
      <c r="M2670" s="3" t="n">
        <v>170.54</v>
      </c>
      <c r="N2670" s="3" t="n">
        <v>91.38</v>
      </c>
      <c r="O2670">
        <f>TEXT(A2670,"yyyy-mm")</f>
        <v/>
      </c>
    </row>
    <row r="2671">
      <c r="A2671" s="2" t="n">
        <v>45944</v>
      </c>
      <c r="B2671" t="n">
        <v>2025</v>
      </c>
      <c r="C2671" t="inlineStr">
        <is>
          <t>October</t>
        </is>
      </c>
      <c r="D2671" t="inlineStr">
        <is>
          <t>Essential Rug</t>
        </is>
      </c>
      <c r="E2671" t="inlineStr">
        <is>
          <t>Home &amp; Garden</t>
        </is>
      </c>
      <c r="F2671" t="inlineStr">
        <is>
          <t>Sophie Brown</t>
        </is>
      </c>
      <c r="G2671" t="inlineStr">
        <is>
          <t>Poland</t>
        </is>
      </c>
      <c r="H2671" t="inlineStr">
        <is>
          <t>Retail Store</t>
        </is>
      </c>
      <c r="I2671" t="n">
        <v>3</v>
      </c>
      <c r="J2671" s="3" t="n">
        <v>415.35</v>
      </c>
      <c r="K2671" s="3" t="n">
        <v>0</v>
      </c>
      <c r="L2671" s="3" t="n">
        <v>415.35</v>
      </c>
      <c r="M2671" s="3" t="n">
        <v>228.99</v>
      </c>
      <c r="N2671" s="3" t="n">
        <v>186.36</v>
      </c>
      <c r="O2671">
        <f>TEXT(A2671,"yyyy-mm")</f>
        <v/>
      </c>
    </row>
    <row r="2672">
      <c r="A2672" s="2" t="n">
        <v>45944</v>
      </c>
      <c r="B2672" t="n">
        <v>2025</v>
      </c>
      <c r="C2672" t="inlineStr">
        <is>
          <t>October</t>
        </is>
      </c>
      <c r="D2672" t="inlineStr">
        <is>
          <t>Deluxe Cookbook</t>
        </is>
      </c>
      <c r="E2672" t="inlineStr">
        <is>
          <t>Books</t>
        </is>
      </c>
      <c r="F2672" t="inlineStr">
        <is>
          <t>Sophie Brown</t>
        </is>
      </c>
      <c r="G2672" t="inlineStr">
        <is>
          <t>Poland</t>
        </is>
      </c>
      <c r="H2672" t="inlineStr">
        <is>
          <t>Retail Store</t>
        </is>
      </c>
      <c r="I2672" t="n">
        <v>2</v>
      </c>
      <c r="J2672" s="3" t="n">
        <v>273.1</v>
      </c>
      <c r="K2672" s="3" t="n">
        <v>54.62</v>
      </c>
      <c r="L2672" s="3" t="n">
        <v>218.48</v>
      </c>
      <c r="M2672" s="3" t="n">
        <v>170.54</v>
      </c>
      <c r="N2672" s="3" t="n">
        <v>47.94</v>
      </c>
      <c r="O2672">
        <f>TEXT(A2672,"yyyy-mm")</f>
        <v/>
      </c>
    </row>
    <row r="2673">
      <c r="A2673" s="2" t="n">
        <v>45944</v>
      </c>
      <c r="B2673" t="n">
        <v>2025</v>
      </c>
      <c r="C2673" t="inlineStr">
        <is>
          <t>October</t>
        </is>
      </c>
      <c r="D2673" t="inlineStr">
        <is>
          <t>Essential Toolset</t>
        </is>
      </c>
      <c r="E2673" t="inlineStr">
        <is>
          <t>Home &amp; Garden</t>
        </is>
      </c>
      <c r="F2673" t="inlineStr">
        <is>
          <t>Sophie Brown</t>
        </is>
      </c>
      <c r="G2673" t="inlineStr">
        <is>
          <t>Poland</t>
        </is>
      </c>
      <c r="H2673" t="inlineStr">
        <is>
          <t>Retail Store</t>
        </is>
      </c>
      <c r="I2673" t="n">
        <v>3</v>
      </c>
      <c r="J2673" s="3" t="n">
        <v>633.72</v>
      </c>
      <c r="K2673" s="3" t="n">
        <v>31.69</v>
      </c>
      <c r="L2673" s="3" t="n">
        <v>602.03</v>
      </c>
      <c r="M2673" s="3" t="n">
        <v>451.59</v>
      </c>
      <c r="N2673" s="3" t="n">
        <v>150.44</v>
      </c>
      <c r="O2673">
        <f>TEXT(A2673,"yyyy-mm")</f>
        <v/>
      </c>
    </row>
    <row r="2674">
      <c r="A2674" s="2" t="n">
        <v>45944</v>
      </c>
      <c r="B2674" t="n">
        <v>2025</v>
      </c>
      <c r="C2674" t="inlineStr">
        <is>
          <t>October</t>
        </is>
      </c>
      <c r="D2674" t="inlineStr">
        <is>
          <t>Portable Toolset</t>
        </is>
      </c>
      <c r="E2674" t="inlineStr">
        <is>
          <t>Home &amp; Garden</t>
        </is>
      </c>
      <c r="F2674" t="inlineStr">
        <is>
          <t>Clara Weber</t>
        </is>
      </c>
      <c r="G2674" t="inlineStr">
        <is>
          <t>Netherlands</t>
        </is>
      </c>
      <c r="H2674" t="inlineStr">
        <is>
          <t>Web Store</t>
        </is>
      </c>
      <c r="I2674" t="n">
        <v>2</v>
      </c>
      <c r="J2674" s="3" t="n">
        <v>177.08</v>
      </c>
      <c r="K2674" s="3" t="n">
        <v>17.71</v>
      </c>
      <c r="L2674" s="3" t="n">
        <v>159.37</v>
      </c>
      <c r="M2674" s="3" t="n">
        <v>101.08</v>
      </c>
      <c r="N2674" s="3" t="n">
        <v>58.29</v>
      </c>
      <c r="O2674">
        <f>TEXT(A2674,"yyyy-mm")</f>
        <v/>
      </c>
    </row>
    <row r="2675">
      <c r="A2675" s="2" t="n">
        <v>45944</v>
      </c>
      <c r="B2675" t="n">
        <v>2025</v>
      </c>
      <c r="C2675" t="inlineStr">
        <is>
          <t>October</t>
        </is>
      </c>
      <c r="D2675" t="inlineStr">
        <is>
          <t>Portable Pasta</t>
        </is>
      </c>
      <c r="E2675" t="inlineStr">
        <is>
          <t>Grocery</t>
        </is>
      </c>
      <c r="F2675" t="inlineStr">
        <is>
          <t>Clara Weber</t>
        </is>
      </c>
      <c r="G2675" t="inlineStr">
        <is>
          <t>Netherlands</t>
        </is>
      </c>
      <c r="H2675" t="inlineStr">
        <is>
          <t>Web Store</t>
        </is>
      </c>
      <c r="I2675" t="n">
        <v>1</v>
      </c>
      <c r="J2675" s="3" t="n">
        <v>38.19</v>
      </c>
      <c r="K2675" s="3" t="n">
        <v>7.64</v>
      </c>
      <c r="L2675" s="3" t="n">
        <v>30.55</v>
      </c>
      <c r="M2675" s="3" t="n">
        <v>27.75</v>
      </c>
      <c r="N2675" s="3" t="n">
        <v>2.8</v>
      </c>
      <c r="O2675">
        <f>TEXT(A2675,"yyyy-mm")</f>
        <v/>
      </c>
    </row>
    <row r="2676">
      <c r="A2676" s="2" t="n">
        <v>45945</v>
      </c>
      <c r="B2676" t="n">
        <v>2025</v>
      </c>
      <c r="C2676" t="inlineStr">
        <is>
          <t>October</t>
        </is>
      </c>
      <c r="D2676" t="inlineStr">
        <is>
          <t>Ultra Rug</t>
        </is>
      </c>
      <c r="E2676" t="inlineStr">
        <is>
          <t>Home &amp; Garden</t>
        </is>
      </c>
      <c r="F2676" t="inlineStr">
        <is>
          <t>James Nowak</t>
        </is>
      </c>
      <c r="G2676" t="inlineStr">
        <is>
          <t>United States</t>
        </is>
      </c>
      <c r="H2676" t="inlineStr">
        <is>
          <t>Marketplace</t>
        </is>
      </c>
      <c r="I2676" t="n">
        <v>3</v>
      </c>
      <c r="J2676" s="3" t="n">
        <v>159.96</v>
      </c>
      <c r="K2676" s="3" t="n">
        <v>16</v>
      </c>
      <c r="L2676" s="3" t="n">
        <v>143.96</v>
      </c>
      <c r="M2676" s="3" t="n">
        <v>98.73</v>
      </c>
      <c r="N2676" s="3" t="n">
        <v>45.23</v>
      </c>
      <c r="O2676">
        <f>TEXT(A2676,"yyyy-mm")</f>
        <v/>
      </c>
    </row>
    <row r="2677">
      <c r="A2677" s="2" t="n">
        <v>45946</v>
      </c>
      <c r="B2677" t="n">
        <v>2025</v>
      </c>
      <c r="C2677" t="inlineStr">
        <is>
          <t>October</t>
        </is>
      </c>
      <c r="D2677" t="inlineStr">
        <is>
          <t>Premium Rug</t>
        </is>
      </c>
      <c r="E2677" t="inlineStr">
        <is>
          <t>Home &amp; Garden</t>
        </is>
      </c>
      <c r="F2677" t="inlineStr">
        <is>
          <t>James Johnson</t>
        </is>
      </c>
      <c r="G2677" t="inlineStr">
        <is>
          <t>United Kingdom</t>
        </is>
      </c>
      <c r="H2677" t="inlineStr">
        <is>
          <t>Retail Store</t>
        </is>
      </c>
      <c r="I2677" t="n">
        <v>5</v>
      </c>
      <c r="J2677" s="3" t="n">
        <v>910.95</v>
      </c>
      <c r="K2677" s="3" t="n">
        <v>136.64</v>
      </c>
      <c r="L2677" s="3" t="n">
        <v>774.3099999999999</v>
      </c>
      <c r="M2677" s="3" t="n">
        <v>555.95</v>
      </c>
      <c r="N2677" s="3" t="n">
        <v>218.36</v>
      </c>
      <c r="O2677">
        <f>TEXT(A2677,"yyyy-mm")</f>
        <v/>
      </c>
    </row>
    <row r="2678">
      <c r="A2678" s="2" t="n">
        <v>45946</v>
      </c>
      <c r="B2678" t="n">
        <v>2025</v>
      </c>
      <c r="C2678" t="inlineStr">
        <is>
          <t>October</t>
        </is>
      </c>
      <c r="D2678" t="inlineStr">
        <is>
          <t>Eco Backpack</t>
        </is>
      </c>
      <c r="E2678" t="inlineStr">
        <is>
          <t>Sports &amp; Outdoors</t>
        </is>
      </c>
      <c r="F2678" t="inlineStr">
        <is>
          <t>James Johnson</t>
        </is>
      </c>
      <c r="G2678" t="inlineStr">
        <is>
          <t>United Kingdom</t>
        </is>
      </c>
      <c r="H2678" t="inlineStr">
        <is>
          <t>Retail Store</t>
        </is>
      </c>
      <c r="I2678" t="n">
        <v>3</v>
      </c>
      <c r="J2678" s="3" t="n">
        <v>831.9</v>
      </c>
      <c r="K2678" s="3" t="n">
        <v>124.79</v>
      </c>
      <c r="L2678" s="3" t="n">
        <v>707.12</v>
      </c>
      <c r="M2678" s="3" t="n">
        <v>439.74</v>
      </c>
      <c r="N2678" s="3" t="n">
        <v>267.38</v>
      </c>
      <c r="O2678">
        <f>TEXT(A2678,"yyyy-mm")</f>
        <v/>
      </c>
    </row>
    <row r="2679">
      <c r="A2679" s="2" t="n">
        <v>45946</v>
      </c>
      <c r="B2679" t="n">
        <v>2025</v>
      </c>
      <c r="C2679" t="inlineStr">
        <is>
          <t>October</t>
        </is>
      </c>
      <c r="D2679" t="inlineStr">
        <is>
          <t>Classic Yoga Mat</t>
        </is>
      </c>
      <c r="E2679" t="inlineStr">
        <is>
          <t>Sports &amp; Outdoors</t>
        </is>
      </c>
      <c r="F2679" t="inlineStr">
        <is>
          <t>James Johnson</t>
        </is>
      </c>
      <c r="G2679" t="inlineStr">
        <is>
          <t>United Kingdom</t>
        </is>
      </c>
      <c r="H2679" t="inlineStr">
        <is>
          <t>Retail Store</t>
        </is>
      </c>
      <c r="I2679" t="n">
        <v>2</v>
      </c>
      <c r="J2679" s="3" t="n">
        <v>677.62</v>
      </c>
      <c r="K2679" s="3" t="n">
        <v>67.76000000000001</v>
      </c>
      <c r="L2679" s="3" t="n">
        <v>609.86</v>
      </c>
      <c r="M2679" s="3" t="n">
        <v>391.4</v>
      </c>
      <c r="N2679" s="3" t="n">
        <v>218.46</v>
      </c>
      <c r="O2679">
        <f>TEXT(A2679,"yyyy-mm")</f>
        <v/>
      </c>
    </row>
    <row r="2680">
      <c r="A2680" s="2" t="n">
        <v>45946</v>
      </c>
      <c r="B2680" t="n">
        <v>2025</v>
      </c>
      <c r="C2680" t="inlineStr">
        <is>
          <t>October</t>
        </is>
      </c>
      <c r="D2680" t="inlineStr">
        <is>
          <t>Smart Coffee Beans</t>
        </is>
      </c>
      <c r="E2680" t="inlineStr">
        <is>
          <t>Grocery</t>
        </is>
      </c>
      <c r="F2680" t="inlineStr">
        <is>
          <t>James Johnson</t>
        </is>
      </c>
      <c r="G2680" t="inlineStr">
        <is>
          <t>United Kingdom</t>
        </is>
      </c>
      <c r="H2680" t="inlineStr">
        <is>
          <t>Retail Store</t>
        </is>
      </c>
      <c r="I2680" t="n">
        <v>5</v>
      </c>
      <c r="J2680" s="3" t="n">
        <v>552.1</v>
      </c>
      <c r="K2680" s="3" t="n">
        <v>27.61</v>
      </c>
      <c r="L2680" s="3" t="n">
        <v>524.5</v>
      </c>
      <c r="M2680" s="3" t="n">
        <v>364.25</v>
      </c>
      <c r="N2680" s="3" t="n">
        <v>160.24</v>
      </c>
      <c r="O2680">
        <f>TEXT(A2680,"yyyy-mm")</f>
        <v/>
      </c>
    </row>
    <row r="2681">
      <c r="A2681" s="2" t="n">
        <v>45946</v>
      </c>
      <c r="B2681" t="n">
        <v>2025</v>
      </c>
      <c r="C2681" t="inlineStr">
        <is>
          <t>October</t>
        </is>
      </c>
      <c r="D2681" t="inlineStr">
        <is>
          <t>Smart Honey</t>
        </is>
      </c>
      <c r="E2681" t="inlineStr">
        <is>
          <t>Grocery</t>
        </is>
      </c>
      <c r="F2681" t="inlineStr">
        <is>
          <t>John Muller</t>
        </is>
      </c>
      <c r="G2681" t="inlineStr">
        <is>
          <t>United Kingdom</t>
        </is>
      </c>
      <c r="H2681" t="inlineStr">
        <is>
          <t>Mobile App</t>
        </is>
      </c>
      <c r="I2681" t="n">
        <v>4</v>
      </c>
      <c r="J2681" s="3" t="n">
        <v>545.4400000000001</v>
      </c>
      <c r="K2681" s="3" t="n">
        <v>81.81999999999999</v>
      </c>
      <c r="L2681" s="3" t="n">
        <v>463.62</v>
      </c>
      <c r="M2681" s="3" t="n">
        <v>285.76</v>
      </c>
      <c r="N2681" s="3" t="n">
        <v>177.86</v>
      </c>
      <c r="O2681">
        <f>TEXT(A2681,"yyyy-mm")</f>
        <v/>
      </c>
    </row>
    <row r="2682">
      <c r="A2682" s="2" t="n">
        <v>45946</v>
      </c>
      <c r="B2682" t="n">
        <v>2025</v>
      </c>
      <c r="C2682" t="inlineStr">
        <is>
          <t>October</t>
        </is>
      </c>
      <c r="D2682" t="inlineStr">
        <is>
          <t>Wireless Drone</t>
        </is>
      </c>
      <c r="E2682" t="inlineStr">
        <is>
          <t>Toys &amp; Games</t>
        </is>
      </c>
      <c r="F2682" t="inlineStr">
        <is>
          <t>John Muller</t>
        </is>
      </c>
      <c r="G2682" t="inlineStr">
        <is>
          <t>United Kingdom</t>
        </is>
      </c>
      <c r="H2682" t="inlineStr">
        <is>
          <t>Mobile App</t>
        </is>
      </c>
      <c r="I2682" t="n">
        <v>1</v>
      </c>
      <c r="J2682" s="3" t="n">
        <v>218.16</v>
      </c>
      <c r="K2682" s="3" t="n">
        <v>32.72</v>
      </c>
      <c r="L2682" s="3" t="n">
        <v>185.44</v>
      </c>
      <c r="M2682" s="3" t="n">
        <v>131.29</v>
      </c>
      <c r="N2682" s="3" t="n">
        <v>54.15</v>
      </c>
      <c r="O2682">
        <f>TEXT(A2682,"yyyy-mm")</f>
        <v/>
      </c>
    </row>
    <row r="2683">
      <c r="A2683" s="2" t="n">
        <v>45946</v>
      </c>
      <c r="B2683" t="n">
        <v>2025</v>
      </c>
      <c r="C2683" t="inlineStr">
        <is>
          <t>October</t>
        </is>
      </c>
      <c r="D2683" t="inlineStr">
        <is>
          <t>Classic Tea Set</t>
        </is>
      </c>
      <c r="E2683" t="inlineStr">
        <is>
          <t>Grocery</t>
        </is>
      </c>
      <c r="F2683" t="inlineStr">
        <is>
          <t>John Muller</t>
        </is>
      </c>
      <c r="G2683" t="inlineStr">
        <is>
          <t>United Kingdom</t>
        </is>
      </c>
      <c r="H2683" t="inlineStr">
        <is>
          <t>Mobile App</t>
        </is>
      </c>
      <c r="I2683" t="n">
        <v>4</v>
      </c>
      <c r="J2683" s="3" t="n">
        <v>757</v>
      </c>
      <c r="K2683" s="3" t="n">
        <v>37.85</v>
      </c>
      <c r="L2683" s="3" t="n">
        <v>719.15</v>
      </c>
      <c r="M2683" s="3" t="n">
        <v>501.6</v>
      </c>
      <c r="N2683" s="3" t="n">
        <v>217.55</v>
      </c>
      <c r="O2683">
        <f>TEXT(A2683,"yyyy-mm")</f>
        <v/>
      </c>
    </row>
    <row r="2684">
      <c r="A2684" s="2" t="n">
        <v>45946</v>
      </c>
      <c r="B2684" t="n">
        <v>2025</v>
      </c>
      <c r="C2684" t="inlineStr">
        <is>
          <t>October</t>
        </is>
      </c>
      <c r="D2684" t="inlineStr">
        <is>
          <t>Deluxe Toolset</t>
        </is>
      </c>
      <c r="E2684" t="inlineStr">
        <is>
          <t>Home &amp; Garden</t>
        </is>
      </c>
      <c r="F2684" t="inlineStr">
        <is>
          <t>Daniel Wilson</t>
        </is>
      </c>
      <c r="G2684" t="inlineStr">
        <is>
          <t>France</t>
        </is>
      </c>
      <c r="H2684" t="inlineStr">
        <is>
          <t>Mobile App</t>
        </is>
      </c>
      <c r="I2684" t="n">
        <v>3</v>
      </c>
      <c r="J2684" s="3" t="n">
        <v>206.16</v>
      </c>
      <c r="K2684" s="3" t="n">
        <v>0</v>
      </c>
      <c r="L2684" s="3" t="n">
        <v>206.16</v>
      </c>
      <c r="M2684" s="3" t="n">
        <v>143.13</v>
      </c>
      <c r="N2684" s="3" t="n">
        <v>63.03</v>
      </c>
      <c r="O2684">
        <f>TEXT(A2684,"yyyy-mm")</f>
        <v/>
      </c>
    </row>
    <row r="2685">
      <c r="A2685" s="2" t="n">
        <v>45946</v>
      </c>
      <c r="B2685" t="n">
        <v>2025</v>
      </c>
      <c r="C2685" t="inlineStr">
        <is>
          <t>October</t>
        </is>
      </c>
      <c r="D2685" t="inlineStr">
        <is>
          <t>Ultra Vitamins</t>
        </is>
      </c>
      <c r="E2685" t="inlineStr">
        <is>
          <t>Beauty &amp; Health</t>
        </is>
      </c>
      <c r="F2685" t="inlineStr">
        <is>
          <t>Daniel Wilson</t>
        </is>
      </c>
      <c r="G2685" t="inlineStr">
        <is>
          <t>France</t>
        </is>
      </c>
      <c r="H2685" t="inlineStr">
        <is>
          <t>Mobile App</t>
        </is>
      </c>
      <c r="I2685" t="n">
        <v>3</v>
      </c>
      <c r="J2685" s="3" t="n">
        <v>635.4</v>
      </c>
      <c r="K2685" s="3" t="n">
        <v>0</v>
      </c>
      <c r="L2685" s="3" t="n">
        <v>635.4</v>
      </c>
      <c r="M2685" s="3" t="n">
        <v>378.3</v>
      </c>
      <c r="N2685" s="3" t="n">
        <v>257.1</v>
      </c>
      <c r="O2685">
        <f>TEXT(A2685,"yyyy-mm")</f>
        <v/>
      </c>
    </row>
    <row r="2686">
      <c r="A2686" s="2" t="n">
        <v>45946</v>
      </c>
      <c r="B2686" t="n">
        <v>2025</v>
      </c>
      <c r="C2686" t="inlineStr">
        <is>
          <t>October</t>
        </is>
      </c>
      <c r="D2686" t="inlineStr">
        <is>
          <t>Portable Bike Helmet</t>
        </is>
      </c>
      <c r="E2686" t="inlineStr">
        <is>
          <t>Sports &amp; Outdoors</t>
        </is>
      </c>
      <c r="F2686" t="inlineStr">
        <is>
          <t>Robert Dubois</t>
        </is>
      </c>
      <c r="G2686" t="inlineStr">
        <is>
          <t>France</t>
        </is>
      </c>
      <c r="H2686" t="inlineStr">
        <is>
          <t>Mobile App</t>
        </is>
      </c>
      <c r="I2686" t="n">
        <v>3</v>
      </c>
      <c r="J2686" s="3" t="n">
        <v>888.15</v>
      </c>
      <c r="K2686" s="3" t="n">
        <v>0</v>
      </c>
      <c r="L2686" s="3" t="n">
        <v>888.15</v>
      </c>
      <c r="M2686" s="3" t="n">
        <v>496.11</v>
      </c>
      <c r="N2686" s="3" t="n">
        <v>392.04</v>
      </c>
      <c r="O2686">
        <f>TEXT(A2686,"yyyy-mm")</f>
        <v/>
      </c>
    </row>
    <row r="2687">
      <c r="A2687" s="2" t="n">
        <v>45946</v>
      </c>
      <c r="B2687" t="n">
        <v>2025</v>
      </c>
      <c r="C2687" t="inlineStr">
        <is>
          <t>October</t>
        </is>
      </c>
      <c r="D2687" t="inlineStr">
        <is>
          <t>Portable Puzzle</t>
        </is>
      </c>
      <c r="E2687" t="inlineStr">
        <is>
          <t>Toys &amp; Games</t>
        </is>
      </c>
      <c r="F2687" t="inlineStr">
        <is>
          <t>Robert Dubois</t>
        </is>
      </c>
      <c r="G2687" t="inlineStr">
        <is>
          <t>France</t>
        </is>
      </c>
      <c r="H2687" t="inlineStr">
        <is>
          <t>Mobile App</t>
        </is>
      </c>
      <c r="I2687" t="n">
        <v>3</v>
      </c>
      <c r="J2687" s="3" t="n">
        <v>347.61</v>
      </c>
      <c r="K2687" s="3" t="n">
        <v>34.76</v>
      </c>
      <c r="L2687" s="3" t="n">
        <v>312.85</v>
      </c>
      <c r="M2687" s="3" t="n">
        <v>176.4</v>
      </c>
      <c r="N2687" s="3" t="n">
        <v>136.45</v>
      </c>
      <c r="O2687">
        <f>TEXT(A2687,"yyyy-mm")</f>
        <v/>
      </c>
    </row>
    <row r="2688">
      <c r="A2688" s="2" t="n">
        <v>45946</v>
      </c>
      <c r="B2688" t="n">
        <v>2025</v>
      </c>
      <c r="C2688" t="inlineStr">
        <is>
          <t>October</t>
        </is>
      </c>
      <c r="D2688" t="inlineStr">
        <is>
          <t>Smart Board Game</t>
        </is>
      </c>
      <c r="E2688" t="inlineStr">
        <is>
          <t>Toys &amp; Games</t>
        </is>
      </c>
      <c r="F2688" t="inlineStr">
        <is>
          <t>Robert Dubois</t>
        </is>
      </c>
      <c r="G2688" t="inlineStr">
        <is>
          <t>France</t>
        </is>
      </c>
      <c r="H2688" t="inlineStr">
        <is>
          <t>Mobile App</t>
        </is>
      </c>
      <c r="I2688" t="n">
        <v>5</v>
      </c>
      <c r="J2688" s="3" t="n">
        <v>641.6</v>
      </c>
      <c r="K2688" s="3" t="n">
        <v>32.08</v>
      </c>
      <c r="L2688" s="3" t="n">
        <v>609.52</v>
      </c>
      <c r="M2688" s="3" t="n">
        <v>458.6</v>
      </c>
      <c r="N2688" s="3" t="n">
        <v>150.92</v>
      </c>
      <c r="O2688">
        <f>TEXT(A2688,"yyyy-mm")</f>
        <v/>
      </c>
    </row>
    <row r="2689">
      <c r="A2689" s="2" t="n">
        <v>45946</v>
      </c>
      <c r="B2689" t="n">
        <v>2025</v>
      </c>
      <c r="C2689" t="inlineStr">
        <is>
          <t>October</t>
        </is>
      </c>
      <c r="D2689" t="inlineStr">
        <is>
          <t>Classic Sunscreen</t>
        </is>
      </c>
      <c r="E2689" t="inlineStr">
        <is>
          <t>Beauty &amp; Health</t>
        </is>
      </c>
      <c r="F2689" t="inlineStr">
        <is>
          <t>Olivia Bianchi</t>
        </is>
      </c>
      <c r="G2689" t="inlineStr">
        <is>
          <t>Spain</t>
        </is>
      </c>
      <c r="H2689" t="inlineStr">
        <is>
          <t>Mobile App</t>
        </is>
      </c>
      <c r="I2689" t="n">
        <v>1</v>
      </c>
      <c r="J2689" s="3" t="n">
        <v>145.9</v>
      </c>
      <c r="K2689" s="3" t="n">
        <v>0</v>
      </c>
      <c r="L2689" s="3" t="n">
        <v>145.9</v>
      </c>
      <c r="M2689" s="3" t="n">
        <v>93.69</v>
      </c>
      <c r="N2689" s="3" t="n">
        <v>52.21</v>
      </c>
      <c r="O2689">
        <f>TEXT(A2689,"yyyy-mm")</f>
        <v/>
      </c>
    </row>
    <row r="2690">
      <c r="A2690" s="2" t="n">
        <v>45946</v>
      </c>
      <c r="B2690" t="n">
        <v>2025</v>
      </c>
      <c r="C2690" t="inlineStr">
        <is>
          <t>October</t>
        </is>
      </c>
      <c r="D2690" t="inlineStr">
        <is>
          <t>Deluxe Cookbook</t>
        </is>
      </c>
      <c r="E2690" t="inlineStr">
        <is>
          <t>Books</t>
        </is>
      </c>
      <c r="F2690" t="inlineStr">
        <is>
          <t>Olivia Bianchi</t>
        </is>
      </c>
      <c r="G2690" t="inlineStr">
        <is>
          <t>Spain</t>
        </is>
      </c>
      <c r="H2690" t="inlineStr">
        <is>
          <t>Mobile App</t>
        </is>
      </c>
      <c r="I2690" t="n">
        <v>5</v>
      </c>
      <c r="J2690" s="3" t="n">
        <v>703.5</v>
      </c>
      <c r="K2690" s="3" t="n">
        <v>105.52</v>
      </c>
      <c r="L2690" s="3" t="n">
        <v>597.98</v>
      </c>
      <c r="M2690" s="3" t="n">
        <v>426.35</v>
      </c>
      <c r="N2690" s="3" t="n">
        <v>171.63</v>
      </c>
      <c r="O2690">
        <f>TEXT(A2690,"yyyy-mm")</f>
        <v/>
      </c>
    </row>
    <row r="2691">
      <c r="A2691" s="2" t="n">
        <v>45946</v>
      </c>
      <c r="B2691" t="n">
        <v>2025</v>
      </c>
      <c r="C2691" t="inlineStr">
        <is>
          <t>October</t>
        </is>
      </c>
      <c r="D2691" t="inlineStr">
        <is>
          <t>Compact Sunscreen</t>
        </is>
      </c>
      <c r="E2691" t="inlineStr">
        <is>
          <t>Beauty &amp; Health</t>
        </is>
      </c>
      <c r="F2691" t="inlineStr">
        <is>
          <t>Robert Dubois</t>
        </is>
      </c>
      <c r="G2691" t="inlineStr">
        <is>
          <t>France</t>
        </is>
      </c>
      <c r="H2691" t="inlineStr">
        <is>
          <t>Mobile App</t>
        </is>
      </c>
      <c r="I2691" t="n">
        <v>1</v>
      </c>
      <c r="J2691" s="3" t="n">
        <v>293.56</v>
      </c>
      <c r="K2691" s="3" t="n">
        <v>14.68</v>
      </c>
      <c r="L2691" s="3" t="n">
        <v>278.88</v>
      </c>
      <c r="M2691" s="3" t="n">
        <v>177.66</v>
      </c>
      <c r="N2691" s="3" t="n">
        <v>101.22</v>
      </c>
      <c r="O2691">
        <f>TEXT(A2691,"yyyy-mm")</f>
        <v/>
      </c>
    </row>
    <row r="2692">
      <c r="A2692" s="2" t="n">
        <v>45947</v>
      </c>
      <c r="B2692" t="n">
        <v>2025</v>
      </c>
      <c r="C2692" t="inlineStr">
        <is>
          <t>October</t>
        </is>
      </c>
      <c r="D2692" t="inlineStr">
        <is>
          <t>Premium Rug</t>
        </is>
      </c>
      <c r="E2692" t="inlineStr">
        <is>
          <t>Home &amp; Garden</t>
        </is>
      </c>
      <c r="F2692" t="inlineStr">
        <is>
          <t>Nina Muller</t>
        </is>
      </c>
      <c r="G2692" t="inlineStr">
        <is>
          <t>Spain</t>
        </is>
      </c>
      <c r="H2692" t="inlineStr">
        <is>
          <t>Mobile App</t>
        </is>
      </c>
      <c r="I2692" t="n">
        <v>3</v>
      </c>
      <c r="J2692" s="3" t="n">
        <v>586.77</v>
      </c>
      <c r="K2692" s="3" t="n">
        <v>0</v>
      </c>
      <c r="L2692" s="3" t="n">
        <v>586.77</v>
      </c>
      <c r="M2692" s="3" t="n">
        <v>333.57</v>
      </c>
      <c r="N2692" s="3" t="n">
        <v>253.2</v>
      </c>
      <c r="O2692">
        <f>TEXT(A2692,"yyyy-mm")</f>
        <v/>
      </c>
    </row>
    <row r="2693">
      <c r="A2693" s="2" t="n">
        <v>45947</v>
      </c>
      <c r="B2693" t="n">
        <v>2025</v>
      </c>
      <c r="C2693" t="inlineStr">
        <is>
          <t>October</t>
        </is>
      </c>
      <c r="D2693" t="inlineStr">
        <is>
          <t>Smart Board Game</t>
        </is>
      </c>
      <c r="E2693" t="inlineStr">
        <is>
          <t>Toys &amp; Games</t>
        </is>
      </c>
      <c r="F2693" t="inlineStr">
        <is>
          <t>Nina Muller</t>
        </is>
      </c>
      <c r="G2693" t="inlineStr">
        <is>
          <t>Spain</t>
        </is>
      </c>
      <c r="H2693" t="inlineStr">
        <is>
          <t>Mobile App</t>
        </is>
      </c>
      <c r="I2693" t="n">
        <v>1</v>
      </c>
      <c r="J2693" s="3" t="n">
        <v>138.8</v>
      </c>
      <c r="K2693" s="3" t="n">
        <v>0</v>
      </c>
      <c r="L2693" s="3" t="n">
        <v>138.8</v>
      </c>
      <c r="M2693" s="3" t="n">
        <v>91.72</v>
      </c>
      <c r="N2693" s="3" t="n">
        <v>47.08</v>
      </c>
      <c r="O2693">
        <f>TEXT(A2693,"yyyy-mm")</f>
        <v/>
      </c>
    </row>
    <row r="2694">
      <c r="A2694" s="2" t="n">
        <v>45947</v>
      </c>
      <c r="B2694" t="n">
        <v>2025</v>
      </c>
      <c r="C2694" t="inlineStr">
        <is>
          <t>October</t>
        </is>
      </c>
      <c r="D2694" t="inlineStr">
        <is>
          <t>Deluxe Puzzle</t>
        </is>
      </c>
      <c r="E2694" t="inlineStr">
        <is>
          <t>Toys &amp; Games</t>
        </is>
      </c>
      <c r="F2694" t="inlineStr">
        <is>
          <t>Nina Muller</t>
        </is>
      </c>
      <c r="G2694" t="inlineStr">
        <is>
          <t>Spain</t>
        </is>
      </c>
      <c r="H2694" t="inlineStr">
        <is>
          <t>Mobile App</t>
        </is>
      </c>
      <c r="I2694" t="n">
        <v>4</v>
      </c>
      <c r="J2694" s="3" t="n">
        <v>864.96</v>
      </c>
      <c r="K2694" s="3" t="n">
        <v>0</v>
      </c>
      <c r="L2694" s="3" t="n">
        <v>864.96</v>
      </c>
      <c r="M2694" s="3" t="n">
        <v>444.68</v>
      </c>
      <c r="N2694" s="3" t="n">
        <v>420.28</v>
      </c>
      <c r="O2694">
        <f>TEXT(A2694,"yyyy-mm")</f>
        <v/>
      </c>
    </row>
    <row r="2695">
      <c r="A2695" s="2" t="n">
        <v>45947</v>
      </c>
      <c r="B2695" t="n">
        <v>2025</v>
      </c>
      <c r="C2695" t="inlineStr">
        <is>
          <t>October</t>
        </is>
      </c>
      <c r="D2695" t="inlineStr">
        <is>
          <t>Compact Sunscreen</t>
        </is>
      </c>
      <c r="E2695" t="inlineStr">
        <is>
          <t>Beauty &amp; Health</t>
        </is>
      </c>
      <c r="F2695" t="inlineStr">
        <is>
          <t>Julia Dubois</t>
        </is>
      </c>
      <c r="G2695" t="inlineStr">
        <is>
          <t>United States</t>
        </is>
      </c>
      <c r="H2695" t="inlineStr">
        <is>
          <t>Web Store</t>
        </is>
      </c>
      <c r="I2695" t="n">
        <v>3</v>
      </c>
      <c r="J2695" s="3" t="n">
        <v>923.1900000000001</v>
      </c>
      <c r="K2695" s="3" t="n">
        <v>0</v>
      </c>
      <c r="L2695" s="3" t="n">
        <v>923.1900000000001</v>
      </c>
      <c r="M2695" s="3" t="n">
        <v>532.98</v>
      </c>
      <c r="N2695" s="3" t="n">
        <v>390.21</v>
      </c>
      <c r="O2695">
        <f>TEXT(A2695,"yyyy-mm")</f>
        <v/>
      </c>
    </row>
    <row r="2696">
      <c r="A2696" s="2" t="n">
        <v>45947</v>
      </c>
      <c r="B2696" t="n">
        <v>2025</v>
      </c>
      <c r="C2696" t="inlineStr">
        <is>
          <t>October</t>
        </is>
      </c>
      <c r="D2696" t="inlineStr">
        <is>
          <t>Wireless Drone</t>
        </is>
      </c>
      <c r="E2696" t="inlineStr">
        <is>
          <t>Toys &amp; Games</t>
        </is>
      </c>
      <c r="F2696" t="inlineStr">
        <is>
          <t>Anna Fischer</t>
        </is>
      </c>
      <c r="G2696" t="inlineStr">
        <is>
          <t>Poland</t>
        </is>
      </c>
      <c r="H2696" t="inlineStr">
        <is>
          <t>Mobile App</t>
        </is>
      </c>
      <c r="I2696" t="n">
        <v>1</v>
      </c>
      <c r="J2696" s="3" t="n">
        <v>225.64</v>
      </c>
      <c r="K2696" s="3" t="n">
        <v>22.56</v>
      </c>
      <c r="L2696" s="3" t="n">
        <v>203.08</v>
      </c>
      <c r="M2696" s="3" t="n">
        <v>131.29</v>
      </c>
      <c r="N2696" s="3" t="n">
        <v>71.79000000000001</v>
      </c>
      <c r="O2696">
        <f>TEXT(A2696,"yyyy-mm")</f>
        <v/>
      </c>
    </row>
    <row r="2697">
      <c r="A2697" s="2" t="n">
        <v>45947</v>
      </c>
      <c r="B2697" t="n">
        <v>2025</v>
      </c>
      <c r="C2697" t="inlineStr">
        <is>
          <t>October</t>
        </is>
      </c>
      <c r="D2697" t="inlineStr">
        <is>
          <t>Deluxe Toothbrush</t>
        </is>
      </c>
      <c r="E2697" t="inlineStr">
        <is>
          <t>Beauty &amp; Health</t>
        </is>
      </c>
      <c r="F2697" t="inlineStr">
        <is>
          <t>Anna Fischer</t>
        </is>
      </c>
      <c r="G2697" t="inlineStr">
        <is>
          <t>Poland</t>
        </is>
      </c>
      <c r="H2697" t="inlineStr">
        <is>
          <t>Mobile App</t>
        </is>
      </c>
      <c r="I2697" t="n">
        <v>4</v>
      </c>
      <c r="J2697" s="3" t="n">
        <v>1253.68</v>
      </c>
      <c r="K2697" s="3" t="n">
        <v>0</v>
      </c>
      <c r="L2697" s="3" t="n">
        <v>1253.68</v>
      </c>
      <c r="M2697" s="3" t="n">
        <v>698.28</v>
      </c>
      <c r="N2697" s="3" t="n">
        <v>555.4</v>
      </c>
      <c r="O2697">
        <f>TEXT(A2697,"yyyy-mm")</f>
        <v/>
      </c>
    </row>
    <row r="2698">
      <c r="A2698" s="2" t="n">
        <v>45947</v>
      </c>
      <c r="B2698" t="n">
        <v>2025</v>
      </c>
      <c r="C2698" t="inlineStr">
        <is>
          <t>October</t>
        </is>
      </c>
      <c r="D2698" t="inlineStr">
        <is>
          <t>Deluxe Smartwatch</t>
        </is>
      </c>
      <c r="E2698" t="inlineStr">
        <is>
          <t>Electronics</t>
        </is>
      </c>
      <c r="F2698" t="inlineStr">
        <is>
          <t>Peter Muller</t>
        </is>
      </c>
      <c r="G2698" t="inlineStr">
        <is>
          <t>Italy</t>
        </is>
      </c>
      <c r="H2698" t="inlineStr">
        <is>
          <t>Marketplace</t>
        </is>
      </c>
      <c r="I2698" t="n">
        <v>1</v>
      </c>
      <c r="J2698" s="3" t="n">
        <v>153.65</v>
      </c>
      <c r="K2698" s="3" t="n">
        <v>7.68</v>
      </c>
      <c r="L2698" s="3" t="n">
        <v>145.97</v>
      </c>
      <c r="M2698" s="3" t="n">
        <v>122.72</v>
      </c>
      <c r="N2698" s="3" t="n">
        <v>23.25</v>
      </c>
      <c r="O2698">
        <f>TEXT(A2698,"yyyy-mm")</f>
        <v/>
      </c>
    </row>
    <row r="2699">
      <c r="A2699" s="2" t="n">
        <v>45947</v>
      </c>
      <c r="B2699" t="n">
        <v>2025</v>
      </c>
      <c r="C2699" t="inlineStr">
        <is>
          <t>October</t>
        </is>
      </c>
      <c r="D2699" t="inlineStr">
        <is>
          <t>Essential Planter</t>
        </is>
      </c>
      <c r="E2699" t="inlineStr">
        <is>
          <t>Home &amp; Garden</t>
        </is>
      </c>
      <c r="F2699" t="inlineStr">
        <is>
          <t>Maria Nowak</t>
        </is>
      </c>
      <c r="G2699" t="inlineStr">
        <is>
          <t>Poland</t>
        </is>
      </c>
      <c r="H2699" t="inlineStr">
        <is>
          <t>Retail Store</t>
        </is>
      </c>
      <c r="I2699" t="n">
        <v>2</v>
      </c>
      <c r="J2699" s="3" t="n">
        <v>50.2</v>
      </c>
      <c r="K2699" s="3" t="n">
        <v>2.51</v>
      </c>
      <c r="L2699" s="3" t="n">
        <v>47.69</v>
      </c>
      <c r="M2699" s="3" t="n">
        <v>39.28</v>
      </c>
      <c r="N2699" s="3" t="n">
        <v>8.41</v>
      </c>
      <c r="O2699">
        <f>TEXT(A2699,"yyyy-mm")</f>
        <v/>
      </c>
    </row>
    <row r="2700">
      <c r="A2700" s="2" t="n">
        <v>45947</v>
      </c>
      <c r="B2700" t="n">
        <v>2025</v>
      </c>
      <c r="C2700" t="inlineStr">
        <is>
          <t>October</t>
        </is>
      </c>
      <c r="D2700" t="inlineStr">
        <is>
          <t>Wireless Coffee Beans</t>
        </is>
      </c>
      <c r="E2700" t="inlineStr">
        <is>
          <t>Grocery</t>
        </is>
      </c>
      <c r="F2700" t="inlineStr">
        <is>
          <t>Julia Dubois</t>
        </is>
      </c>
      <c r="G2700" t="inlineStr">
        <is>
          <t>United States</t>
        </is>
      </c>
      <c r="H2700" t="inlineStr">
        <is>
          <t>Web Store</t>
        </is>
      </c>
      <c r="I2700" t="n">
        <v>1</v>
      </c>
      <c r="J2700" s="3" t="n">
        <v>209.2</v>
      </c>
      <c r="K2700" s="3" t="n">
        <v>0</v>
      </c>
      <c r="L2700" s="3" t="n">
        <v>209.2</v>
      </c>
      <c r="M2700" s="3" t="n">
        <v>130.13</v>
      </c>
      <c r="N2700" s="3" t="n">
        <v>79.06999999999999</v>
      </c>
      <c r="O2700">
        <f>TEXT(A2700,"yyyy-mm")</f>
        <v/>
      </c>
    </row>
    <row r="2701">
      <c r="A2701" s="2" t="n">
        <v>45947</v>
      </c>
      <c r="B2701" t="n">
        <v>2025</v>
      </c>
      <c r="C2701" t="inlineStr">
        <is>
          <t>October</t>
        </is>
      </c>
      <c r="D2701" t="inlineStr">
        <is>
          <t>Classic Coffee Beans</t>
        </is>
      </c>
      <c r="E2701" t="inlineStr">
        <is>
          <t>Grocery</t>
        </is>
      </c>
      <c r="F2701" t="inlineStr">
        <is>
          <t>Peter Muller</t>
        </is>
      </c>
      <c r="G2701" t="inlineStr">
        <is>
          <t>Italy</t>
        </is>
      </c>
      <c r="H2701" t="inlineStr">
        <is>
          <t>Marketplace</t>
        </is>
      </c>
      <c r="I2701" t="n">
        <v>2</v>
      </c>
      <c r="J2701" s="3" t="n">
        <v>638.88</v>
      </c>
      <c r="K2701" s="3" t="n">
        <v>127.78</v>
      </c>
      <c r="L2701" s="3" t="n">
        <v>511.1</v>
      </c>
      <c r="M2701" s="3" t="n">
        <v>389.52</v>
      </c>
      <c r="N2701" s="3" t="n">
        <v>121.58</v>
      </c>
      <c r="O2701">
        <f>TEXT(A2701,"yyyy-mm")</f>
        <v/>
      </c>
    </row>
    <row r="2702">
      <c r="A2702" s="2" t="n">
        <v>45947</v>
      </c>
      <c r="B2702" t="n">
        <v>2025</v>
      </c>
      <c r="C2702" t="inlineStr">
        <is>
          <t>October</t>
        </is>
      </c>
      <c r="D2702" t="inlineStr">
        <is>
          <t>Classic Coffee Beans</t>
        </is>
      </c>
      <c r="E2702" t="inlineStr">
        <is>
          <t>Grocery</t>
        </is>
      </c>
      <c r="F2702" t="inlineStr">
        <is>
          <t>Maria Nowak</t>
        </is>
      </c>
      <c r="G2702" t="inlineStr">
        <is>
          <t>Poland</t>
        </is>
      </c>
      <c r="H2702" t="inlineStr">
        <is>
          <t>Retail Store</t>
        </is>
      </c>
      <c r="I2702" t="n">
        <v>2</v>
      </c>
      <c r="J2702" s="3" t="n">
        <v>640.98</v>
      </c>
      <c r="K2702" s="3" t="n">
        <v>96.15000000000001</v>
      </c>
      <c r="L2702" s="3" t="n">
        <v>544.83</v>
      </c>
      <c r="M2702" s="3" t="n">
        <v>389.52</v>
      </c>
      <c r="N2702" s="3" t="n">
        <v>155.31</v>
      </c>
      <c r="O2702">
        <f>TEXT(A2702,"yyyy-mm")</f>
        <v/>
      </c>
    </row>
    <row r="2703">
      <c r="A2703" s="2" t="n">
        <v>45947</v>
      </c>
      <c r="B2703" t="n">
        <v>2025</v>
      </c>
      <c r="C2703" t="inlineStr">
        <is>
          <t>October</t>
        </is>
      </c>
      <c r="D2703" t="inlineStr">
        <is>
          <t>Eco Backpack</t>
        </is>
      </c>
      <c r="E2703" t="inlineStr">
        <is>
          <t>Sports &amp; Outdoors</t>
        </is>
      </c>
      <c r="F2703" t="inlineStr">
        <is>
          <t>Daniel Garcia</t>
        </is>
      </c>
      <c r="G2703" t="inlineStr">
        <is>
          <t>Spain</t>
        </is>
      </c>
      <c r="H2703" t="inlineStr">
        <is>
          <t>Marketplace</t>
        </is>
      </c>
      <c r="I2703" t="n">
        <v>3</v>
      </c>
      <c r="J2703" s="3" t="n">
        <v>780.21</v>
      </c>
      <c r="K2703" s="3" t="n">
        <v>39.01</v>
      </c>
      <c r="L2703" s="3" t="n">
        <v>741.2</v>
      </c>
      <c r="M2703" s="3" t="n">
        <v>439.74</v>
      </c>
      <c r="N2703" s="3" t="n">
        <v>301.46</v>
      </c>
      <c r="O2703">
        <f>TEXT(A2703,"yyyy-mm")</f>
        <v/>
      </c>
    </row>
    <row r="2704">
      <c r="A2704" s="2" t="n">
        <v>45947</v>
      </c>
      <c r="B2704" t="n">
        <v>2025</v>
      </c>
      <c r="C2704" t="inlineStr">
        <is>
          <t>October</t>
        </is>
      </c>
      <c r="D2704" t="inlineStr">
        <is>
          <t>Premium Water Bottle</t>
        </is>
      </c>
      <c r="E2704" t="inlineStr">
        <is>
          <t>Sports &amp; Outdoors</t>
        </is>
      </c>
      <c r="F2704" t="inlineStr">
        <is>
          <t>Anna Fischer</t>
        </is>
      </c>
      <c r="G2704" t="inlineStr">
        <is>
          <t>Poland</t>
        </is>
      </c>
      <c r="H2704" t="inlineStr">
        <is>
          <t>Mobile App</t>
        </is>
      </c>
      <c r="I2704" t="n">
        <v>4</v>
      </c>
      <c r="J2704" s="3" t="n">
        <v>487.04</v>
      </c>
      <c r="K2704" s="3" t="n">
        <v>97.41</v>
      </c>
      <c r="L2704" s="3" t="n">
        <v>389.63</v>
      </c>
      <c r="M2704" s="3" t="n">
        <v>358.48</v>
      </c>
      <c r="N2704" s="3" t="n">
        <v>31.15</v>
      </c>
      <c r="O2704">
        <f>TEXT(A2704,"yyyy-mm")</f>
        <v/>
      </c>
    </row>
    <row r="2705">
      <c r="A2705" s="2" t="n">
        <v>45947</v>
      </c>
      <c r="B2705" t="n">
        <v>2025</v>
      </c>
      <c r="C2705" t="inlineStr">
        <is>
          <t>October</t>
        </is>
      </c>
      <c r="D2705" t="inlineStr">
        <is>
          <t>Premium Tent</t>
        </is>
      </c>
      <c r="E2705" t="inlineStr">
        <is>
          <t>Sports &amp; Outdoors</t>
        </is>
      </c>
      <c r="F2705" t="inlineStr">
        <is>
          <t>Anna Fischer</t>
        </is>
      </c>
      <c r="G2705" t="inlineStr">
        <is>
          <t>Poland</t>
        </is>
      </c>
      <c r="H2705" t="inlineStr">
        <is>
          <t>Mobile App</t>
        </is>
      </c>
      <c r="I2705" t="n">
        <v>5</v>
      </c>
      <c r="J2705" s="3" t="n">
        <v>1315.4</v>
      </c>
      <c r="K2705" s="3" t="n">
        <v>131.54</v>
      </c>
      <c r="L2705" s="3" t="n">
        <v>1183.86</v>
      </c>
      <c r="M2705" s="3" t="n">
        <v>695.2</v>
      </c>
      <c r="N2705" s="3" t="n">
        <v>488.66</v>
      </c>
      <c r="O2705">
        <f>TEXT(A2705,"yyyy-mm")</f>
        <v/>
      </c>
    </row>
    <row r="2706">
      <c r="A2706" s="2" t="n">
        <v>45947</v>
      </c>
      <c r="B2706" t="n">
        <v>2025</v>
      </c>
      <c r="C2706" t="inlineStr">
        <is>
          <t>October</t>
        </is>
      </c>
      <c r="D2706" t="inlineStr">
        <is>
          <t>Wireless Drone</t>
        </is>
      </c>
      <c r="E2706" t="inlineStr">
        <is>
          <t>Toys &amp; Games</t>
        </is>
      </c>
      <c r="F2706" t="inlineStr">
        <is>
          <t>Daniel Garcia</t>
        </is>
      </c>
      <c r="G2706" t="inlineStr">
        <is>
          <t>Spain</t>
        </is>
      </c>
      <c r="H2706" t="inlineStr">
        <is>
          <t>Marketplace</t>
        </is>
      </c>
      <c r="I2706" t="n">
        <v>3</v>
      </c>
      <c r="J2706" s="3" t="n">
        <v>652.62</v>
      </c>
      <c r="K2706" s="3" t="n">
        <v>65.26000000000001</v>
      </c>
      <c r="L2706" s="3" t="n">
        <v>587.36</v>
      </c>
      <c r="M2706" s="3" t="n">
        <v>393.87</v>
      </c>
      <c r="N2706" s="3" t="n">
        <v>193.49</v>
      </c>
      <c r="O2706">
        <f>TEXT(A2706,"yyyy-mm")</f>
        <v/>
      </c>
    </row>
    <row r="2707">
      <c r="A2707" s="2" t="n">
        <v>45947</v>
      </c>
      <c r="B2707" t="n">
        <v>2025</v>
      </c>
      <c r="C2707" t="inlineStr">
        <is>
          <t>October</t>
        </is>
      </c>
      <c r="D2707" t="inlineStr">
        <is>
          <t>Essential Rug</t>
        </is>
      </c>
      <c r="E2707" t="inlineStr">
        <is>
          <t>Home &amp; Garden</t>
        </is>
      </c>
      <c r="F2707" t="inlineStr">
        <is>
          <t>Daniel Garcia</t>
        </is>
      </c>
      <c r="G2707" t="inlineStr">
        <is>
          <t>Spain</t>
        </is>
      </c>
      <c r="H2707" t="inlineStr">
        <is>
          <t>Marketplace</t>
        </is>
      </c>
      <c r="I2707" t="n">
        <v>3</v>
      </c>
      <c r="J2707" s="3" t="n">
        <v>401.1</v>
      </c>
      <c r="K2707" s="3" t="n">
        <v>60.16</v>
      </c>
      <c r="L2707" s="3" t="n">
        <v>340.93</v>
      </c>
      <c r="M2707" s="3" t="n">
        <v>228.99</v>
      </c>
      <c r="N2707" s="3" t="n">
        <v>111.94</v>
      </c>
      <c r="O2707">
        <f>TEXT(A2707,"yyyy-mm")</f>
        <v/>
      </c>
    </row>
    <row r="2708">
      <c r="A2708" s="2" t="n">
        <v>45948</v>
      </c>
      <c r="B2708" t="n">
        <v>2025</v>
      </c>
      <c r="C2708" t="inlineStr">
        <is>
          <t>October</t>
        </is>
      </c>
      <c r="D2708" t="inlineStr">
        <is>
          <t>Wireless Honey</t>
        </is>
      </c>
      <c r="E2708" t="inlineStr">
        <is>
          <t>Grocery</t>
        </is>
      </c>
      <c r="F2708" t="inlineStr">
        <is>
          <t>Emma Rossi</t>
        </is>
      </c>
      <c r="G2708" t="inlineStr">
        <is>
          <t>France</t>
        </is>
      </c>
      <c r="H2708" t="inlineStr">
        <is>
          <t>Mobile App</t>
        </is>
      </c>
      <c r="I2708" t="n">
        <v>2</v>
      </c>
      <c r="J2708" s="3" t="n">
        <v>261</v>
      </c>
      <c r="K2708" s="3" t="n">
        <v>0</v>
      </c>
      <c r="L2708" s="3" t="n">
        <v>261</v>
      </c>
      <c r="M2708" s="3" t="n">
        <v>188.14</v>
      </c>
      <c r="N2708" s="3" t="n">
        <v>72.86</v>
      </c>
      <c r="O2708">
        <f>TEXT(A2708,"yyyy-mm")</f>
        <v/>
      </c>
    </row>
    <row r="2709">
      <c r="A2709" s="2" t="n">
        <v>45948</v>
      </c>
      <c r="B2709" t="n">
        <v>2025</v>
      </c>
      <c r="C2709" t="inlineStr">
        <is>
          <t>October</t>
        </is>
      </c>
      <c r="D2709" t="inlineStr">
        <is>
          <t>Portable Pasta</t>
        </is>
      </c>
      <c r="E2709" t="inlineStr">
        <is>
          <t>Grocery</t>
        </is>
      </c>
      <c r="F2709" t="inlineStr">
        <is>
          <t>Emma Rossi</t>
        </is>
      </c>
      <c r="G2709" t="inlineStr">
        <is>
          <t>France</t>
        </is>
      </c>
      <c r="H2709" t="inlineStr">
        <is>
          <t>Mobile App</t>
        </is>
      </c>
      <c r="I2709" t="n">
        <v>2</v>
      </c>
      <c r="J2709" s="3" t="n">
        <v>75.98</v>
      </c>
      <c r="K2709" s="3" t="n">
        <v>11.4</v>
      </c>
      <c r="L2709" s="3" t="n">
        <v>64.58</v>
      </c>
      <c r="M2709" s="3" t="n">
        <v>55.5</v>
      </c>
      <c r="N2709" s="3" t="n">
        <v>9.08</v>
      </c>
      <c r="O2709">
        <f>TEXT(A2709,"yyyy-mm")</f>
        <v/>
      </c>
    </row>
    <row r="2710">
      <c r="A2710" s="2" t="n">
        <v>45948</v>
      </c>
      <c r="B2710" t="n">
        <v>2025</v>
      </c>
      <c r="C2710" t="inlineStr">
        <is>
          <t>October</t>
        </is>
      </c>
      <c r="D2710" t="inlineStr">
        <is>
          <t>Premium Cookbook</t>
        </is>
      </c>
      <c r="E2710" t="inlineStr">
        <is>
          <t>Books</t>
        </is>
      </c>
      <c r="F2710" t="inlineStr">
        <is>
          <t>Emma Rossi</t>
        </is>
      </c>
      <c r="G2710" t="inlineStr">
        <is>
          <t>France</t>
        </is>
      </c>
      <c r="H2710" t="inlineStr">
        <is>
          <t>Mobile App</t>
        </is>
      </c>
      <c r="I2710" t="n">
        <v>5</v>
      </c>
      <c r="J2710" s="3" t="n">
        <v>639.05</v>
      </c>
      <c r="K2710" s="3" t="n">
        <v>63.9</v>
      </c>
      <c r="L2710" s="3" t="n">
        <v>575.14</v>
      </c>
      <c r="M2710" s="3" t="n">
        <v>474.9</v>
      </c>
      <c r="N2710" s="3" t="n">
        <v>100.24</v>
      </c>
      <c r="O2710">
        <f>TEXT(A2710,"yyyy-mm")</f>
        <v/>
      </c>
    </row>
    <row r="2711">
      <c r="A2711" s="2" t="n">
        <v>45948</v>
      </c>
      <c r="B2711" t="n">
        <v>2025</v>
      </c>
      <c r="C2711" t="inlineStr">
        <is>
          <t>October</t>
        </is>
      </c>
      <c r="D2711" t="inlineStr">
        <is>
          <t>Essential Planter</t>
        </is>
      </c>
      <c r="E2711" t="inlineStr">
        <is>
          <t>Home &amp; Garden</t>
        </is>
      </c>
      <c r="F2711" t="inlineStr">
        <is>
          <t>Emma Rossi</t>
        </is>
      </c>
      <c r="G2711" t="inlineStr">
        <is>
          <t>France</t>
        </is>
      </c>
      <c r="H2711" t="inlineStr">
        <is>
          <t>Mobile App</t>
        </is>
      </c>
      <c r="I2711" t="n">
        <v>3</v>
      </c>
      <c r="J2711" s="3" t="n">
        <v>74.67</v>
      </c>
      <c r="K2711" s="3" t="n">
        <v>0</v>
      </c>
      <c r="L2711" s="3" t="n">
        <v>74.67</v>
      </c>
      <c r="M2711" s="3" t="n">
        <v>58.92</v>
      </c>
      <c r="N2711" s="3" t="n">
        <v>15.75</v>
      </c>
      <c r="O2711">
        <f>TEXT(A2711,"yyyy-mm")</f>
        <v/>
      </c>
    </row>
    <row r="2712">
      <c r="A2712" s="2" t="n">
        <v>45948</v>
      </c>
      <c r="B2712" t="n">
        <v>2025</v>
      </c>
      <c r="C2712" t="inlineStr">
        <is>
          <t>October</t>
        </is>
      </c>
      <c r="D2712" t="inlineStr">
        <is>
          <t>Deluxe Toolset</t>
        </is>
      </c>
      <c r="E2712" t="inlineStr">
        <is>
          <t>Home &amp; Garden</t>
        </is>
      </c>
      <c r="F2712" t="inlineStr">
        <is>
          <t>James Moreau</t>
        </is>
      </c>
      <c r="G2712" t="inlineStr">
        <is>
          <t>Poland</t>
        </is>
      </c>
      <c r="H2712" t="inlineStr">
        <is>
          <t>Marketplace</t>
        </is>
      </c>
      <c r="I2712" t="n">
        <v>1</v>
      </c>
      <c r="J2712" s="3" t="n">
        <v>66.3</v>
      </c>
      <c r="K2712" s="3" t="n">
        <v>6.63</v>
      </c>
      <c r="L2712" s="3" t="n">
        <v>59.67</v>
      </c>
      <c r="M2712" s="3" t="n">
        <v>47.71</v>
      </c>
      <c r="N2712" s="3" t="n">
        <v>11.96</v>
      </c>
      <c r="O2712">
        <f>TEXT(A2712,"yyyy-mm")</f>
        <v/>
      </c>
    </row>
    <row r="2713">
      <c r="A2713" s="2" t="n">
        <v>45948</v>
      </c>
      <c r="B2713" t="n">
        <v>2025</v>
      </c>
      <c r="C2713" t="inlineStr">
        <is>
          <t>October</t>
        </is>
      </c>
      <c r="D2713" t="inlineStr">
        <is>
          <t>Classic Charger</t>
        </is>
      </c>
      <c r="E2713" t="inlineStr">
        <is>
          <t>Electronics</t>
        </is>
      </c>
      <c r="F2713" t="inlineStr">
        <is>
          <t>James Moreau</t>
        </is>
      </c>
      <c r="G2713" t="inlineStr">
        <is>
          <t>Poland</t>
        </is>
      </c>
      <c r="H2713" t="inlineStr">
        <is>
          <t>Marketplace</t>
        </is>
      </c>
      <c r="I2713" t="n">
        <v>2</v>
      </c>
      <c r="J2713" s="3" t="n">
        <v>191.3</v>
      </c>
      <c r="K2713" s="3" t="n">
        <v>0</v>
      </c>
      <c r="L2713" s="3" t="n">
        <v>191.3</v>
      </c>
      <c r="M2713" s="3" t="n">
        <v>124.42</v>
      </c>
      <c r="N2713" s="3" t="n">
        <v>66.88</v>
      </c>
      <c r="O2713">
        <f>TEXT(A2713,"yyyy-mm")</f>
        <v/>
      </c>
    </row>
    <row r="2714">
      <c r="A2714" s="2" t="n">
        <v>45948</v>
      </c>
      <c r="B2714" t="n">
        <v>2025</v>
      </c>
      <c r="C2714" t="inlineStr">
        <is>
          <t>October</t>
        </is>
      </c>
      <c r="D2714" t="inlineStr">
        <is>
          <t>Essential Pasta</t>
        </is>
      </c>
      <c r="E2714" t="inlineStr">
        <is>
          <t>Grocery</t>
        </is>
      </c>
      <c r="F2714" t="inlineStr">
        <is>
          <t>John Bianchi</t>
        </is>
      </c>
      <c r="G2714" t="inlineStr">
        <is>
          <t>France</t>
        </is>
      </c>
      <c r="H2714" t="inlineStr">
        <is>
          <t>Mobile App</t>
        </is>
      </c>
      <c r="I2714" t="n">
        <v>3</v>
      </c>
      <c r="J2714" s="3" t="n">
        <v>176.34</v>
      </c>
      <c r="K2714" s="3" t="n">
        <v>0</v>
      </c>
      <c r="L2714" s="3" t="n">
        <v>176.34</v>
      </c>
      <c r="M2714" s="3" t="n">
        <v>107.43</v>
      </c>
      <c r="N2714" s="3" t="n">
        <v>68.91</v>
      </c>
      <c r="O2714">
        <f>TEXT(A2714,"yyyy-mm")</f>
        <v/>
      </c>
    </row>
    <row r="2715">
      <c r="A2715" s="2" t="n">
        <v>45948</v>
      </c>
      <c r="B2715" t="n">
        <v>2025</v>
      </c>
      <c r="C2715" t="inlineStr">
        <is>
          <t>October</t>
        </is>
      </c>
      <c r="D2715" t="inlineStr">
        <is>
          <t>Portable Toolset</t>
        </is>
      </c>
      <c r="E2715" t="inlineStr">
        <is>
          <t>Home &amp; Garden</t>
        </is>
      </c>
      <c r="F2715" t="inlineStr">
        <is>
          <t>John Bianchi</t>
        </is>
      </c>
      <c r="G2715" t="inlineStr">
        <is>
          <t>France</t>
        </is>
      </c>
      <c r="H2715" t="inlineStr">
        <is>
          <t>Mobile App</t>
        </is>
      </c>
      <c r="I2715" t="n">
        <v>2</v>
      </c>
      <c r="J2715" s="3" t="n">
        <v>282.08</v>
      </c>
      <c r="K2715" s="3" t="n">
        <v>42.31</v>
      </c>
      <c r="L2715" s="3" t="n">
        <v>239.77</v>
      </c>
      <c r="M2715" s="3" t="n">
        <v>185.7</v>
      </c>
      <c r="N2715" s="3" t="n">
        <v>54.07</v>
      </c>
      <c r="O2715">
        <f>TEXT(A2715,"yyyy-mm")</f>
        <v/>
      </c>
    </row>
    <row r="2716">
      <c r="A2716" s="2" t="n">
        <v>45948</v>
      </c>
      <c r="B2716" t="n">
        <v>2025</v>
      </c>
      <c r="C2716" t="inlineStr">
        <is>
          <t>October</t>
        </is>
      </c>
      <c r="D2716" t="inlineStr">
        <is>
          <t>Deluxe Toothbrush</t>
        </is>
      </c>
      <c r="E2716" t="inlineStr">
        <is>
          <t>Beauty &amp; Health</t>
        </is>
      </c>
      <c r="F2716" t="inlineStr">
        <is>
          <t>John Bianchi</t>
        </is>
      </c>
      <c r="G2716" t="inlineStr">
        <is>
          <t>France</t>
        </is>
      </c>
      <c r="H2716" t="inlineStr">
        <is>
          <t>Mobile App</t>
        </is>
      </c>
      <c r="I2716" t="n">
        <v>3</v>
      </c>
      <c r="J2716" s="3" t="n">
        <v>959.88</v>
      </c>
      <c r="K2716" s="3" t="n">
        <v>0</v>
      </c>
      <c r="L2716" s="3" t="n">
        <v>959.88</v>
      </c>
      <c r="M2716" s="3" t="n">
        <v>523.71</v>
      </c>
      <c r="N2716" s="3" t="n">
        <v>436.17</v>
      </c>
      <c r="O2716">
        <f>TEXT(A2716,"yyyy-mm")</f>
        <v/>
      </c>
    </row>
    <row r="2717">
      <c r="A2717" s="2" t="n">
        <v>45948</v>
      </c>
      <c r="B2717" t="n">
        <v>2025</v>
      </c>
      <c r="C2717" t="inlineStr">
        <is>
          <t>October</t>
        </is>
      </c>
      <c r="D2717" t="inlineStr">
        <is>
          <t>Portable Pasta</t>
        </is>
      </c>
      <c r="E2717" t="inlineStr">
        <is>
          <t>Grocery</t>
        </is>
      </c>
      <c r="F2717" t="inlineStr">
        <is>
          <t>John Bianchi</t>
        </is>
      </c>
      <c r="G2717" t="inlineStr">
        <is>
          <t>France</t>
        </is>
      </c>
      <c r="H2717" t="inlineStr">
        <is>
          <t>Mobile App</t>
        </is>
      </c>
      <c r="I2717" t="n">
        <v>5</v>
      </c>
      <c r="J2717" s="3" t="n">
        <v>189.9</v>
      </c>
      <c r="K2717" s="3" t="n">
        <v>0</v>
      </c>
      <c r="L2717" s="3" t="n">
        <v>189.9</v>
      </c>
      <c r="M2717" s="3" t="n">
        <v>138.75</v>
      </c>
      <c r="N2717" s="3" t="n">
        <v>51.15</v>
      </c>
      <c r="O2717">
        <f>TEXT(A2717,"yyyy-mm")</f>
        <v/>
      </c>
    </row>
    <row r="2718">
      <c r="A2718" s="2" t="n">
        <v>45949</v>
      </c>
      <c r="B2718" t="n">
        <v>2025</v>
      </c>
      <c r="C2718" t="inlineStr">
        <is>
          <t>October</t>
        </is>
      </c>
      <c r="D2718" t="inlineStr">
        <is>
          <t>Premium Water Bottle</t>
        </is>
      </c>
      <c r="E2718" t="inlineStr">
        <is>
          <t>Sports &amp; Outdoors</t>
        </is>
      </c>
      <c r="F2718" t="inlineStr">
        <is>
          <t>Thomas Schmidt</t>
        </is>
      </c>
      <c r="G2718" t="inlineStr">
        <is>
          <t>Germany</t>
        </is>
      </c>
      <c r="H2718" t="inlineStr">
        <is>
          <t>Retail Store</t>
        </is>
      </c>
      <c r="I2718" t="n">
        <v>2</v>
      </c>
      <c r="J2718" s="3" t="n">
        <v>584.6</v>
      </c>
      <c r="K2718" s="3" t="n">
        <v>0</v>
      </c>
      <c r="L2718" s="3" t="n">
        <v>584.6</v>
      </c>
      <c r="M2718" s="3" t="n">
        <v>362.32</v>
      </c>
      <c r="N2718" s="3" t="n">
        <v>222.28</v>
      </c>
      <c r="O2718">
        <f>TEXT(A2718,"yyyy-mm")</f>
        <v/>
      </c>
    </row>
    <row r="2719">
      <c r="A2719" s="2" t="n">
        <v>45949</v>
      </c>
      <c r="B2719" t="n">
        <v>2025</v>
      </c>
      <c r="C2719" t="inlineStr">
        <is>
          <t>October</t>
        </is>
      </c>
      <c r="D2719" t="inlineStr">
        <is>
          <t>Eco Planter</t>
        </is>
      </c>
      <c r="E2719" t="inlineStr">
        <is>
          <t>Home &amp; Garden</t>
        </is>
      </c>
      <c r="F2719" t="inlineStr">
        <is>
          <t>Thomas Schmidt</t>
        </is>
      </c>
      <c r="G2719" t="inlineStr">
        <is>
          <t>Germany</t>
        </is>
      </c>
      <c r="H2719" t="inlineStr">
        <is>
          <t>Retail Store</t>
        </is>
      </c>
      <c r="I2719" t="n">
        <v>2</v>
      </c>
      <c r="J2719" s="3" t="n">
        <v>383.04</v>
      </c>
      <c r="K2719" s="3" t="n">
        <v>0</v>
      </c>
      <c r="L2719" s="3" t="n">
        <v>383.04</v>
      </c>
      <c r="M2719" s="3" t="n">
        <v>224.82</v>
      </c>
      <c r="N2719" s="3" t="n">
        <v>158.22</v>
      </c>
      <c r="O2719">
        <f>TEXT(A2719,"yyyy-mm")</f>
        <v/>
      </c>
    </row>
    <row r="2720">
      <c r="A2720" s="2" t="n">
        <v>45949</v>
      </c>
      <c r="B2720" t="n">
        <v>2025</v>
      </c>
      <c r="C2720" t="inlineStr">
        <is>
          <t>October</t>
        </is>
      </c>
      <c r="D2720" t="inlineStr">
        <is>
          <t>Essential Rug</t>
        </is>
      </c>
      <c r="E2720" t="inlineStr">
        <is>
          <t>Home &amp; Garden</t>
        </is>
      </c>
      <c r="F2720" t="inlineStr">
        <is>
          <t>David Johnson</t>
        </is>
      </c>
      <c r="G2720" t="inlineStr">
        <is>
          <t>Spain</t>
        </is>
      </c>
      <c r="H2720" t="inlineStr">
        <is>
          <t>Retail Store</t>
        </is>
      </c>
      <c r="I2720" t="n">
        <v>3</v>
      </c>
      <c r="J2720" s="3" t="n">
        <v>395.34</v>
      </c>
      <c r="K2720" s="3" t="n">
        <v>59.3</v>
      </c>
      <c r="L2720" s="3" t="n">
        <v>336.04</v>
      </c>
      <c r="M2720" s="3" t="n">
        <v>228.99</v>
      </c>
      <c r="N2720" s="3" t="n">
        <v>107.05</v>
      </c>
      <c r="O2720">
        <f>TEXT(A2720,"yyyy-mm")</f>
        <v/>
      </c>
    </row>
    <row r="2721">
      <c r="A2721" s="2" t="n">
        <v>45949</v>
      </c>
      <c r="B2721" t="n">
        <v>2025</v>
      </c>
      <c r="C2721" t="inlineStr">
        <is>
          <t>October</t>
        </is>
      </c>
      <c r="D2721" t="inlineStr">
        <is>
          <t>Smart Olive Oil</t>
        </is>
      </c>
      <c r="E2721" t="inlineStr">
        <is>
          <t>Grocery</t>
        </is>
      </c>
      <c r="F2721" t="inlineStr">
        <is>
          <t>David Johnson</t>
        </is>
      </c>
      <c r="G2721" t="inlineStr">
        <is>
          <t>Spain</t>
        </is>
      </c>
      <c r="H2721" t="inlineStr">
        <is>
          <t>Retail Store</t>
        </is>
      </c>
      <c r="I2721" t="n">
        <v>4</v>
      </c>
      <c r="J2721" s="3" t="n">
        <v>689.6</v>
      </c>
      <c r="K2721" s="3" t="n">
        <v>103.44</v>
      </c>
      <c r="L2721" s="3" t="n">
        <v>586.16</v>
      </c>
      <c r="M2721" s="3" t="n">
        <v>440.08</v>
      </c>
      <c r="N2721" s="3" t="n">
        <v>146.08</v>
      </c>
      <c r="O2721">
        <f>TEXT(A2721,"yyyy-mm")</f>
        <v/>
      </c>
    </row>
    <row r="2722">
      <c r="A2722" s="2" t="n">
        <v>45949</v>
      </c>
      <c r="B2722" t="n">
        <v>2025</v>
      </c>
      <c r="C2722" t="inlineStr">
        <is>
          <t>October</t>
        </is>
      </c>
      <c r="D2722" t="inlineStr">
        <is>
          <t>Wireless Coffee Beans</t>
        </is>
      </c>
      <c r="E2722" t="inlineStr">
        <is>
          <t>Grocery</t>
        </is>
      </c>
      <c r="F2722" t="inlineStr">
        <is>
          <t>David Johnson</t>
        </is>
      </c>
      <c r="G2722" t="inlineStr">
        <is>
          <t>Spain</t>
        </is>
      </c>
      <c r="H2722" t="inlineStr">
        <is>
          <t>Retail Store</t>
        </is>
      </c>
      <c r="I2722" t="n">
        <v>5</v>
      </c>
      <c r="J2722" s="3" t="n">
        <v>1047.6</v>
      </c>
      <c r="K2722" s="3" t="n">
        <v>0</v>
      </c>
      <c r="L2722" s="3" t="n">
        <v>1047.6</v>
      </c>
      <c r="M2722" s="3" t="n">
        <v>650.65</v>
      </c>
      <c r="N2722" s="3" t="n">
        <v>396.95</v>
      </c>
      <c r="O2722">
        <f>TEXT(A2722,"yyyy-mm")</f>
        <v/>
      </c>
    </row>
    <row r="2723">
      <c r="A2723" s="2" t="n">
        <v>45949</v>
      </c>
      <c r="B2723" t="n">
        <v>2025</v>
      </c>
      <c r="C2723" t="inlineStr">
        <is>
          <t>October</t>
        </is>
      </c>
      <c r="D2723" t="inlineStr">
        <is>
          <t>Eco Sweater</t>
        </is>
      </c>
      <c r="E2723" t="inlineStr">
        <is>
          <t>Clothing</t>
        </is>
      </c>
      <c r="F2723" t="inlineStr">
        <is>
          <t>Clara Zielinski</t>
        </is>
      </c>
      <c r="G2723" t="inlineStr">
        <is>
          <t>United States</t>
        </is>
      </c>
      <c r="H2723" t="inlineStr">
        <is>
          <t>Retail Store</t>
        </is>
      </c>
      <c r="I2723" t="n">
        <v>4</v>
      </c>
      <c r="J2723" s="3" t="n">
        <v>585.6</v>
      </c>
      <c r="K2723" s="3" t="n">
        <v>0</v>
      </c>
      <c r="L2723" s="3" t="n">
        <v>585.6</v>
      </c>
      <c r="M2723" s="3" t="n">
        <v>416.92</v>
      </c>
      <c r="N2723" s="3" t="n">
        <v>168.68</v>
      </c>
      <c r="O2723">
        <f>TEXT(A2723,"yyyy-mm")</f>
        <v/>
      </c>
    </row>
    <row r="2724">
      <c r="A2724" s="2" t="n">
        <v>45949</v>
      </c>
      <c r="B2724" t="n">
        <v>2025</v>
      </c>
      <c r="C2724" t="inlineStr">
        <is>
          <t>October</t>
        </is>
      </c>
      <c r="D2724" t="inlineStr">
        <is>
          <t>Eco Biography</t>
        </is>
      </c>
      <c r="E2724" t="inlineStr">
        <is>
          <t>Books</t>
        </is>
      </c>
      <c r="F2724" t="inlineStr">
        <is>
          <t>Daniel Garcia</t>
        </is>
      </c>
      <c r="G2724" t="inlineStr">
        <is>
          <t>Italy</t>
        </is>
      </c>
      <c r="H2724" t="inlineStr">
        <is>
          <t>Marketplace</t>
        </is>
      </c>
      <c r="I2724" t="n">
        <v>3</v>
      </c>
      <c r="J2724" s="3" t="n">
        <v>367.44</v>
      </c>
      <c r="K2724" s="3" t="n">
        <v>0</v>
      </c>
      <c r="L2724" s="3" t="n">
        <v>367.44</v>
      </c>
      <c r="M2724" s="3" t="n">
        <v>213.06</v>
      </c>
      <c r="N2724" s="3" t="n">
        <v>154.38</v>
      </c>
      <c r="O2724">
        <f>TEXT(A2724,"yyyy-mm")</f>
        <v/>
      </c>
    </row>
    <row r="2725">
      <c r="A2725" s="2" t="n">
        <v>45949</v>
      </c>
      <c r="B2725" t="n">
        <v>2025</v>
      </c>
      <c r="C2725" t="inlineStr">
        <is>
          <t>October</t>
        </is>
      </c>
      <c r="D2725" t="inlineStr">
        <is>
          <t>Smart Puzzle</t>
        </is>
      </c>
      <c r="E2725" t="inlineStr">
        <is>
          <t>Toys &amp; Games</t>
        </is>
      </c>
      <c r="F2725" t="inlineStr">
        <is>
          <t>Clara Zielinski</t>
        </is>
      </c>
      <c r="G2725" t="inlineStr">
        <is>
          <t>United States</t>
        </is>
      </c>
      <c r="H2725" t="inlineStr">
        <is>
          <t>Retail Store</t>
        </is>
      </c>
      <c r="I2725" t="n">
        <v>4</v>
      </c>
      <c r="J2725" s="3" t="n">
        <v>1040.44</v>
      </c>
      <c r="K2725" s="3" t="n">
        <v>104.04</v>
      </c>
      <c r="L2725" s="3" t="n">
        <v>936.4</v>
      </c>
      <c r="M2725" s="3" t="n">
        <v>771.04</v>
      </c>
      <c r="N2725" s="3" t="n">
        <v>165.36</v>
      </c>
      <c r="O2725">
        <f>TEXT(A2725,"yyyy-mm")</f>
        <v/>
      </c>
    </row>
    <row r="2726">
      <c r="A2726" s="2" t="n">
        <v>45949</v>
      </c>
      <c r="B2726" t="n">
        <v>2025</v>
      </c>
      <c r="C2726" t="inlineStr">
        <is>
          <t>October</t>
        </is>
      </c>
      <c r="D2726" t="inlineStr">
        <is>
          <t>Smart Puzzle</t>
        </is>
      </c>
      <c r="E2726" t="inlineStr">
        <is>
          <t>Toys &amp; Games</t>
        </is>
      </c>
      <c r="F2726" t="inlineStr">
        <is>
          <t>Clara Zielinski</t>
        </is>
      </c>
      <c r="G2726" t="inlineStr">
        <is>
          <t>United States</t>
        </is>
      </c>
      <c r="H2726" t="inlineStr">
        <is>
          <t>Retail Store</t>
        </is>
      </c>
      <c r="I2726" t="n">
        <v>5</v>
      </c>
      <c r="J2726" s="3" t="n">
        <v>227.35</v>
      </c>
      <c r="K2726" s="3" t="n">
        <v>22.74</v>
      </c>
      <c r="L2726" s="3" t="n">
        <v>204.62</v>
      </c>
      <c r="M2726" s="3" t="n">
        <v>122.2</v>
      </c>
      <c r="N2726" s="3" t="n">
        <v>82.42</v>
      </c>
      <c r="O2726">
        <f>TEXT(A2726,"yyyy-mm")</f>
        <v/>
      </c>
    </row>
    <row r="2727">
      <c r="A2727" s="2" t="n">
        <v>45949</v>
      </c>
      <c r="B2727" t="n">
        <v>2025</v>
      </c>
      <c r="C2727" t="inlineStr">
        <is>
          <t>October</t>
        </is>
      </c>
      <c r="D2727" t="inlineStr">
        <is>
          <t>Smart Honey</t>
        </is>
      </c>
      <c r="E2727" t="inlineStr">
        <is>
          <t>Grocery</t>
        </is>
      </c>
      <c r="F2727" t="inlineStr">
        <is>
          <t>David Johnson</t>
        </is>
      </c>
      <c r="G2727" t="inlineStr">
        <is>
          <t>Spain</t>
        </is>
      </c>
      <c r="H2727" t="inlineStr">
        <is>
          <t>Retail Store</t>
        </is>
      </c>
      <c r="I2727" t="n">
        <v>1</v>
      </c>
      <c r="J2727" s="3" t="n">
        <v>130.12</v>
      </c>
      <c r="K2727" s="3" t="n">
        <v>6.51</v>
      </c>
      <c r="L2727" s="3" t="n">
        <v>123.61</v>
      </c>
      <c r="M2727" s="3" t="n">
        <v>71.44</v>
      </c>
      <c r="N2727" s="3" t="n">
        <v>52.17</v>
      </c>
      <c r="O2727">
        <f>TEXT(A2727,"yyyy-mm")</f>
        <v/>
      </c>
    </row>
    <row r="2728">
      <c r="A2728" s="2" t="n">
        <v>45949</v>
      </c>
      <c r="B2728" t="n">
        <v>2025</v>
      </c>
      <c r="C2728" t="inlineStr">
        <is>
          <t>October</t>
        </is>
      </c>
      <c r="D2728" t="inlineStr">
        <is>
          <t>Wireless Coffee Beans</t>
        </is>
      </c>
      <c r="E2728" t="inlineStr">
        <is>
          <t>Grocery</t>
        </is>
      </c>
      <c r="F2728" t="inlineStr">
        <is>
          <t>Clara Zielinski</t>
        </is>
      </c>
      <c r="G2728" t="inlineStr">
        <is>
          <t>United States</t>
        </is>
      </c>
      <c r="H2728" t="inlineStr">
        <is>
          <t>Retail Store</t>
        </is>
      </c>
      <c r="I2728" t="n">
        <v>5</v>
      </c>
      <c r="J2728" s="3" t="n">
        <v>592.9</v>
      </c>
      <c r="K2728" s="3" t="n">
        <v>59.29</v>
      </c>
      <c r="L2728" s="3" t="n">
        <v>533.61</v>
      </c>
      <c r="M2728" s="3" t="n">
        <v>396.85</v>
      </c>
      <c r="N2728" s="3" t="n">
        <v>136.76</v>
      </c>
      <c r="O2728">
        <f>TEXT(A2728,"yyyy-mm")</f>
        <v/>
      </c>
    </row>
    <row r="2729">
      <c r="A2729" s="2" t="n">
        <v>45951</v>
      </c>
      <c r="B2729" t="n">
        <v>2025</v>
      </c>
      <c r="C2729" t="inlineStr">
        <is>
          <t>October</t>
        </is>
      </c>
      <c r="D2729" t="inlineStr">
        <is>
          <t>Smart Cookbook</t>
        </is>
      </c>
      <c r="E2729" t="inlineStr">
        <is>
          <t>Books</t>
        </is>
      </c>
      <c r="F2729" t="inlineStr">
        <is>
          <t>Maria Dubois</t>
        </is>
      </c>
      <c r="G2729" t="inlineStr">
        <is>
          <t>Spain</t>
        </is>
      </c>
      <c r="H2729" t="inlineStr">
        <is>
          <t>Mobile App</t>
        </is>
      </c>
      <c r="I2729" t="n">
        <v>2</v>
      </c>
      <c r="J2729" s="3" t="n">
        <v>35.14</v>
      </c>
      <c r="K2729" s="3" t="n">
        <v>7.03</v>
      </c>
      <c r="L2729" s="3" t="n">
        <v>28.11</v>
      </c>
      <c r="M2729" s="3" t="n">
        <v>19.76</v>
      </c>
      <c r="N2729" s="3" t="n">
        <v>8.35</v>
      </c>
      <c r="O2729">
        <f>TEXT(A2729,"yyyy-mm")</f>
        <v/>
      </c>
    </row>
    <row r="2730">
      <c r="A2730" s="2" t="n">
        <v>45951</v>
      </c>
      <c r="B2730" t="n">
        <v>2025</v>
      </c>
      <c r="C2730" t="inlineStr">
        <is>
          <t>October</t>
        </is>
      </c>
      <c r="D2730" t="inlineStr">
        <is>
          <t>Smart Charger</t>
        </is>
      </c>
      <c r="E2730" t="inlineStr">
        <is>
          <t>Electronics</t>
        </is>
      </c>
      <c r="F2730" t="inlineStr">
        <is>
          <t>Maria Dubois</t>
        </is>
      </c>
      <c r="G2730" t="inlineStr">
        <is>
          <t>Spain</t>
        </is>
      </c>
      <c r="H2730" t="inlineStr">
        <is>
          <t>Mobile App</t>
        </is>
      </c>
      <c r="I2730" t="n">
        <v>2</v>
      </c>
      <c r="J2730" s="3" t="n">
        <v>493.1</v>
      </c>
      <c r="K2730" s="3" t="n">
        <v>98.62</v>
      </c>
      <c r="L2730" s="3" t="n">
        <v>394.48</v>
      </c>
      <c r="M2730" s="3" t="n">
        <v>285.04</v>
      </c>
      <c r="N2730" s="3" t="n">
        <v>109.44</v>
      </c>
      <c r="O2730">
        <f>TEXT(A2730,"yyyy-mm")</f>
        <v/>
      </c>
    </row>
    <row r="2731">
      <c r="A2731" s="2" t="n">
        <v>45951</v>
      </c>
      <c r="B2731" t="n">
        <v>2025</v>
      </c>
      <c r="C2731" t="inlineStr">
        <is>
          <t>October</t>
        </is>
      </c>
      <c r="D2731" t="inlineStr">
        <is>
          <t>Essential Vitamins</t>
        </is>
      </c>
      <c r="E2731" t="inlineStr">
        <is>
          <t>Beauty &amp; Health</t>
        </is>
      </c>
      <c r="F2731" t="inlineStr">
        <is>
          <t>Maria Dubois</t>
        </is>
      </c>
      <c r="G2731" t="inlineStr">
        <is>
          <t>Spain</t>
        </is>
      </c>
      <c r="H2731" t="inlineStr">
        <is>
          <t>Mobile App</t>
        </is>
      </c>
      <c r="I2731" t="n">
        <v>2</v>
      </c>
      <c r="J2731" s="3" t="n">
        <v>358.72</v>
      </c>
      <c r="K2731" s="3" t="n">
        <v>35.87</v>
      </c>
      <c r="L2731" s="3" t="n">
        <v>322.85</v>
      </c>
      <c r="M2731" s="3" t="n">
        <v>220.6</v>
      </c>
      <c r="N2731" s="3" t="n">
        <v>102.25</v>
      </c>
      <c r="O2731">
        <f>TEXT(A2731,"yyyy-mm")</f>
        <v/>
      </c>
    </row>
    <row r="2732">
      <c r="A2732" s="2" t="n">
        <v>45951</v>
      </c>
      <c r="B2732" t="n">
        <v>2025</v>
      </c>
      <c r="C2732" t="inlineStr">
        <is>
          <t>October</t>
        </is>
      </c>
      <c r="D2732" t="inlineStr">
        <is>
          <t>Wireless Coffee Beans</t>
        </is>
      </c>
      <c r="E2732" t="inlineStr">
        <is>
          <t>Grocery</t>
        </is>
      </c>
      <c r="F2732" t="inlineStr">
        <is>
          <t>Clara Martin</t>
        </is>
      </c>
      <c r="G2732" t="inlineStr">
        <is>
          <t>United States</t>
        </is>
      </c>
      <c r="H2732" t="inlineStr">
        <is>
          <t>Mobile App</t>
        </is>
      </c>
      <c r="I2732" t="n">
        <v>2</v>
      </c>
      <c r="J2732" s="3" t="n">
        <v>232.18</v>
      </c>
      <c r="K2732" s="3" t="n">
        <v>0</v>
      </c>
      <c r="L2732" s="3" t="n">
        <v>232.18</v>
      </c>
      <c r="M2732" s="3" t="n">
        <v>158.74</v>
      </c>
      <c r="N2732" s="3" t="n">
        <v>73.44</v>
      </c>
      <c r="O2732">
        <f>TEXT(A2732,"yyyy-mm")</f>
        <v/>
      </c>
    </row>
    <row r="2733">
      <c r="A2733" s="2" t="n">
        <v>45951</v>
      </c>
      <c r="B2733" t="n">
        <v>2025</v>
      </c>
      <c r="C2733" t="inlineStr">
        <is>
          <t>October</t>
        </is>
      </c>
      <c r="D2733" t="inlineStr">
        <is>
          <t>Essential Rug</t>
        </is>
      </c>
      <c r="E2733" t="inlineStr">
        <is>
          <t>Home &amp; Garden</t>
        </is>
      </c>
      <c r="F2733" t="inlineStr">
        <is>
          <t>Clara Martin</t>
        </is>
      </c>
      <c r="G2733" t="inlineStr">
        <is>
          <t>United States</t>
        </is>
      </c>
      <c r="H2733" t="inlineStr">
        <is>
          <t>Mobile App</t>
        </is>
      </c>
      <c r="I2733" t="n">
        <v>4</v>
      </c>
      <c r="J2733" s="3" t="n">
        <v>533.96</v>
      </c>
      <c r="K2733" s="3" t="n">
        <v>80.09</v>
      </c>
      <c r="L2733" s="3" t="n">
        <v>453.87</v>
      </c>
      <c r="M2733" s="3" t="n">
        <v>305.32</v>
      </c>
      <c r="N2733" s="3" t="n">
        <v>148.55</v>
      </c>
      <c r="O2733">
        <f>TEXT(A2733,"yyyy-mm")</f>
        <v/>
      </c>
    </row>
    <row r="2734">
      <c r="A2734" s="2" t="n">
        <v>45951</v>
      </c>
      <c r="B2734" t="n">
        <v>2025</v>
      </c>
      <c r="C2734" t="inlineStr">
        <is>
          <t>October</t>
        </is>
      </c>
      <c r="D2734" t="inlineStr">
        <is>
          <t>Smart Olive Oil</t>
        </is>
      </c>
      <c r="E2734" t="inlineStr">
        <is>
          <t>Grocery</t>
        </is>
      </c>
      <c r="F2734" t="inlineStr">
        <is>
          <t>John Muller</t>
        </is>
      </c>
      <c r="G2734" t="inlineStr">
        <is>
          <t>France</t>
        </is>
      </c>
      <c r="H2734" t="inlineStr">
        <is>
          <t>Web Store</t>
        </is>
      </c>
      <c r="I2734" t="n">
        <v>3</v>
      </c>
      <c r="J2734" s="3" t="n">
        <v>481.83</v>
      </c>
      <c r="K2734" s="3" t="n">
        <v>96.37</v>
      </c>
      <c r="L2734" s="3" t="n">
        <v>385.46</v>
      </c>
      <c r="M2734" s="3" t="n">
        <v>330.06</v>
      </c>
      <c r="N2734" s="3" t="n">
        <v>55.4</v>
      </c>
      <c r="O2734">
        <f>TEXT(A2734,"yyyy-mm")</f>
        <v/>
      </c>
    </row>
    <row r="2735">
      <c r="A2735" s="2" t="n">
        <v>45951</v>
      </c>
      <c r="B2735" t="n">
        <v>2025</v>
      </c>
      <c r="C2735" t="inlineStr">
        <is>
          <t>October</t>
        </is>
      </c>
      <c r="D2735" t="inlineStr">
        <is>
          <t>Premium Rug</t>
        </is>
      </c>
      <c r="E2735" t="inlineStr">
        <is>
          <t>Home &amp; Garden</t>
        </is>
      </c>
      <c r="F2735" t="inlineStr">
        <is>
          <t>John Muller</t>
        </is>
      </c>
      <c r="G2735" t="inlineStr">
        <is>
          <t>France</t>
        </is>
      </c>
      <c r="H2735" t="inlineStr">
        <is>
          <t>Web Store</t>
        </is>
      </c>
      <c r="I2735" t="n">
        <v>3</v>
      </c>
      <c r="J2735" s="3" t="n">
        <v>575.79</v>
      </c>
      <c r="K2735" s="3" t="n">
        <v>28.79</v>
      </c>
      <c r="L2735" s="3" t="n">
        <v>547</v>
      </c>
      <c r="M2735" s="3" t="n">
        <v>333.57</v>
      </c>
      <c r="N2735" s="3" t="n">
        <v>213.43</v>
      </c>
      <c r="O2735">
        <f>TEXT(A2735,"yyyy-mm")</f>
        <v/>
      </c>
    </row>
    <row r="2736">
      <c r="A2736" s="2" t="n">
        <v>45952</v>
      </c>
      <c r="B2736" t="n">
        <v>2025</v>
      </c>
      <c r="C2736" t="inlineStr">
        <is>
          <t>October</t>
        </is>
      </c>
      <c r="D2736" t="inlineStr">
        <is>
          <t>Ultra Rug</t>
        </is>
      </c>
      <c r="E2736" t="inlineStr">
        <is>
          <t>Home &amp; Garden</t>
        </is>
      </c>
      <c r="F2736" t="inlineStr">
        <is>
          <t>Maria Garcia</t>
        </is>
      </c>
      <c r="G2736" t="inlineStr">
        <is>
          <t>Italy</t>
        </is>
      </c>
      <c r="H2736" t="inlineStr">
        <is>
          <t>Web Store</t>
        </is>
      </c>
      <c r="I2736" t="n">
        <v>1</v>
      </c>
      <c r="J2736" s="3" t="n">
        <v>52.94</v>
      </c>
      <c r="K2736" s="3" t="n">
        <v>0</v>
      </c>
      <c r="L2736" s="3" t="n">
        <v>52.94</v>
      </c>
      <c r="M2736" s="3" t="n">
        <v>32.91</v>
      </c>
      <c r="N2736" s="3" t="n">
        <v>20.03</v>
      </c>
      <c r="O2736">
        <f>TEXT(A2736,"yyyy-mm")</f>
        <v/>
      </c>
    </row>
    <row r="2737">
      <c r="A2737" s="2" t="n">
        <v>45952</v>
      </c>
      <c r="B2737" t="n">
        <v>2025</v>
      </c>
      <c r="C2737" t="inlineStr">
        <is>
          <t>October</t>
        </is>
      </c>
      <c r="D2737" t="inlineStr">
        <is>
          <t>Smart Charger</t>
        </is>
      </c>
      <c r="E2737" t="inlineStr">
        <is>
          <t>Electronics</t>
        </is>
      </c>
      <c r="F2737" t="inlineStr">
        <is>
          <t>Maria Garcia</t>
        </is>
      </c>
      <c r="G2737" t="inlineStr">
        <is>
          <t>Italy</t>
        </is>
      </c>
      <c r="H2737" t="inlineStr">
        <is>
          <t>Web Store</t>
        </is>
      </c>
      <c r="I2737" t="n">
        <v>4</v>
      </c>
      <c r="J2737" s="3" t="n">
        <v>164.84</v>
      </c>
      <c r="K2737" s="3" t="n">
        <v>24.73</v>
      </c>
      <c r="L2737" s="3" t="n">
        <v>140.11</v>
      </c>
      <c r="M2737" s="3" t="n">
        <v>110.56</v>
      </c>
      <c r="N2737" s="3" t="n">
        <v>29.55</v>
      </c>
      <c r="O2737">
        <f>TEXT(A2737,"yyyy-mm")</f>
        <v/>
      </c>
    </row>
    <row r="2738">
      <c r="A2738" s="2" t="n">
        <v>45952</v>
      </c>
      <c r="B2738" t="n">
        <v>2025</v>
      </c>
      <c r="C2738" t="inlineStr">
        <is>
          <t>October</t>
        </is>
      </c>
      <c r="D2738" t="inlineStr">
        <is>
          <t>Deluxe Notebook</t>
        </is>
      </c>
      <c r="E2738" t="inlineStr">
        <is>
          <t>Books</t>
        </is>
      </c>
      <c r="F2738" t="inlineStr">
        <is>
          <t>Maria Garcia</t>
        </is>
      </c>
      <c r="G2738" t="inlineStr">
        <is>
          <t>Italy</t>
        </is>
      </c>
      <c r="H2738" t="inlineStr">
        <is>
          <t>Web Store</t>
        </is>
      </c>
      <c r="I2738" t="n">
        <v>3</v>
      </c>
      <c r="J2738" s="3" t="n">
        <v>639.84</v>
      </c>
      <c r="K2738" s="3" t="n">
        <v>127.97</v>
      </c>
      <c r="L2738" s="3" t="n">
        <v>511.87</v>
      </c>
      <c r="M2738" s="3" t="n">
        <v>452.28</v>
      </c>
      <c r="N2738" s="3" t="n">
        <v>59.59</v>
      </c>
      <c r="O2738">
        <f>TEXT(A2738,"yyyy-mm")</f>
        <v/>
      </c>
    </row>
    <row r="2739">
      <c r="A2739" s="2" t="n">
        <v>45952</v>
      </c>
      <c r="B2739" t="n">
        <v>2025</v>
      </c>
      <c r="C2739" t="inlineStr">
        <is>
          <t>October</t>
        </is>
      </c>
      <c r="D2739" t="inlineStr">
        <is>
          <t>Essential Planter</t>
        </is>
      </c>
      <c r="E2739" t="inlineStr">
        <is>
          <t>Home &amp; Garden</t>
        </is>
      </c>
      <c r="F2739" t="inlineStr">
        <is>
          <t>Maria Garcia</t>
        </is>
      </c>
      <c r="G2739" t="inlineStr">
        <is>
          <t>Italy</t>
        </is>
      </c>
      <c r="H2739" t="inlineStr">
        <is>
          <t>Web Store</t>
        </is>
      </c>
      <c r="I2739" t="n">
        <v>1</v>
      </c>
      <c r="J2739" s="3" t="n">
        <v>26.57</v>
      </c>
      <c r="K2739" s="3" t="n">
        <v>0</v>
      </c>
      <c r="L2739" s="3" t="n">
        <v>26.57</v>
      </c>
      <c r="M2739" s="3" t="n">
        <v>19.64</v>
      </c>
      <c r="N2739" s="3" t="n">
        <v>6.93</v>
      </c>
      <c r="O2739">
        <f>TEXT(A2739,"yyyy-mm")</f>
        <v/>
      </c>
    </row>
    <row r="2740">
      <c r="A2740" s="2" t="n">
        <v>45952</v>
      </c>
      <c r="B2740" t="n">
        <v>2025</v>
      </c>
      <c r="C2740" t="inlineStr">
        <is>
          <t>October</t>
        </is>
      </c>
      <c r="D2740" t="inlineStr">
        <is>
          <t>Ultra Rug</t>
        </is>
      </c>
      <c r="E2740" t="inlineStr">
        <is>
          <t>Home &amp; Garden</t>
        </is>
      </c>
      <c r="F2740" t="inlineStr">
        <is>
          <t>Laura Muller</t>
        </is>
      </c>
      <c r="G2740" t="inlineStr">
        <is>
          <t>Italy</t>
        </is>
      </c>
      <c r="H2740" t="inlineStr">
        <is>
          <t>Web Store</t>
        </is>
      </c>
      <c r="I2740" t="n">
        <v>1</v>
      </c>
      <c r="J2740" s="3" t="n">
        <v>53.83</v>
      </c>
      <c r="K2740" s="3" t="n">
        <v>0</v>
      </c>
      <c r="L2740" s="3" t="n">
        <v>53.83</v>
      </c>
      <c r="M2740" s="3" t="n">
        <v>32.91</v>
      </c>
      <c r="N2740" s="3" t="n">
        <v>20.92</v>
      </c>
      <c r="O2740">
        <f>TEXT(A2740,"yyyy-mm")</f>
        <v/>
      </c>
    </row>
    <row r="2741">
      <c r="A2741" s="2" t="n">
        <v>45952</v>
      </c>
      <c r="B2741" t="n">
        <v>2025</v>
      </c>
      <c r="C2741" t="inlineStr">
        <is>
          <t>October</t>
        </is>
      </c>
      <c r="D2741" t="inlineStr">
        <is>
          <t>Wireless Drone</t>
        </is>
      </c>
      <c r="E2741" t="inlineStr">
        <is>
          <t>Toys &amp; Games</t>
        </is>
      </c>
      <c r="F2741" t="inlineStr">
        <is>
          <t>Laura Muller</t>
        </is>
      </c>
      <c r="G2741" t="inlineStr">
        <is>
          <t>Italy</t>
        </is>
      </c>
      <c r="H2741" t="inlineStr">
        <is>
          <t>Web Store</t>
        </is>
      </c>
      <c r="I2741" t="n">
        <v>2</v>
      </c>
      <c r="J2741" s="3" t="n">
        <v>459.16</v>
      </c>
      <c r="K2741" s="3" t="n">
        <v>0</v>
      </c>
      <c r="L2741" s="3" t="n">
        <v>459.16</v>
      </c>
      <c r="M2741" s="3" t="n">
        <v>262.58</v>
      </c>
      <c r="N2741" s="3" t="n">
        <v>196.58</v>
      </c>
      <c r="O2741">
        <f>TEXT(A2741,"yyyy-mm")</f>
        <v/>
      </c>
    </row>
    <row r="2742">
      <c r="A2742" s="2" t="n">
        <v>45952</v>
      </c>
      <c r="B2742" t="n">
        <v>2025</v>
      </c>
      <c r="C2742" t="inlineStr">
        <is>
          <t>October</t>
        </is>
      </c>
      <c r="D2742" t="inlineStr">
        <is>
          <t>Wireless Coffee Beans</t>
        </is>
      </c>
      <c r="E2742" t="inlineStr">
        <is>
          <t>Grocery</t>
        </is>
      </c>
      <c r="F2742" t="inlineStr">
        <is>
          <t>Olivia Bianchi</t>
        </is>
      </c>
      <c r="G2742" t="inlineStr">
        <is>
          <t>Poland</t>
        </is>
      </c>
      <c r="H2742" t="inlineStr">
        <is>
          <t>Web Store</t>
        </is>
      </c>
      <c r="I2742" t="n">
        <v>1</v>
      </c>
      <c r="J2742" s="3" t="n">
        <v>118.87</v>
      </c>
      <c r="K2742" s="3" t="n">
        <v>17.83</v>
      </c>
      <c r="L2742" s="3" t="n">
        <v>101.04</v>
      </c>
      <c r="M2742" s="3" t="n">
        <v>79.37</v>
      </c>
      <c r="N2742" s="3" t="n">
        <v>21.67</v>
      </c>
      <c r="O2742">
        <f>TEXT(A2742,"yyyy-mm")</f>
        <v/>
      </c>
    </row>
    <row r="2743">
      <c r="A2743" s="2" t="n">
        <v>45952</v>
      </c>
      <c r="B2743" t="n">
        <v>2025</v>
      </c>
      <c r="C2743" t="inlineStr">
        <is>
          <t>October</t>
        </is>
      </c>
      <c r="D2743" t="inlineStr">
        <is>
          <t>Classic Bike Helmet</t>
        </is>
      </c>
      <c r="E2743" t="inlineStr">
        <is>
          <t>Sports &amp; Outdoors</t>
        </is>
      </c>
      <c r="F2743" t="inlineStr">
        <is>
          <t>Sophie Wilson</t>
        </is>
      </c>
      <c r="G2743" t="inlineStr">
        <is>
          <t>Netherlands</t>
        </is>
      </c>
      <c r="H2743" t="inlineStr">
        <is>
          <t>Web Store</t>
        </is>
      </c>
      <c r="I2743" t="n">
        <v>5</v>
      </c>
      <c r="J2743" s="3" t="n">
        <v>1039.55</v>
      </c>
      <c r="K2743" s="3" t="n">
        <v>155.93</v>
      </c>
      <c r="L2743" s="3" t="n">
        <v>883.62</v>
      </c>
      <c r="M2743" s="3" t="n">
        <v>769.05</v>
      </c>
      <c r="N2743" s="3" t="n">
        <v>114.57</v>
      </c>
      <c r="O2743">
        <f>TEXT(A2743,"yyyy-mm")</f>
        <v/>
      </c>
    </row>
    <row r="2744">
      <c r="A2744" s="2" t="n">
        <v>45952</v>
      </c>
      <c r="B2744" t="n">
        <v>2025</v>
      </c>
      <c r="C2744" t="inlineStr">
        <is>
          <t>October</t>
        </is>
      </c>
      <c r="D2744" t="inlineStr">
        <is>
          <t>Classic Tent</t>
        </is>
      </c>
      <c r="E2744" t="inlineStr">
        <is>
          <t>Sports &amp; Outdoors</t>
        </is>
      </c>
      <c r="F2744" t="inlineStr">
        <is>
          <t>Laura Muller</t>
        </is>
      </c>
      <c r="G2744" t="inlineStr">
        <is>
          <t>Italy</t>
        </is>
      </c>
      <c r="H2744" t="inlineStr">
        <is>
          <t>Web Store</t>
        </is>
      </c>
      <c r="I2744" t="n">
        <v>5</v>
      </c>
      <c r="J2744" s="3" t="n">
        <v>1072.6</v>
      </c>
      <c r="K2744" s="3" t="n">
        <v>0</v>
      </c>
      <c r="L2744" s="3" t="n">
        <v>1072.6</v>
      </c>
      <c r="M2744" s="3" t="n">
        <v>590.1</v>
      </c>
      <c r="N2744" s="3" t="n">
        <v>482.5</v>
      </c>
      <c r="O2744">
        <f>TEXT(A2744,"yyyy-mm")</f>
        <v/>
      </c>
    </row>
    <row r="2745">
      <c r="A2745" s="2" t="n">
        <v>45952</v>
      </c>
      <c r="B2745" t="n">
        <v>2025</v>
      </c>
      <c r="C2745" t="inlineStr">
        <is>
          <t>October</t>
        </is>
      </c>
      <c r="D2745" t="inlineStr">
        <is>
          <t>Eco Backpack</t>
        </is>
      </c>
      <c r="E2745" t="inlineStr">
        <is>
          <t>Sports &amp; Outdoors</t>
        </is>
      </c>
      <c r="F2745" t="inlineStr">
        <is>
          <t>Sophie Wilson</t>
        </is>
      </c>
      <c r="G2745" t="inlineStr">
        <is>
          <t>Netherlands</t>
        </is>
      </c>
      <c r="H2745" t="inlineStr">
        <is>
          <t>Web Store</t>
        </is>
      </c>
      <c r="I2745" t="n">
        <v>5</v>
      </c>
      <c r="J2745" s="3" t="n">
        <v>1279.35</v>
      </c>
      <c r="K2745" s="3" t="n">
        <v>191.9</v>
      </c>
      <c r="L2745" s="3" t="n">
        <v>1087.45</v>
      </c>
      <c r="M2745" s="3" t="n">
        <v>732.9</v>
      </c>
      <c r="N2745" s="3" t="n">
        <v>354.55</v>
      </c>
      <c r="O2745">
        <f>TEXT(A2745,"yyyy-mm")</f>
        <v/>
      </c>
    </row>
    <row r="2746">
      <c r="A2746" s="2" t="n">
        <v>45952</v>
      </c>
      <c r="B2746" t="n">
        <v>2025</v>
      </c>
      <c r="C2746" t="inlineStr">
        <is>
          <t>October</t>
        </is>
      </c>
      <c r="D2746" t="inlineStr">
        <is>
          <t>Premium Water Bottle</t>
        </is>
      </c>
      <c r="E2746" t="inlineStr">
        <is>
          <t>Sports &amp; Outdoors</t>
        </is>
      </c>
      <c r="F2746" t="inlineStr">
        <is>
          <t>Olivia Bianchi</t>
        </is>
      </c>
      <c r="G2746" t="inlineStr">
        <is>
          <t>Poland</t>
        </is>
      </c>
      <c r="H2746" t="inlineStr">
        <is>
          <t>Web Store</t>
        </is>
      </c>
      <c r="I2746" t="n">
        <v>5</v>
      </c>
      <c r="J2746" s="3" t="n">
        <v>1530.65</v>
      </c>
      <c r="K2746" s="3" t="n">
        <v>76.53</v>
      </c>
      <c r="L2746" s="3" t="n">
        <v>1454.12</v>
      </c>
      <c r="M2746" s="3" t="n">
        <v>905.8</v>
      </c>
      <c r="N2746" s="3" t="n">
        <v>548.3200000000001</v>
      </c>
      <c r="O2746">
        <f>TEXT(A2746,"yyyy-mm")</f>
        <v/>
      </c>
    </row>
    <row r="2747">
      <c r="A2747" s="2" t="n">
        <v>45952</v>
      </c>
      <c r="B2747" t="n">
        <v>2025</v>
      </c>
      <c r="C2747" t="inlineStr">
        <is>
          <t>October</t>
        </is>
      </c>
      <c r="D2747" t="inlineStr">
        <is>
          <t>Essential Rug</t>
        </is>
      </c>
      <c r="E2747" t="inlineStr">
        <is>
          <t>Home &amp; Garden</t>
        </is>
      </c>
      <c r="F2747" t="inlineStr">
        <is>
          <t>Emma Schmidt</t>
        </is>
      </c>
      <c r="G2747" t="inlineStr">
        <is>
          <t>United States</t>
        </is>
      </c>
      <c r="H2747" t="inlineStr">
        <is>
          <t>Marketplace</t>
        </is>
      </c>
      <c r="I2747" t="n">
        <v>3</v>
      </c>
      <c r="J2747" s="3" t="n">
        <v>405.87</v>
      </c>
      <c r="K2747" s="3" t="n">
        <v>40.59</v>
      </c>
      <c r="L2747" s="3" t="n">
        <v>365.28</v>
      </c>
      <c r="M2747" s="3" t="n">
        <v>228.99</v>
      </c>
      <c r="N2747" s="3" t="n">
        <v>136.29</v>
      </c>
      <c r="O2747">
        <f>TEXT(A2747,"yyyy-mm")</f>
        <v/>
      </c>
    </row>
    <row r="2748">
      <c r="A2748" s="2" t="n">
        <v>45952</v>
      </c>
      <c r="B2748" t="n">
        <v>2025</v>
      </c>
      <c r="C2748" t="inlineStr">
        <is>
          <t>October</t>
        </is>
      </c>
      <c r="D2748" t="inlineStr">
        <is>
          <t>Essential Pasta</t>
        </is>
      </c>
      <c r="E2748" t="inlineStr">
        <is>
          <t>Grocery</t>
        </is>
      </c>
      <c r="F2748" t="inlineStr">
        <is>
          <t>Olivia Bianchi</t>
        </is>
      </c>
      <c r="G2748" t="inlineStr">
        <is>
          <t>Poland</t>
        </is>
      </c>
      <c r="H2748" t="inlineStr">
        <is>
          <t>Web Store</t>
        </is>
      </c>
      <c r="I2748" t="n">
        <v>4</v>
      </c>
      <c r="J2748" s="3" t="n">
        <v>233.8</v>
      </c>
      <c r="K2748" s="3" t="n">
        <v>0</v>
      </c>
      <c r="L2748" s="3" t="n">
        <v>233.8</v>
      </c>
      <c r="M2748" s="3" t="n">
        <v>143.24</v>
      </c>
      <c r="N2748" s="3" t="n">
        <v>90.56</v>
      </c>
      <c r="O2748">
        <f>TEXT(A2748,"yyyy-mm")</f>
        <v/>
      </c>
    </row>
    <row r="2749">
      <c r="A2749" s="2" t="n">
        <v>45953</v>
      </c>
      <c r="B2749" t="n">
        <v>2025</v>
      </c>
      <c r="C2749" t="inlineStr">
        <is>
          <t>October</t>
        </is>
      </c>
      <c r="D2749" t="inlineStr">
        <is>
          <t>Premium Water Bottle</t>
        </is>
      </c>
      <c r="E2749" t="inlineStr">
        <is>
          <t>Sports &amp; Outdoors</t>
        </is>
      </c>
      <c r="F2749" t="inlineStr">
        <is>
          <t>Michael Weber</t>
        </is>
      </c>
      <c r="G2749" t="inlineStr">
        <is>
          <t>France</t>
        </is>
      </c>
      <c r="H2749" t="inlineStr">
        <is>
          <t>Marketplace</t>
        </is>
      </c>
      <c r="I2749" t="n">
        <v>2</v>
      </c>
      <c r="J2749" s="3" t="n">
        <v>56.76</v>
      </c>
      <c r="K2749" s="3" t="n">
        <v>8.51</v>
      </c>
      <c r="L2749" s="3" t="n">
        <v>48.25</v>
      </c>
      <c r="M2749" s="3" t="n">
        <v>33.26</v>
      </c>
      <c r="N2749" s="3" t="n">
        <v>14.99</v>
      </c>
      <c r="O2749">
        <f>TEXT(A2749,"yyyy-mm")</f>
        <v/>
      </c>
    </row>
    <row r="2750">
      <c r="A2750" s="2" t="n">
        <v>45953</v>
      </c>
      <c r="B2750" t="n">
        <v>2025</v>
      </c>
      <c r="C2750" t="inlineStr">
        <is>
          <t>October</t>
        </is>
      </c>
      <c r="D2750" t="inlineStr">
        <is>
          <t>Essential Pasta</t>
        </is>
      </c>
      <c r="E2750" t="inlineStr">
        <is>
          <t>Grocery</t>
        </is>
      </c>
      <c r="F2750" t="inlineStr">
        <is>
          <t>Michael Weber</t>
        </is>
      </c>
      <c r="G2750" t="inlineStr">
        <is>
          <t>France</t>
        </is>
      </c>
      <c r="H2750" t="inlineStr">
        <is>
          <t>Marketplace</t>
        </is>
      </c>
      <c r="I2750" t="n">
        <v>5</v>
      </c>
      <c r="J2750" s="3" t="n">
        <v>292.35</v>
      </c>
      <c r="K2750" s="3" t="n">
        <v>29.24</v>
      </c>
      <c r="L2750" s="3" t="n">
        <v>263.12</v>
      </c>
      <c r="M2750" s="3" t="n">
        <v>179.05</v>
      </c>
      <c r="N2750" s="3" t="n">
        <v>84.06</v>
      </c>
      <c r="O2750">
        <f>TEXT(A2750,"yyyy-mm")</f>
        <v/>
      </c>
    </row>
    <row r="2751">
      <c r="A2751" s="2" t="n">
        <v>45953</v>
      </c>
      <c r="B2751" t="n">
        <v>2025</v>
      </c>
      <c r="C2751" t="inlineStr">
        <is>
          <t>October</t>
        </is>
      </c>
      <c r="D2751" t="inlineStr">
        <is>
          <t>Compact Pasta</t>
        </is>
      </c>
      <c r="E2751" t="inlineStr">
        <is>
          <t>Grocery</t>
        </is>
      </c>
      <c r="F2751" t="inlineStr">
        <is>
          <t>Michael Weber</t>
        </is>
      </c>
      <c r="G2751" t="inlineStr">
        <is>
          <t>France</t>
        </is>
      </c>
      <c r="H2751" t="inlineStr">
        <is>
          <t>Marketplace</t>
        </is>
      </c>
      <c r="I2751" t="n">
        <v>5</v>
      </c>
      <c r="J2751" s="3" t="n">
        <v>1626.85</v>
      </c>
      <c r="K2751" s="3" t="n">
        <v>162.68</v>
      </c>
      <c r="L2751" s="3" t="n">
        <v>1464.16</v>
      </c>
      <c r="M2751" s="3" t="n">
        <v>997</v>
      </c>
      <c r="N2751" s="3" t="n">
        <v>467.16</v>
      </c>
      <c r="O2751">
        <f>TEXT(A2751,"yyyy-mm")</f>
        <v/>
      </c>
    </row>
    <row r="2752">
      <c r="A2752" s="2" t="n">
        <v>45953</v>
      </c>
      <c r="B2752" t="n">
        <v>2025</v>
      </c>
      <c r="C2752" t="inlineStr">
        <is>
          <t>October</t>
        </is>
      </c>
      <c r="D2752" t="inlineStr">
        <is>
          <t>Smart Puzzle</t>
        </is>
      </c>
      <c r="E2752" t="inlineStr">
        <is>
          <t>Toys &amp; Games</t>
        </is>
      </c>
      <c r="F2752" t="inlineStr">
        <is>
          <t>Thomas Brown</t>
        </is>
      </c>
      <c r="G2752" t="inlineStr">
        <is>
          <t>France</t>
        </is>
      </c>
      <c r="H2752" t="inlineStr">
        <is>
          <t>Web Store</t>
        </is>
      </c>
      <c r="I2752" t="n">
        <v>5</v>
      </c>
      <c r="J2752" s="3" t="n">
        <v>1332.1</v>
      </c>
      <c r="K2752" s="3" t="n">
        <v>0</v>
      </c>
      <c r="L2752" s="3" t="n">
        <v>1332.1</v>
      </c>
      <c r="M2752" s="3" t="n">
        <v>963.8</v>
      </c>
      <c r="N2752" s="3" t="n">
        <v>368.3</v>
      </c>
      <c r="O2752">
        <f>TEXT(A2752,"yyyy-mm")</f>
        <v/>
      </c>
    </row>
    <row r="2753">
      <c r="A2753" s="2" t="n">
        <v>45953</v>
      </c>
      <c r="B2753" t="n">
        <v>2025</v>
      </c>
      <c r="C2753" t="inlineStr">
        <is>
          <t>October</t>
        </is>
      </c>
      <c r="D2753" t="inlineStr">
        <is>
          <t>Smart Camera</t>
        </is>
      </c>
      <c r="E2753" t="inlineStr">
        <is>
          <t>Electronics</t>
        </is>
      </c>
      <c r="F2753" t="inlineStr">
        <is>
          <t>Thomas Brown</t>
        </is>
      </c>
      <c r="G2753" t="inlineStr">
        <is>
          <t>France</t>
        </is>
      </c>
      <c r="H2753" t="inlineStr">
        <is>
          <t>Web Store</t>
        </is>
      </c>
      <c r="I2753" t="n">
        <v>3</v>
      </c>
      <c r="J2753" s="3" t="n">
        <v>354.12</v>
      </c>
      <c r="K2753" s="3" t="n">
        <v>35.41</v>
      </c>
      <c r="L2753" s="3" t="n">
        <v>318.71</v>
      </c>
      <c r="M2753" s="3" t="n">
        <v>256.74</v>
      </c>
      <c r="N2753" s="3" t="n">
        <v>61.97</v>
      </c>
      <c r="O2753">
        <f>TEXT(A2753,"yyyy-mm")</f>
        <v/>
      </c>
    </row>
    <row r="2754">
      <c r="A2754" s="2" t="n">
        <v>45953</v>
      </c>
      <c r="B2754" t="n">
        <v>2025</v>
      </c>
      <c r="C2754" t="inlineStr">
        <is>
          <t>October</t>
        </is>
      </c>
      <c r="D2754" t="inlineStr">
        <is>
          <t>Classic Tea Set</t>
        </is>
      </c>
      <c r="E2754" t="inlineStr">
        <is>
          <t>Grocery</t>
        </is>
      </c>
      <c r="F2754" t="inlineStr">
        <is>
          <t>Thomas Brown</t>
        </is>
      </c>
      <c r="G2754" t="inlineStr">
        <is>
          <t>France</t>
        </is>
      </c>
      <c r="H2754" t="inlineStr">
        <is>
          <t>Web Store</t>
        </is>
      </c>
      <c r="I2754" t="n">
        <v>2</v>
      </c>
      <c r="J2754" s="3" t="n">
        <v>355.62</v>
      </c>
      <c r="K2754" s="3" t="n">
        <v>53.34</v>
      </c>
      <c r="L2754" s="3" t="n">
        <v>302.28</v>
      </c>
      <c r="M2754" s="3" t="n">
        <v>250.8</v>
      </c>
      <c r="N2754" s="3" t="n">
        <v>51.48</v>
      </c>
      <c r="O2754">
        <f>TEXT(A2754,"yyyy-mm")</f>
        <v/>
      </c>
    </row>
    <row r="2755">
      <c r="A2755" s="2" t="n">
        <v>45953</v>
      </c>
      <c r="B2755" t="n">
        <v>2025</v>
      </c>
      <c r="C2755" t="inlineStr">
        <is>
          <t>October</t>
        </is>
      </c>
      <c r="D2755" t="inlineStr">
        <is>
          <t>Smart Board Game</t>
        </is>
      </c>
      <c r="E2755" t="inlineStr">
        <is>
          <t>Toys &amp; Games</t>
        </is>
      </c>
      <c r="F2755" t="inlineStr">
        <is>
          <t>James Smith</t>
        </is>
      </c>
      <c r="G2755" t="inlineStr">
        <is>
          <t>Italy</t>
        </is>
      </c>
      <c r="H2755" t="inlineStr">
        <is>
          <t>Marketplace</t>
        </is>
      </c>
      <c r="I2755" t="n">
        <v>3</v>
      </c>
      <c r="J2755" s="3" t="n">
        <v>395.4</v>
      </c>
      <c r="K2755" s="3" t="n">
        <v>0</v>
      </c>
      <c r="L2755" s="3" t="n">
        <v>395.4</v>
      </c>
      <c r="M2755" s="3" t="n">
        <v>275.16</v>
      </c>
      <c r="N2755" s="3" t="n">
        <v>120.24</v>
      </c>
      <c r="O2755">
        <f>TEXT(A2755,"yyyy-mm")</f>
        <v/>
      </c>
    </row>
    <row r="2756">
      <c r="A2756" s="2" t="n">
        <v>45953</v>
      </c>
      <c r="B2756" t="n">
        <v>2025</v>
      </c>
      <c r="C2756" t="inlineStr">
        <is>
          <t>October</t>
        </is>
      </c>
      <c r="D2756" t="inlineStr">
        <is>
          <t>Eco Drone</t>
        </is>
      </c>
      <c r="E2756" t="inlineStr">
        <is>
          <t>Toys &amp; Games</t>
        </is>
      </c>
      <c r="F2756" t="inlineStr">
        <is>
          <t>James Smith</t>
        </is>
      </c>
      <c r="G2756" t="inlineStr">
        <is>
          <t>Italy</t>
        </is>
      </c>
      <c r="H2756" t="inlineStr">
        <is>
          <t>Marketplace</t>
        </is>
      </c>
      <c r="I2756" t="n">
        <v>3</v>
      </c>
      <c r="J2756" s="3" t="n">
        <v>583.08</v>
      </c>
      <c r="K2756" s="3" t="n">
        <v>87.45999999999999</v>
      </c>
      <c r="L2756" s="3" t="n">
        <v>495.62</v>
      </c>
      <c r="M2756" s="3" t="n">
        <v>388.77</v>
      </c>
      <c r="N2756" s="3" t="n">
        <v>106.85</v>
      </c>
      <c r="O2756">
        <f>TEXT(A2756,"yyyy-mm")</f>
        <v/>
      </c>
    </row>
    <row r="2757">
      <c r="A2757" s="2" t="n">
        <v>45953</v>
      </c>
      <c r="B2757" t="n">
        <v>2025</v>
      </c>
      <c r="C2757" t="inlineStr">
        <is>
          <t>October</t>
        </is>
      </c>
      <c r="D2757" t="inlineStr">
        <is>
          <t>Deluxe Cookbook</t>
        </is>
      </c>
      <c r="E2757" t="inlineStr">
        <is>
          <t>Books</t>
        </is>
      </c>
      <c r="F2757" t="inlineStr">
        <is>
          <t>Clara Dubois</t>
        </is>
      </c>
      <c r="G2757" t="inlineStr">
        <is>
          <t>Poland</t>
        </is>
      </c>
      <c r="H2757" t="inlineStr">
        <is>
          <t>Web Store</t>
        </is>
      </c>
      <c r="I2757" t="n">
        <v>5</v>
      </c>
      <c r="J2757" s="3" t="n">
        <v>709.4</v>
      </c>
      <c r="K2757" s="3" t="n">
        <v>141.88</v>
      </c>
      <c r="L2757" s="3" t="n">
        <v>567.52</v>
      </c>
      <c r="M2757" s="3" t="n">
        <v>426.35</v>
      </c>
      <c r="N2757" s="3" t="n">
        <v>141.17</v>
      </c>
      <c r="O2757">
        <f>TEXT(A2757,"yyyy-mm")</f>
        <v/>
      </c>
    </row>
    <row r="2758">
      <c r="A2758" s="2" t="n">
        <v>45953</v>
      </c>
      <c r="B2758" t="n">
        <v>2025</v>
      </c>
      <c r="C2758" t="inlineStr">
        <is>
          <t>October</t>
        </is>
      </c>
      <c r="D2758" t="inlineStr">
        <is>
          <t>Essential Planter</t>
        </is>
      </c>
      <c r="E2758" t="inlineStr">
        <is>
          <t>Home &amp; Garden</t>
        </is>
      </c>
      <c r="F2758" t="inlineStr">
        <is>
          <t>Clara Dubois</t>
        </is>
      </c>
      <c r="G2758" t="inlineStr">
        <is>
          <t>Poland</t>
        </is>
      </c>
      <c r="H2758" t="inlineStr">
        <is>
          <t>Web Store</t>
        </is>
      </c>
      <c r="I2758" t="n">
        <v>1</v>
      </c>
      <c r="J2758" s="3" t="n">
        <v>24.34</v>
      </c>
      <c r="K2758" s="3" t="n">
        <v>0</v>
      </c>
      <c r="L2758" s="3" t="n">
        <v>24.34</v>
      </c>
      <c r="M2758" s="3" t="n">
        <v>19.64</v>
      </c>
      <c r="N2758" s="3" t="n">
        <v>4.7</v>
      </c>
      <c r="O2758">
        <f>TEXT(A2758,"yyyy-mm")</f>
        <v/>
      </c>
    </row>
    <row r="2759">
      <c r="A2759" s="2" t="n">
        <v>45953</v>
      </c>
      <c r="B2759" t="n">
        <v>2025</v>
      </c>
      <c r="C2759" t="inlineStr">
        <is>
          <t>October</t>
        </is>
      </c>
      <c r="D2759" t="inlineStr">
        <is>
          <t>Premium Water Bottle</t>
        </is>
      </c>
      <c r="E2759" t="inlineStr">
        <is>
          <t>Sports &amp; Outdoors</t>
        </is>
      </c>
      <c r="F2759" t="inlineStr">
        <is>
          <t>Clara Dubois</t>
        </is>
      </c>
      <c r="G2759" t="inlineStr">
        <is>
          <t>Poland</t>
        </is>
      </c>
      <c r="H2759" t="inlineStr">
        <is>
          <t>Web Store</t>
        </is>
      </c>
      <c r="I2759" t="n">
        <v>4</v>
      </c>
      <c r="J2759" s="3" t="n">
        <v>477.8</v>
      </c>
      <c r="K2759" s="3" t="n">
        <v>0</v>
      </c>
      <c r="L2759" s="3" t="n">
        <v>477.8</v>
      </c>
      <c r="M2759" s="3" t="n">
        <v>358.48</v>
      </c>
      <c r="N2759" s="3" t="n">
        <v>119.32</v>
      </c>
      <c r="O2759">
        <f>TEXT(A2759,"yyyy-mm")</f>
        <v/>
      </c>
    </row>
    <row r="2760">
      <c r="A2760" s="2" t="n">
        <v>45954</v>
      </c>
      <c r="B2760" t="n">
        <v>2025</v>
      </c>
      <c r="C2760" t="inlineStr">
        <is>
          <t>October</t>
        </is>
      </c>
      <c r="D2760" t="inlineStr">
        <is>
          <t>Premium Water Bottle</t>
        </is>
      </c>
      <c r="E2760" t="inlineStr">
        <is>
          <t>Sports &amp; Outdoors</t>
        </is>
      </c>
      <c r="F2760" t="inlineStr">
        <is>
          <t>Emma Schmidt</t>
        </is>
      </c>
      <c r="G2760" t="inlineStr">
        <is>
          <t>United States</t>
        </is>
      </c>
      <c r="H2760" t="inlineStr">
        <is>
          <t>Web Store</t>
        </is>
      </c>
      <c r="I2760" t="n">
        <v>2</v>
      </c>
      <c r="J2760" s="3" t="n">
        <v>248.04</v>
      </c>
      <c r="K2760" s="3" t="n">
        <v>37.21</v>
      </c>
      <c r="L2760" s="3" t="n">
        <v>210.83</v>
      </c>
      <c r="M2760" s="3" t="n">
        <v>179.24</v>
      </c>
      <c r="N2760" s="3" t="n">
        <v>31.59</v>
      </c>
      <c r="O2760">
        <f>TEXT(A2760,"yyyy-mm")</f>
        <v/>
      </c>
    </row>
    <row r="2761">
      <c r="A2761" s="2" t="n">
        <v>45955</v>
      </c>
      <c r="B2761" t="n">
        <v>2025</v>
      </c>
      <c r="C2761" t="inlineStr">
        <is>
          <t>October</t>
        </is>
      </c>
      <c r="D2761" t="inlineStr">
        <is>
          <t>Essential Notebook</t>
        </is>
      </c>
      <c r="E2761" t="inlineStr">
        <is>
          <t>Books</t>
        </is>
      </c>
      <c r="F2761" t="inlineStr">
        <is>
          <t>Emily Muller</t>
        </is>
      </c>
      <c r="G2761" t="inlineStr">
        <is>
          <t>Netherlands</t>
        </is>
      </c>
      <c r="H2761" t="inlineStr">
        <is>
          <t>Marketplace</t>
        </is>
      </c>
      <c r="I2761" t="n">
        <v>3</v>
      </c>
      <c r="J2761" s="3" t="n">
        <v>343.65</v>
      </c>
      <c r="K2761" s="3" t="n">
        <v>0</v>
      </c>
      <c r="L2761" s="3" t="n">
        <v>343.65</v>
      </c>
      <c r="M2761" s="3" t="n">
        <v>237.3</v>
      </c>
      <c r="N2761" s="3" t="n">
        <v>106.35</v>
      </c>
      <c r="O2761">
        <f>TEXT(A2761,"yyyy-mm")</f>
        <v/>
      </c>
    </row>
    <row r="2762">
      <c r="A2762" s="2" t="n">
        <v>45955</v>
      </c>
      <c r="B2762" t="n">
        <v>2025</v>
      </c>
      <c r="C2762" t="inlineStr">
        <is>
          <t>October</t>
        </is>
      </c>
      <c r="D2762" t="inlineStr">
        <is>
          <t>Essential Planter</t>
        </is>
      </c>
      <c r="E2762" t="inlineStr">
        <is>
          <t>Home &amp; Garden</t>
        </is>
      </c>
      <c r="F2762" t="inlineStr">
        <is>
          <t>Emily Muller</t>
        </is>
      </c>
      <c r="G2762" t="inlineStr">
        <is>
          <t>Netherlands</t>
        </is>
      </c>
      <c r="H2762" t="inlineStr">
        <is>
          <t>Marketplace</t>
        </is>
      </c>
      <c r="I2762" t="n">
        <v>2</v>
      </c>
      <c r="J2762" s="3" t="n">
        <v>49.88</v>
      </c>
      <c r="K2762" s="3" t="n">
        <v>0</v>
      </c>
      <c r="L2762" s="3" t="n">
        <v>49.88</v>
      </c>
      <c r="M2762" s="3" t="n">
        <v>39.28</v>
      </c>
      <c r="N2762" s="3" t="n">
        <v>10.6</v>
      </c>
      <c r="O2762">
        <f>TEXT(A2762,"yyyy-mm")</f>
        <v/>
      </c>
    </row>
    <row r="2763">
      <c r="A2763" s="2" t="n">
        <v>45955</v>
      </c>
      <c r="B2763" t="n">
        <v>2025</v>
      </c>
      <c r="C2763" t="inlineStr">
        <is>
          <t>October</t>
        </is>
      </c>
      <c r="D2763" t="inlineStr">
        <is>
          <t>Premium Tent</t>
        </is>
      </c>
      <c r="E2763" t="inlineStr">
        <is>
          <t>Sports &amp; Outdoors</t>
        </is>
      </c>
      <c r="F2763" t="inlineStr">
        <is>
          <t>Emily Muller</t>
        </is>
      </c>
      <c r="G2763" t="inlineStr">
        <is>
          <t>Netherlands</t>
        </is>
      </c>
      <c r="H2763" t="inlineStr">
        <is>
          <t>Marketplace</t>
        </is>
      </c>
      <c r="I2763" t="n">
        <v>5</v>
      </c>
      <c r="J2763" s="3" t="n">
        <v>1293.3</v>
      </c>
      <c r="K2763" s="3" t="n">
        <v>258.66</v>
      </c>
      <c r="L2763" s="3" t="n">
        <v>1034.64</v>
      </c>
      <c r="M2763" s="3" t="n">
        <v>826.55</v>
      </c>
      <c r="N2763" s="3" t="n">
        <v>208.09</v>
      </c>
      <c r="O2763">
        <f>TEXT(A2763,"yyyy-mm")</f>
        <v/>
      </c>
    </row>
    <row r="2764">
      <c r="A2764" s="2" t="n">
        <v>45955</v>
      </c>
      <c r="B2764" t="n">
        <v>2025</v>
      </c>
      <c r="C2764" t="inlineStr">
        <is>
          <t>October</t>
        </is>
      </c>
      <c r="D2764" t="inlineStr">
        <is>
          <t>Wireless Honey</t>
        </is>
      </c>
      <c r="E2764" t="inlineStr">
        <is>
          <t>Grocery</t>
        </is>
      </c>
      <c r="F2764" t="inlineStr">
        <is>
          <t>Sophie Zielinski</t>
        </is>
      </c>
      <c r="G2764" t="inlineStr">
        <is>
          <t>Spain</t>
        </is>
      </c>
      <c r="H2764" t="inlineStr">
        <is>
          <t>Web Store</t>
        </is>
      </c>
      <c r="I2764" t="n">
        <v>3</v>
      </c>
      <c r="J2764" s="3" t="n">
        <v>407.04</v>
      </c>
      <c r="K2764" s="3" t="n">
        <v>81.41</v>
      </c>
      <c r="L2764" s="3" t="n">
        <v>325.63</v>
      </c>
      <c r="M2764" s="3" t="n">
        <v>282.21</v>
      </c>
      <c r="N2764" s="3" t="n">
        <v>43.42</v>
      </c>
      <c r="O2764">
        <f>TEXT(A2764,"yyyy-mm")</f>
        <v/>
      </c>
    </row>
    <row r="2765">
      <c r="A2765" s="2" t="n">
        <v>45955</v>
      </c>
      <c r="B2765" t="n">
        <v>2025</v>
      </c>
      <c r="C2765" t="inlineStr">
        <is>
          <t>October</t>
        </is>
      </c>
      <c r="D2765" t="inlineStr">
        <is>
          <t>Smart Jeans</t>
        </is>
      </c>
      <c r="E2765" t="inlineStr">
        <is>
          <t>Clothing</t>
        </is>
      </c>
      <c r="F2765" t="inlineStr">
        <is>
          <t>Sophie Zielinski</t>
        </is>
      </c>
      <c r="G2765" t="inlineStr">
        <is>
          <t>Spain</t>
        </is>
      </c>
      <c r="H2765" t="inlineStr">
        <is>
          <t>Web Store</t>
        </is>
      </c>
      <c r="I2765" t="n">
        <v>5</v>
      </c>
      <c r="J2765" s="3" t="n">
        <v>1420.75</v>
      </c>
      <c r="K2765" s="3" t="n">
        <v>71.04000000000001</v>
      </c>
      <c r="L2765" s="3" t="n">
        <v>1349.71</v>
      </c>
      <c r="M2765" s="3" t="n">
        <v>968.2</v>
      </c>
      <c r="N2765" s="3" t="n">
        <v>381.51</v>
      </c>
      <c r="O2765">
        <f>TEXT(A2765,"yyyy-mm")</f>
        <v/>
      </c>
    </row>
    <row r="2766">
      <c r="A2766" s="2" t="n">
        <v>45955</v>
      </c>
      <c r="B2766" t="n">
        <v>2025</v>
      </c>
      <c r="C2766" t="inlineStr">
        <is>
          <t>October</t>
        </is>
      </c>
      <c r="D2766" t="inlineStr">
        <is>
          <t>Portable Tea Set</t>
        </is>
      </c>
      <c r="E2766" t="inlineStr">
        <is>
          <t>Grocery</t>
        </is>
      </c>
      <c r="F2766" t="inlineStr">
        <is>
          <t>Sophie Zielinski</t>
        </is>
      </c>
      <c r="G2766" t="inlineStr">
        <is>
          <t>Spain</t>
        </is>
      </c>
      <c r="H2766" t="inlineStr">
        <is>
          <t>Web Store</t>
        </is>
      </c>
      <c r="I2766" t="n">
        <v>3</v>
      </c>
      <c r="J2766" s="3" t="n">
        <v>790.74</v>
      </c>
      <c r="K2766" s="3" t="n">
        <v>158.15</v>
      </c>
      <c r="L2766" s="3" t="n">
        <v>632.59</v>
      </c>
      <c r="M2766" s="3" t="n">
        <v>564.36</v>
      </c>
      <c r="N2766" s="3" t="n">
        <v>68.23</v>
      </c>
      <c r="O2766">
        <f>TEXT(A2766,"yyyy-mm")</f>
        <v/>
      </c>
    </row>
    <row r="2767">
      <c r="A2767" s="2" t="n">
        <v>45955</v>
      </c>
      <c r="B2767" t="n">
        <v>2025</v>
      </c>
      <c r="C2767" t="inlineStr">
        <is>
          <t>October</t>
        </is>
      </c>
      <c r="D2767" t="inlineStr">
        <is>
          <t>Premium Water Bottle</t>
        </is>
      </c>
      <c r="E2767" t="inlineStr">
        <is>
          <t>Sports &amp; Outdoors</t>
        </is>
      </c>
      <c r="F2767" t="inlineStr">
        <is>
          <t>Sophie Zielinski</t>
        </is>
      </c>
      <c r="G2767" t="inlineStr">
        <is>
          <t>Spain</t>
        </is>
      </c>
      <c r="H2767" t="inlineStr">
        <is>
          <t>Web Store</t>
        </is>
      </c>
      <c r="I2767" t="n">
        <v>5</v>
      </c>
      <c r="J2767" s="3" t="n">
        <v>614.35</v>
      </c>
      <c r="K2767" s="3" t="n">
        <v>0</v>
      </c>
      <c r="L2767" s="3" t="n">
        <v>614.35</v>
      </c>
      <c r="M2767" s="3" t="n">
        <v>448.1</v>
      </c>
      <c r="N2767" s="3" t="n">
        <v>166.25</v>
      </c>
      <c r="O2767">
        <f>TEXT(A2767,"yyyy-mm")</f>
        <v/>
      </c>
    </row>
    <row r="2768">
      <c r="A2768" s="2" t="n">
        <v>45957</v>
      </c>
      <c r="B2768" t="n">
        <v>2025</v>
      </c>
      <c r="C2768" t="inlineStr">
        <is>
          <t>October</t>
        </is>
      </c>
      <c r="D2768" t="inlineStr">
        <is>
          <t>Compact Pasta</t>
        </is>
      </c>
      <c r="E2768" t="inlineStr">
        <is>
          <t>Grocery</t>
        </is>
      </c>
      <c r="F2768" t="inlineStr">
        <is>
          <t>Laura Lopez</t>
        </is>
      </c>
      <c r="G2768" t="inlineStr">
        <is>
          <t>United States</t>
        </is>
      </c>
      <c r="H2768" t="inlineStr">
        <is>
          <t>Web Store</t>
        </is>
      </c>
      <c r="I2768" t="n">
        <v>4</v>
      </c>
      <c r="J2768" s="3" t="n">
        <v>1264.16</v>
      </c>
      <c r="K2768" s="3" t="n">
        <v>63.21</v>
      </c>
      <c r="L2768" s="3" t="n">
        <v>1200.95</v>
      </c>
      <c r="M2768" s="3" t="n">
        <v>797.6</v>
      </c>
      <c r="N2768" s="3" t="n">
        <v>403.35</v>
      </c>
      <c r="O2768">
        <f>TEXT(A2768,"yyyy-mm")</f>
        <v/>
      </c>
    </row>
    <row r="2769">
      <c r="A2769" s="2" t="n">
        <v>45957</v>
      </c>
      <c r="B2769" t="n">
        <v>2025</v>
      </c>
      <c r="C2769" t="inlineStr">
        <is>
          <t>October</t>
        </is>
      </c>
      <c r="D2769" t="inlineStr">
        <is>
          <t>Essential Rug</t>
        </is>
      </c>
      <c r="E2769" t="inlineStr">
        <is>
          <t>Home &amp; Garden</t>
        </is>
      </c>
      <c r="F2769" t="inlineStr">
        <is>
          <t>David Weber</t>
        </is>
      </c>
      <c r="G2769" t="inlineStr">
        <is>
          <t>Germany</t>
        </is>
      </c>
      <c r="H2769" t="inlineStr">
        <is>
          <t>Mobile App</t>
        </is>
      </c>
      <c r="I2769" t="n">
        <v>5</v>
      </c>
      <c r="J2769" s="3" t="n">
        <v>645.1</v>
      </c>
      <c r="K2769" s="3" t="n">
        <v>129.02</v>
      </c>
      <c r="L2769" s="3" t="n">
        <v>516.08</v>
      </c>
      <c r="M2769" s="3" t="n">
        <v>381.65</v>
      </c>
      <c r="N2769" s="3" t="n">
        <v>134.43</v>
      </c>
      <c r="O2769">
        <f>TEXT(A2769,"yyyy-mm")</f>
        <v/>
      </c>
    </row>
    <row r="2770">
      <c r="A2770" s="2" t="n">
        <v>45957</v>
      </c>
      <c r="B2770" t="n">
        <v>2025</v>
      </c>
      <c r="C2770" t="inlineStr">
        <is>
          <t>October</t>
        </is>
      </c>
      <c r="D2770" t="inlineStr">
        <is>
          <t>Classic Yoga Mat</t>
        </is>
      </c>
      <c r="E2770" t="inlineStr">
        <is>
          <t>Sports &amp; Outdoors</t>
        </is>
      </c>
      <c r="F2770" t="inlineStr">
        <is>
          <t>David Weber</t>
        </is>
      </c>
      <c r="G2770" t="inlineStr">
        <is>
          <t>Germany</t>
        </is>
      </c>
      <c r="H2770" t="inlineStr">
        <is>
          <t>Mobile App</t>
        </is>
      </c>
      <c r="I2770" t="n">
        <v>1</v>
      </c>
      <c r="J2770" s="3" t="n">
        <v>328.16</v>
      </c>
      <c r="K2770" s="3" t="n">
        <v>32.82</v>
      </c>
      <c r="L2770" s="3" t="n">
        <v>295.34</v>
      </c>
      <c r="M2770" s="3" t="n">
        <v>195.7</v>
      </c>
      <c r="N2770" s="3" t="n">
        <v>99.64</v>
      </c>
      <c r="O2770">
        <f>TEXT(A2770,"yyyy-mm")</f>
        <v/>
      </c>
    </row>
    <row r="2771">
      <c r="A2771" s="2" t="n">
        <v>45957</v>
      </c>
      <c r="B2771" t="n">
        <v>2025</v>
      </c>
      <c r="C2771" t="inlineStr">
        <is>
          <t>October</t>
        </is>
      </c>
      <c r="D2771" t="inlineStr">
        <is>
          <t>Portable Notebook</t>
        </is>
      </c>
      <c r="E2771" t="inlineStr">
        <is>
          <t>Books</t>
        </is>
      </c>
      <c r="F2771" t="inlineStr">
        <is>
          <t>David Weber</t>
        </is>
      </c>
      <c r="G2771" t="inlineStr">
        <is>
          <t>Germany</t>
        </is>
      </c>
      <c r="H2771" t="inlineStr">
        <is>
          <t>Mobile App</t>
        </is>
      </c>
      <c r="I2771" t="n">
        <v>2</v>
      </c>
      <c r="J2771" s="3" t="n">
        <v>247.54</v>
      </c>
      <c r="K2771" s="3" t="n">
        <v>12.38</v>
      </c>
      <c r="L2771" s="3" t="n">
        <v>235.16</v>
      </c>
      <c r="M2771" s="3" t="n">
        <v>142.56</v>
      </c>
      <c r="N2771" s="3" t="n">
        <v>92.59999999999999</v>
      </c>
      <c r="O2771">
        <f>TEXT(A2771,"yyyy-mm")</f>
        <v/>
      </c>
    </row>
    <row r="2772">
      <c r="A2772" s="2" t="n">
        <v>45957</v>
      </c>
      <c r="B2772" t="n">
        <v>2025</v>
      </c>
      <c r="C2772" t="inlineStr">
        <is>
          <t>October</t>
        </is>
      </c>
      <c r="D2772" t="inlineStr">
        <is>
          <t>Eco Planter</t>
        </is>
      </c>
      <c r="E2772" t="inlineStr">
        <is>
          <t>Home &amp; Garden</t>
        </is>
      </c>
      <c r="F2772" t="inlineStr">
        <is>
          <t>Laura Johnson</t>
        </is>
      </c>
      <c r="G2772" t="inlineStr">
        <is>
          <t>Germany</t>
        </is>
      </c>
      <c r="H2772" t="inlineStr">
        <is>
          <t>Mobile App</t>
        </is>
      </c>
      <c r="I2772" t="n">
        <v>4</v>
      </c>
      <c r="J2772" s="3" t="n">
        <v>727.08</v>
      </c>
      <c r="K2772" s="3" t="n">
        <v>109.06</v>
      </c>
      <c r="L2772" s="3" t="n">
        <v>618.02</v>
      </c>
      <c r="M2772" s="3" t="n">
        <v>449.64</v>
      </c>
      <c r="N2772" s="3" t="n">
        <v>168.38</v>
      </c>
      <c r="O2772">
        <f>TEXT(A2772,"yyyy-mm")</f>
        <v/>
      </c>
    </row>
    <row r="2773">
      <c r="A2773" s="2" t="n">
        <v>45957</v>
      </c>
      <c r="B2773" t="n">
        <v>2025</v>
      </c>
      <c r="C2773" t="inlineStr">
        <is>
          <t>October</t>
        </is>
      </c>
      <c r="D2773" t="inlineStr">
        <is>
          <t>Portable Toolset</t>
        </is>
      </c>
      <c r="E2773" t="inlineStr">
        <is>
          <t>Home &amp; Garden</t>
        </is>
      </c>
      <c r="F2773" t="inlineStr">
        <is>
          <t>Laura Lopez</t>
        </is>
      </c>
      <c r="G2773" t="inlineStr">
        <is>
          <t>United States</t>
        </is>
      </c>
      <c r="H2773" t="inlineStr">
        <is>
          <t>Web Store</t>
        </is>
      </c>
      <c r="I2773" t="n">
        <v>5</v>
      </c>
      <c r="J2773" s="3" t="n">
        <v>434.1</v>
      </c>
      <c r="K2773" s="3" t="n">
        <v>65.11</v>
      </c>
      <c r="L2773" s="3" t="n">
        <v>368.98</v>
      </c>
      <c r="M2773" s="3" t="n">
        <v>252.7</v>
      </c>
      <c r="N2773" s="3" t="n">
        <v>116.28</v>
      </c>
      <c r="O2773">
        <f>TEXT(A2773,"yyyy-mm")</f>
        <v/>
      </c>
    </row>
    <row r="2774">
      <c r="A2774" s="2" t="n">
        <v>45957</v>
      </c>
      <c r="B2774" t="n">
        <v>2025</v>
      </c>
      <c r="C2774" t="inlineStr">
        <is>
          <t>October</t>
        </is>
      </c>
      <c r="D2774" t="inlineStr">
        <is>
          <t>Eco Planter</t>
        </is>
      </c>
      <c r="E2774" t="inlineStr">
        <is>
          <t>Home &amp; Garden</t>
        </is>
      </c>
      <c r="F2774" t="inlineStr">
        <is>
          <t>Laura Lopez</t>
        </is>
      </c>
      <c r="G2774" t="inlineStr">
        <is>
          <t>United States</t>
        </is>
      </c>
      <c r="H2774" t="inlineStr">
        <is>
          <t>Web Store</t>
        </is>
      </c>
      <c r="I2774" t="n">
        <v>2</v>
      </c>
      <c r="J2774" s="3" t="n">
        <v>349.74</v>
      </c>
      <c r="K2774" s="3" t="n">
        <v>0</v>
      </c>
      <c r="L2774" s="3" t="n">
        <v>349.74</v>
      </c>
      <c r="M2774" s="3" t="n">
        <v>224.82</v>
      </c>
      <c r="N2774" s="3" t="n">
        <v>124.92</v>
      </c>
      <c r="O2774">
        <f>TEXT(A2774,"yyyy-mm")</f>
        <v/>
      </c>
    </row>
    <row r="2775">
      <c r="A2775" s="2" t="n">
        <v>45957</v>
      </c>
      <c r="B2775" t="n">
        <v>2025</v>
      </c>
      <c r="C2775" t="inlineStr">
        <is>
          <t>October</t>
        </is>
      </c>
      <c r="D2775" t="inlineStr">
        <is>
          <t>Premium Rug</t>
        </is>
      </c>
      <c r="E2775" t="inlineStr">
        <is>
          <t>Home &amp; Garden</t>
        </is>
      </c>
      <c r="F2775" t="inlineStr">
        <is>
          <t>Laura Lopez</t>
        </is>
      </c>
      <c r="G2775" t="inlineStr">
        <is>
          <t>United States</t>
        </is>
      </c>
      <c r="H2775" t="inlineStr">
        <is>
          <t>Web Store</t>
        </is>
      </c>
      <c r="I2775" t="n">
        <v>5</v>
      </c>
      <c r="J2775" s="3" t="n">
        <v>911.6</v>
      </c>
      <c r="K2775" s="3" t="n">
        <v>0</v>
      </c>
      <c r="L2775" s="3" t="n">
        <v>911.6</v>
      </c>
      <c r="M2775" s="3" t="n">
        <v>555.95</v>
      </c>
      <c r="N2775" s="3" t="n">
        <v>355.65</v>
      </c>
      <c r="O2775">
        <f>TEXT(A2775,"yyyy-mm")</f>
        <v/>
      </c>
    </row>
    <row r="2776">
      <c r="A2776" s="2" t="n">
        <v>45958</v>
      </c>
      <c r="B2776" t="n">
        <v>2025</v>
      </c>
      <c r="C2776" t="inlineStr">
        <is>
          <t>October</t>
        </is>
      </c>
      <c r="D2776" t="inlineStr">
        <is>
          <t>Premium Cookbook</t>
        </is>
      </c>
      <c r="E2776" t="inlineStr">
        <is>
          <t>Books</t>
        </is>
      </c>
      <c r="F2776" t="inlineStr">
        <is>
          <t>Clara Lopez</t>
        </is>
      </c>
      <c r="G2776" t="inlineStr">
        <is>
          <t>France</t>
        </is>
      </c>
      <c r="H2776" t="inlineStr">
        <is>
          <t>Mobile App</t>
        </is>
      </c>
      <c r="I2776" t="n">
        <v>3</v>
      </c>
      <c r="J2776" s="3" t="n">
        <v>371.55</v>
      </c>
      <c r="K2776" s="3" t="n">
        <v>18.58</v>
      </c>
      <c r="L2776" s="3" t="n">
        <v>352.97</v>
      </c>
      <c r="M2776" s="3" t="n">
        <v>284.94</v>
      </c>
      <c r="N2776" s="3" t="n">
        <v>68.03</v>
      </c>
      <c r="O2776">
        <f>TEXT(A2776,"yyyy-mm")</f>
        <v/>
      </c>
    </row>
    <row r="2777">
      <c r="A2777" s="2" t="n">
        <v>45958</v>
      </c>
      <c r="B2777" t="n">
        <v>2025</v>
      </c>
      <c r="C2777" t="inlineStr">
        <is>
          <t>October</t>
        </is>
      </c>
      <c r="D2777" t="inlineStr">
        <is>
          <t>Deluxe Puzzle</t>
        </is>
      </c>
      <c r="E2777" t="inlineStr">
        <is>
          <t>Toys &amp; Games</t>
        </is>
      </c>
      <c r="F2777" t="inlineStr">
        <is>
          <t>Clara Lopez</t>
        </is>
      </c>
      <c r="G2777" t="inlineStr">
        <is>
          <t>France</t>
        </is>
      </c>
      <c r="H2777" t="inlineStr">
        <is>
          <t>Mobile App</t>
        </is>
      </c>
      <c r="I2777" t="n">
        <v>2</v>
      </c>
      <c r="J2777" s="3" t="n">
        <v>408.92</v>
      </c>
      <c r="K2777" s="3" t="n">
        <v>20.45</v>
      </c>
      <c r="L2777" s="3" t="n">
        <v>388.47</v>
      </c>
      <c r="M2777" s="3" t="n">
        <v>222.34</v>
      </c>
      <c r="N2777" s="3" t="n">
        <v>166.13</v>
      </c>
      <c r="O2777">
        <f>TEXT(A2777,"yyyy-mm")</f>
        <v/>
      </c>
    </row>
    <row r="2778">
      <c r="A2778" s="2" t="n">
        <v>45958</v>
      </c>
      <c r="B2778" t="n">
        <v>2025</v>
      </c>
      <c r="C2778" t="inlineStr">
        <is>
          <t>October</t>
        </is>
      </c>
      <c r="D2778" t="inlineStr">
        <is>
          <t>Deluxe Notebook</t>
        </is>
      </c>
      <c r="E2778" t="inlineStr">
        <is>
          <t>Books</t>
        </is>
      </c>
      <c r="F2778" t="inlineStr">
        <is>
          <t>Clara Lopez</t>
        </is>
      </c>
      <c r="G2778" t="inlineStr">
        <is>
          <t>France</t>
        </is>
      </c>
      <c r="H2778" t="inlineStr">
        <is>
          <t>Mobile App</t>
        </is>
      </c>
      <c r="I2778" t="n">
        <v>5</v>
      </c>
      <c r="J2778" s="3" t="n">
        <v>1030</v>
      </c>
      <c r="K2778" s="3" t="n">
        <v>103</v>
      </c>
      <c r="L2778" s="3" t="n">
        <v>927</v>
      </c>
      <c r="M2778" s="3" t="n">
        <v>753.8</v>
      </c>
      <c r="N2778" s="3" t="n">
        <v>173.2</v>
      </c>
      <c r="O2778">
        <f>TEXT(A2778,"yyyy-mm")</f>
        <v/>
      </c>
    </row>
    <row r="2779">
      <c r="A2779" s="2" t="n">
        <v>45958</v>
      </c>
      <c r="B2779" t="n">
        <v>2025</v>
      </c>
      <c r="C2779" t="inlineStr">
        <is>
          <t>October</t>
        </is>
      </c>
      <c r="D2779" t="inlineStr">
        <is>
          <t>Classic Tent</t>
        </is>
      </c>
      <c r="E2779" t="inlineStr">
        <is>
          <t>Sports &amp; Outdoors</t>
        </is>
      </c>
      <c r="F2779" t="inlineStr">
        <is>
          <t>Clara Lopez</t>
        </is>
      </c>
      <c r="G2779" t="inlineStr">
        <is>
          <t>France</t>
        </is>
      </c>
      <c r="H2779" t="inlineStr">
        <is>
          <t>Mobile App</t>
        </is>
      </c>
      <c r="I2779" t="n">
        <v>2</v>
      </c>
      <c r="J2779" s="3" t="n">
        <v>427.56</v>
      </c>
      <c r="K2779" s="3" t="n">
        <v>0</v>
      </c>
      <c r="L2779" s="3" t="n">
        <v>427.56</v>
      </c>
      <c r="M2779" s="3" t="n">
        <v>236.04</v>
      </c>
      <c r="N2779" s="3" t="n">
        <v>191.52</v>
      </c>
      <c r="O2779">
        <f>TEXT(A2779,"yyyy-mm")</f>
        <v/>
      </c>
    </row>
    <row r="2780">
      <c r="A2780" s="2" t="n">
        <v>45958</v>
      </c>
      <c r="B2780" t="n">
        <v>2025</v>
      </c>
      <c r="C2780" t="inlineStr">
        <is>
          <t>October</t>
        </is>
      </c>
      <c r="D2780" t="inlineStr">
        <is>
          <t>Smart Camera</t>
        </is>
      </c>
      <c r="E2780" t="inlineStr">
        <is>
          <t>Electronics</t>
        </is>
      </c>
      <c r="F2780" t="inlineStr">
        <is>
          <t>Sophie Zielinski</t>
        </is>
      </c>
      <c r="G2780" t="inlineStr">
        <is>
          <t>Spain</t>
        </is>
      </c>
      <c r="H2780" t="inlineStr">
        <is>
          <t>Marketplace</t>
        </is>
      </c>
      <c r="I2780" t="n">
        <v>1</v>
      </c>
      <c r="J2780" s="3" t="n">
        <v>301.17</v>
      </c>
      <c r="K2780" s="3" t="n">
        <v>45.18</v>
      </c>
      <c r="L2780" s="3" t="n">
        <v>255.99</v>
      </c>
      <c r="M2780" s="3" t="n">
        <v>167.4</v>
      </c>
      <c r="N2780" s="3" t="n">
        <v>88.59</v>
      </c>
      <c r="O2780">
        <f>TEXT(A2780,"yyyy-mm")</f>
        <v/>
      </c>
    </row>
    <row r="2781">
      <c r="A2781" s="2" t="n">
        <v>45958</v>
      </c>
      <c r="B2781" t="n">
        <v>2025</v>
      </c>
      <c r="C2781" t="inlineStr">
        <is>
          <t>October</t>
        </is>
      </c>
      <c r="D2781" t="inlineStr">
        <is>
          <t>Classic Yoga Mat</t>
        </is>
      </c>
      <c r="E2781" t="inlineStr">
        <is>
          <t>Sports &amp; Outdoors</t>
        </is>
      </c>
      <c r="F2781" t="inlineStr">
        <is>
          <t>Sophie Zielinski</t>
        </is>
      </c>
      <c r="G2781" t="inlineStr">
        <is>
          <t>Spain</t>
        </is>
      </c>
      <c r="H2781" t="inlineStr">
        <is>
          <t>Marketplace</t>
        </is>
      </c>
      <c r="I2781" t="n">
        <v>2</v>
      </c>
      <c r="J2781" s="3" t="n">
        <v>652.78</v>
      </c>
      <c r="K2781" s="3" t="n">
        <v>130.56</v>
      </c>
      <c r="L2781" s="3" t="n">
        <v>522.22</v>
      </c>
      <c r="M2781" s="3" t="n">
        <v>391.4</v>
      </c>
      <c r="N2781" s="3" t="n">
        <v>130.82</v>
      </c>
      <c r="O2781">
        <f>TEXT(A2781,"yyyy-mm")</f>
        <v/>
      </c>
    </row>
    <row r="2782">
      <c r="A2782" s="2" t="n">
        <v>45958</v>
      </c>
      <c r="B2782" t="n">
        <v>2025</v>
      </c>
      <c r="C2782" t="inlineStr">
        <is>
          <t>October</t>
        </is>
      </c>
      <c r="D2782" t="inlineStr">
        <is>
          <t>Eco Drone</t>
        </is>
      </c>
      <c r="E2782" t="inlineStr">
        <is>
          <t>Toys &amp; Games</t>
        </is>
      </c>
      <c r="F2782" t="inlineStr">
        <is>
          <t>Sophie Zielinski</t>
        </is>
      </c>
      <c r="G2782" t="inlineStr">
        <is>
          <t>Spain</t>
        </is>
      </c>
      <c r="H2782" t="inlineStr">
        <is>
          <t>Marketplace</t>
        </is>
      </c>
      <c r="I2782" t="n">
        <v>1</v>
      </c>
      <c r="J2782" s="3" t="n">
        <v>197.6</v>
      </c>
      <c r="K2782" s="3" t="n">
        <v>9.880000000000001</v>
      </c>
      <c r="L2782" s="3" t="n">
        <v>187.72</v>
      </c>
      <c r="M2782" s="3" t="n">
        <v>129.59</v>
      </c>
      <c r="N2782" s="3" t="n">
        <v>58.13</v>
      </c>
      <c r="O2782">
        <f>TEXT(A2782,"yyyy-mm")</f>
        <v/>
      </c>
    </row>
    <row r="2783">
      <c r="A2783" s="2" t="n">
        <v>45958</v>
      </c>
      <c r="B2783" t="n">
        <v>2025</v>
      </c>
      <c r="C2783" t="inlineStr">
        <is>
          <t>October</t>
        </is>
      </c>
      <c r="D2783" t="inlineStr">
        <is>
          <t>Smart Olive Oil</t>
        </is>
      </c>
      <c r="E2783" t="inlineStr">
        <is>
          <t>Grocery</t>
        </is>
      </c>
      <c r="F2783" t="inlineStr">
        <is>
          <t>Sophie Zielinski</t>
        </is>
      </c>
      <c r="G2783" t="inlineStr">
        <is>
          <t>Spain</t>
        </is>
      </c>
      <c r="H2783" t="inlineStr">
        <is>
          <t>Marketplace</t>
        </is>
      </c>
      <c r="I2783" t="n">
        <v>2</v>
      </c>
      <c r="J2783" s="3" t="n">
        <v>334.02</v>
      </c>
      <c r="K2783" s="3" t="n">
        <v>0</v>
      </c>
      <c r="L2783" s="3" t="n">
        <v>334.02</v>
      </c>
      <c r="M2783" s="3" t="n">
        <v>220.04</v>
      </c>
      <c r="N2783" s="3" t="n">
        <v>113.98</v>
      </c>
      <c r="O2783">
        <f>TEXT(A2783,"yyyy-mm")</f>
        <v/>
      </c>
    </row>
    <row r="2784">
      <c r="A2784" s="2" t="n">
        <v>45958</v>
      </c>
      <c r="B2784" t="n">
        <v>2025</v>
      </c>
      <c r="C2784" t="inlineStr">
        <is>
          <t>October</t>
        </is>
      </c>
      <c r="D2784" t="inlineStr">
        <is>
          <t>Premium Tent</t>
        </is>
      </c>
      <c r="E2784" t="inlineStr">
        <is>
          <t>Sports &amp; Outdoors</t>
        </is>
      </c>
      <c r="F2784" t="inlineStr">
        <is>
          <t>Clara Muller</t>
        </is>
      </c>
      <c r="G2784" t="inlineStr">
        <is>
          <t>Italy</t>
        </is>
      </c>
      <c r="H2784" t="inlineStr">
        <is>
          <t>Retail Store</t>
        </is>
      </c>
      <c r="I2784" t="n">
        <v>5</v>
      </c>
      <c r="J2784" s="3" t="n">
        <v>695.2</v>
      </c>
      <c r="K2784" s="3" t="n">
        <v>69.52</v>
      </c>
      <c r="L2784" s="3" t="n">
        <v>625.6799999999999</v>
      </c>
      <c r="M2784" s="3" t="n">
        <v>482</v>
      </c>
      <c r="N2784" s="3" t="n">
        <v>143.68</v>
      </c>
      <c r="O2784">
        <f>TEXT(A2784,"yyyy-mm")</f>
        <v/>
      </c>
    </row>
    <row r="2785">
      <c r="A2785" s="2" t="n">
        <v>45958</v>
      </c>
      <c r="B2785" t="n">
        <v>2025</v>
      </c>
      <c r="C2785" t="inlineStr">
        <is>
          <t>October</t>
        </is>
      </c>
      <c r="D2785" t="inlineStr">
        <is>
          <t>Premium Water Bottle</t>
        </is>
      </c>
      <c r="E2785" t="inlineStr">
        <is>
          <t>Sports &amp; Outdoors</t>
        </is>
      </c>
      <c r="F2785" t="inlineStr">
        <is>
          <t>Clara Muller</t>
        </is>
      </c>
      <c r="G2785" t="inlineStr">
        <is>
          <t>Italy</t>
        </is>
      </c>
      <c r="H2785" t="inlineStr">
        <is>
          <t>Retail Store</t>
        </is>
      </c>
      <c r="I2785" t="n">
        <v>3</v>
      </c>
      <c r="J2785" s="3" t="n">
        <v>84.15000000000001</v>
      </c>
      <c r="K2785" s="3" t="n">
        <v>12.62</v>
      </c>
      <c r="L2785" s="3" t="n">
        <v>71.53</v>
      </c>
      <c r="M2785" s="3" t="n">
        <v>49.89</v>
      </c>
      <c r="N2785" s="3" t="n">
        <v>21.64</v>
      </c>
      <c r="O2785">
        <f>TEXT(A2785,"yyyy-mm")</f>
        <v/>
      </c>
    </row>
    <row r="2786">
      <c r="A2786" s="2" t="n">
        <v>45958</v>
      </c>
      <c r="B2786" t="n">
        <v>2025</v>
      </c>
      <c r="C2786" t="inlineStr">
        <is>
          <t>October</t>
        </is>
      </c>
      <c r="D2786" t="inlineStr">
        <is>
          <t>Essential Rug</t>
        </is>
      </c>
      <c r="E2786" t="inlineStr">
        <is>
          <t>Home &amp; Garden</t>
        </is>
      </c>
      <c r="F2786" t="inlineStr">
        <is>
          <t>Clara Muller</t>
        </is>
      </c>
      <c r="G2786" t="inlineStr">
        <is>
          <t>Italy</t>
        </is>
      </c>
      <c r="H2786" t="inlineStr">
        <is>
          <t>Retail Store</t>
        </is>
      </c>
      <c r="I2786" t="n">
        <v>3</v>
      </c>
      <c r="J2786" s="3" t="n">
        <v>423.99</v>
      </c>
      <c r="K2786" s="3" t="n">
        <v>84.8</v>
      </c>
      <c r="L2786" s="3" t="n">
        <v>339.19</v>
      </c>
      <c r="M2786" s="3" t="n">
        <v>228.99</v>
      </c>
      <c r="N2786" s="3" t="n">
        <v>110.2</v>
      </c>
      <c r="O2786">
        <f>TEXT(A2786,"yyyy-mm")</f>
        <v/>
      </c>
    </row>
    <row r="2787">
      <c r="A2787" s="2" t="n">
        <v>45959</v>
      </c>
      <c r="B2787" t="n">
        <v>2025</v>
      </c>
      <c r="C2787" t="inlineStr">
        <is>
          <t>October</t>
        </is>
      </c>
      <c r="D2787" t="inlineStr">
        <is>
          <t>Smart Tea Set</t>
        </is>
      </c>
      <c r="E2787" t="inlineStr">
        <is>
          <t>Grocery</t>
        </is>
      </c>
      <c r="F2787" t="inlineStr">
        <is>
          <t>Mark Zielinski</t>
        </is>
      </c>
      <c r="G2787" t="inlineStr">
        <is>
          <t>United Kingdom</t>
        </is>
      </c>
      <c r="H2787" t="inlineStr">
        <is>
          <t>Marketplace</t>
        </is>
      </c>
      <c r="I2787" t="n">
        <v>5</v>
      </c>
      <c r="J2787" s="3" t="n">
        <v>425.15</v>
      </c>
      <c r="K2787" s="3" t="n">
        <v>21.26</v>
      </c>
      <c r="L2787" s="3" t="n">
        <v>403.89</v>
      </c>
      <c r="M2787" s="3" t="n">
        <v>309</v>
      </c>
      <c r="N2787" s="3" t="n">
        <v>94.89</v>
      </c>
      <c r="O2787">
        <f>TEXT(A2787,"yyyy-mm")</f>
        <v/>
      </c>
    </row>
    <row r="2788">
      <c r="A2788" s="2" t="n">
        <v>45959</v>
      </c>
      <c r="B2788" t="n">
        <v>2025</v>
      </c>
      <c r="C2788" t="inlineStr">
        <is>
          <t>October</t>
        </is>
      </c>
      <c r="D2788" t="inlineStr">
        <is>
          <t>Smart Puzzle</t>
        </is>
      </c>
      <c r="E2788" t="inlineStr">
        <is>
          <t>Toys &amp; Games</t>
        </is>
      </c>
      <c r="F2788" t="inlineStr">
        <is>
          <t>Mark Zielinski</t>
        </is>
      </c>
      <c r="G2788" t="inlineStr">
        <is>
          <t>United Kingdom</t>
        </is>
      </c>
      <c r="H2788" t="inlineStr">
        <is>
          <t>Marketplace</t>
        </is>
      </c>
      <c r="I2788" t="n">
        <v>4</v>
      </c>
      <c r="J2788" s="3" t="n">
        <v>1088.24</v>
      </c>
      <c r="K2788" s="3" t="n">
        <v>108.82</v>
      </c>
      <c r="L2788" s="3" t="n">
        <v>979.42</v>
      </c>
      <c r="M2788" s="3" t="n">
        <v>771.04</v>
      </c>
      <c r="N2788" s="3" t="n">
        <v>208.38</v>
      </c>
      <c r="O2788">
        <f>TEXT(A2788,"yyyy-mm")</f>
        <v/>
      </c>
    </row>
    <row r="2789">
      <c r="A2789" s="2" t="n">
        <v>45959</v>
      </c>
      <c r="B2789" t="n">
        <v>2025</v>
      </c>
      <c r="C2789" t="inlineStr">
        <is>
          <t>October</t>
        </is>
      </c>
      <c r="D2789" t="inlineStr">
        <is>
          <t>Eco Drone</t>
        </is>
      </c>
      <c r="E2789" t="inlineStr">
        <is>
          <t>Toys &amp; Games</t>
        </is>
      </c>
      <c r="F2789" t="inlineStr">
        <is>
          <t>Mark Zielinski</t>
        </is>
      </c>
      <c r="G2789" t="inlineStr">
        <is>
          <t>United Kingdom</t>
        </is>
      </c>
      <c r="H2789" t="inlineStr">
        <is>
          <t>Marketplace</t>
        </is>
      </c>
      <c r="I2789" t="n">
        <v>1</v>
      </c>
      <c r="J2789" s="3" t="n">
        <v>207.79</v>
      </c>
      <c r="K2789" s="3" t="n">
        <v>10.39</v>
      </c>
      <c r="L2789" s="3" t="n">
        <v>197.4</v>
      </c>
      <c r="M2789" s="3" t="n">
        <v>129.59</v>
      </c>
      <c r="N2789" s="3" t="n">
        <v>67.81</v>
      </c>
      <c r="O2789">
        <f>TEXT(A2789,"yyyy-mm")</f>
        <v/>
      </c>
    </row>
    <row r="2790">
      <c r="A2790" s="2" t="n">
        <v>45959</v>
      </c>
      <c r="B2790" t="n">
        <v>2025</v>
      </c>
      <c r="C2790" t="inlineStr">
        <is>
          <t>October</t>
        </is>
      </c>
      <c r="D2790" t="inlineStr">
        <is>
          <t>Smart Honey</t>
        </is>
      </c>
      <c r="E2790" t="inlineStr">
        <is>
          <t>Grocery</t>
        </is>
      </c>
      <c r="F2790" t="inlineStr">
        <is>
          <t>Julia Nowak</t>
        </is>
      </c>
      <c r="G2790" t="inlineStr">
        <is>
          <t>Poland</t>
        </is>
      </c>
      <c r="H2790" t="inlineStr">
        <is>
          <t>Marketplace</t>
        </is>
      </c>
      <c r="I2790" t="n">
        <v>1</v>
      </c>
      <c r="J2790" s="3" t="n">
        <v>133.59</v>
      </c>
      <c r="K2790" s="3" t="n">
        <v>0</v>
      </c>
      <c r="L2790" s="3" t="n">
        <v>133.59</v>
      </c>
      <c r="M2790" s="3" t="n">
        <v>71.44</v>
      </c>
      <c r="N2790" s="3" t="n">
        <v>62.15</v>
      </c>
      <c r="O2790">
        <f>TEXT(A2790,"yyyy-mm")</f>
        <v/>
      </c>
    </row>
    <row r="2791">
      <c r="A2791" s="2" t="n">
        <v>45959</v>
      </c>
      <c r="B2791" t="n">
        <v>2025</v>
      </c>
      <c r="C2791" t="inlineStr">
        <is>
          <t>October</t>
        </is>
      </c>
      <c r="D2791" t="inlineStr">
        <is>
          <t>Deluxe Cookbook</t>
        </is>
      </c>
      <c r="E2791" t="inlineStr">
        <is>
          <t>Books</t>
        </is>
      </c>
      <c r="F2791" t="inlineStr">
        <is>
          <t>Julia Nowak</t>
        </is>
      </c>
      <c r="G2791" t="inlineStr">
        <is>
          <t>Poland</t>
        </is>
      </c>
      <c r="H2791" t="inlineStr">
        <is>
          <t>Marketplace</t>
        </is>
      </c>
      <c r="I2791" t="n">
        <v>2</v>
      </c>
      <c r="J2791" s="3" t="n">
        <v>281.14</v>
      </c>
      <c r="K2791" s="3" t="n">
        <v>0</v>
      </c>
      <c r="L2791" s="3" t="n">
        <v>281.14</v>
      </c>
      <c r="M2791" s="3" t="n">
        <v>170.54</v>
      </c>
      <c r="N2791" s="3" t="n">
        <v>110.6</v>
      </c>
      <c r="O2791">
        <f>TEXT(A2791,"yyyy-mm")</f>
        <v/>
      </c>
    </row>
    <row r="2792">
      <c r="A2792" s="2" t="n">
        <v>45959</v>
      </c>
      <c r="B2792" t="n">
        <v>2025</v>
      </c>
      <c r="C2792" t="inlineStr">
        <is>
          <t>October</t>
        </is>
      </c>
      <c r="D2792" t="inlineStr">
        <is>
          <t>Ultra Toolset</t>
        </is>
      </c>
      <c r="E2792" t="inlineStr">
        <is>
          <t>Home &amp; Garden</t>
        </is>
      </c>
      <c r="F2792" t="inlineStr">
        <is>
          <t>Julia Nowak</t>
        </is>
      </c>
      <c r="G2792" t="inlineStr">
        <is>
          <t>Poland</t>
        </is>
      </c>
      <c r="H2792" t="inlineStr">
        <is>
          <t>Marketplace</t>
        </is>
      </c>
      <c r="I2792" t="n">
        <v>2</v>
      </c>
      <c r="J2792" s="3" t="n">
        <v>690.98</v>
      </c>
      <c r="K2792" s="3" t="n">
        <v>69.09999999999999</v>
      </c>
      <c r="L2792" s="3" t="n">
        <v>621.88</v>
      </c>
      <c r="M2792" s="3" t="n">
        <v>380.8</v>
      </c>
      <c r="N2792" s="3" t="n">
        <v>241.08</v>
      </c>
      <c r="O2792">
        <f>TEXT(A2792,"yyyy-mm")</f>
        <v/>
      </c>
    </row>
    <row r="2793">
      <c r="A2793" s="2" t="n">
        <v>45960</v>
      </c>
      <c r="B2793" t="n">
        <v>2025</v>
      </c>
      <c r="C2793" t="inlineStr">
        <is>
          <t>October</t>
        </is>
      </c>
      <c r="D2793" t="inlineStr">
        <is>
          <t>Wireless Drone</t>
        </is>
      </c>
      <c r="E2793" t="inlineStr">
        <is>
          <t>Toys &amp; Games</t>
        </is>
      </c>
      <c r="F2793" t="inlineStr">
        <is>
          <t>James Weber</t>
        </is>
      </c>
      <c r="G2793" t="inlineStr">
        <is>
          <t>United States</t>
        </is>
      </c>
      <c r="H2793" t="inlineStr">
        <is>
          <t>Marketplace</t>
        </is>
      </c>
      <c r="I2793" t="n">
        <v>3</v>
      </c>
      <c r="J2793" s="3" t="n">
        <v>685.4400000000001</v>
      </c>
      <c r="K2793" s="3" t="n">
        <v>0</v>
      </c>
      <c r="L2793" s="3" t="n">
        <v>685.4400000000001</v>
      </c>
      <c r="M2793" s="3" t="n">
        <v>393.87</v>
      </c>
      <c r="N2793" s="3" t="n">
        <v>291.57</v>
      </c>
      <c r="O2793">
        <f>TEXT(A2793,"yyyy-mm")</f>
        <v/>
      </c>
    </row>
    <row r="2794">
      <c r="A2794" s="2" t="n">
        <v>45961</v>
      </c>
      <c r="B2794" t="n">
        <v>2025</v>
      </c>
      <c r="C2794" t="inlineStr">
        <is>
          <t>October</t>
        </is>
      </c>
      <c r="D2794" t="inlineStr">
        <is>
          <t>Wireless Backpack</t>
        </is>
      </c>
      <c r="E2794" t="inlineStr">
        <is>
          <t>Sports &amp; Outdoors</t>
        </is>
      </c>
      <c r="F2794" t="inlineStr">
        <is>
          <t>Sophie Bianchi</t>
        </is>
      </c>
      <c r="G2794" t="inlineStr">
        <is>
          <t>United States</t>
        </is>
      </c>
      <c r="H2794" t="inlineStr">
        <is>
          <t>Retail Store</t>
        </is>
      </c>
      <c r="I2794" t="n">
        <v>1</v>
      </c>
      <c r="J2794" s="3" t="n">
        <v>50.07</v>
      </c>
      <c r="K2794" s="3" t="n">
        <v>0</v>
      </c>
      <c r="L2794" s="3" t="n">
        <v>50.07</v>
      </c>
      <c r="M2794" s="3" t="n">
        <v>28.1</v>
      </c>
      <c r="N2794" s="3" t="n">
        <v>21.97</v>
      </c>
      <c r="O2794">
        <f>TEXT(A2794,"yyyy-mm")</f>
        <v/>
      </c>
    </row>
    <row r="2795">
      <c r="A2795" s="2" t="n">
        <v>45962</v>
      </c>
      <c r="B2795" t="n">
        <v>2025</v>
      </c>
      <c r="C2795" t="inlineStr">
        <is>
          <t>November</t>
        </is>
      </c>
      <c r="D2795" t="inlineStr">
        <is>
          <t>Smart Puzzle</t>
        </is>
      </c>
      <c r="E2795" t="inlineStr">
        <is>
          <t>Toys &amp; Games</t>
        </is>
      </c>
      <c r="F2795" t="inlineStr">
        <is>
          <t>Emily Johnson</t>
        </is>
      </c>
      <c r="G2795" t="inlineStr">
        <is>
          <t>Italy</t>
        </is>
      </c>
      <c r="H2795" t="inlineStr">
        <is>
          <t>Retail Store</t>
        </is>
      </c>
      <c r="I2795" t="n">
        <v>1</v>
      </c>
      <c r="J2795" s="3" t="n">
        <v>47.37</v>
      </c>
      <c r="K2795" s="3" t="n">
        <v>0</v>
      </c>
      <c r="L2795" s="3" t="n">
        <v>47.37</v>
      </c>
      <c r="M2795" s="3" t="n">
        <v>24.44</v>
      </c>
      <c r="N2795" s="3" t="n">
        <v>22.93</v>
      </c>
      <c r="O2795">
        <f>TEXT(A2795,"yyyy-mm")</f>
        <v/>
      </c>
    </row>
    <row r="2796">
      <c r="A2796" s="2" t="n">
        <v>45962</v>
      </c>
      <c r="B2796" t="n">
        <v>2025</v>
      </c>
      <c r="C2796" t="inlineStr">
        <is>
          <t>November</t>
        </is>
      </c>
      <c r="D2796" t="inlineStr">
        <is>
          <t>Essential Toolset</t>
        </is>
      </c>
      <c r="E2796" t="inlineStr">
        <is>
          <t>Home &amp; Garden</t>
        </is>
      </c>
      <c r="F2796" t="inlineStr">
        <is>
          <t>Emily Johnson</t>
        </is>
      </c>
      <c r="G2796" t="inlineStr">
        <is>
          <t>Italy</t>
        </is>
      </c>
      <c r="H2796" t="inlineStr">
        <is>
          <t>Retail Store</t>
        </is>
      </c>
      <c r="I2796" t="n">
        <v>3</v>
      </c>
      <c r="J2796" s="3" t="n">
        <v>615.15</v>
      </c>
      <c r="K2796" s="3" t="n">
        <v>0</v>
      </c>
      <c r="L2796" s="3" t="n">
        <v>615.15</v>
      </c>
      <c r="M2796" s="3" t="n">
        <v>451.59</v>
      </c>
      <c r="N2796" s="3" t="n">
        <v>163.56</v>
      </c>
      <c r="O2796">
        <f>TEXT(A2796,"yyyy-mm")</f>
        <v/>
      </c>
    </row>
    <row r="2797">
      <c r="A2797" s="2" t="n">
        <v>45962</v>
      </c>
      <c r="B2797" t="n">
        <v>2025</v>
      </c>
      <c r="C2797" t="inlineStr">
        <is>
          <t>November</t>
        </is>
      </c>
      <c r="D2797" t="inlineStr">
        <is>
          <t>Eco Planter</t>
        </is>
      </c>
      <c r="E2797" t="inlineStr">
        <is>
          <t>Home &amp; Garden</t>
        </is>
      </c>
      <c r="F2797" t="inlineStr">
        <is>
          <t>Emily Johnson</t>
        </is>
      </c>
      <c r="G2797" t="inlineStr">
        <is>
          <t>Italy</t>
        </is>
      </c>
      <c r="H2797" t="inlineStr">
        <is>
          <t>Retail Store</t>
        </is>
      </c>
      <c r="I2797" t="n">
        <v>2</v>
      </c>
      <c r="J2797" s="3" t="n">
        <v>378.78</v>
      </c>
      <c r="K2797" s="3" t="n">
        <v>37.88</v>
      </c>
      <c r="L2797" s="3" t="n">
        <v>340.9</v>
      </c>
      <c r="M2797" s="3" t="n">
        <v>224.82</v>
      </c>
      <c r="N2797" s="3" t="n">
        <v>116.08</v>
      </c>
      <c r="O2797">
        <f>TEXT(A2797,"yyyy-mm")</f>
        <v/>
      </c>
    </row>
    <row r="2798">
      <c r="A2798" s="2" t="n">
        <v>45962</v>
      </c>
      <c r="B2798" t="n">
        <v>2025</v>
      </c>
      <c r="C2798" t="inlineStr">
        <is>
          <t>November</t>
        </is>
      </c>
      <c r="D2798" t="inlineStr">
        <is>
          <t>Smart Sweater</t>
        </is>
      </c>
      <c r="E2798" t="inlineStr">
        <is>
          <t>Clothing</t>
        </is>
      </c>
      <c r="F2798" t="inlineStr">
        <is>
          <t>Emily Johnson</t>
        </is>
      </c>
      <c r="G2798" t="inlineStr">
        <is>
          <t>Italy</t>
        </is>
      </c>
      <c r="H2798" t="inlineStr">
        <is>
          <t>Retail Store</t>
        </is>
      </c>
      <c r="I2798" t="n">
        <v>1</v>
      </c>
      <c r="J2798" s="3" t="n">
        <v>149.06</v>
      </c>
      <c r="K2798" s="3" t="n">
        <v>0</v>
      </c>
      <c r="L2798" s="3" t="n">
        <v>149.06</v>
      </c>
      <c r="M2798" s="3" t="n">
        <v>77.34999999999999</v>
      </c>
      <c r="N2798" s="3" t="n">
        <v>71.70999999999999</v>
      </c>
      <c r="O2798">
        <f>TEXT(A2798,"yyyy-mm")</f>
        <v/>
      </c>
    </row>
    <row r="2799">
      <c r="A2799" s="2" t="n">
        <v>45963</v>
      </c>
      <c r="B2799" t="n">
        <v>2025</v>
      </c>
      <c r="C2799" t="inlineStr">
        <is>
          <t>November</t>
        </is>
      </c>
      <c r="D2799" t="inlineStr">
        <is>
          <t>Essential Toolset</t>
        </is>
      </c>
      <c r="E2799" t="inlineStr">
        <is>
          <t>Home &amp; Garden</t>
        </is>
      </c>
      <c r="F2799" t="inlineStr">
        <is>
          <t>Michael Martin</t>
        </is>
      </c>
      <c r="G2799" t="inlineStr">
        <is>
          <t>Italy</t>
        </is>
      </c>
      <c r="H2799" t="inlineStr">
        <is>
          <t>Mobile App</t>
        </is>
      </c>
      <c r="I2799" t="n">
        <v>3</v>
      </c>
      <c r="J2799" s="3" t="n">
        <v>622.95</v>
      </c>
      <c r="K2799" s="3" t="n">
        <v>124.59</v>
      </c>
      <c r="L2799" s="3" t="n">
        <v>498.36</v>
      </c>
      <c r="M2799" s="3" t="n">
        <v>451.59</v>
      </c>
      <c r="N2799" s="3" t="n">
        <v>46.77</v>
      </c>
      <c r="O2799">
        <f>TEXT(A2799,"yyyy-mm")</f>
        <v/>
      </c>
    </row>
    <row r="2800">
      <c r="A2800" s="2" t="n">
        <v>45963</v>
      </c>
      <c r="B2800" t="n">
        <v>2025</v>
      </c>
      <c r="C2800" t="inlineStr">
        <is>
          <t>November</t>
        </is>
      </c>
      <c r="D2800" t="inlineStr">
        <is>
          <t>Smart Honey</t>
        </is>
      </c>
      <c r="E2800" t="inlineStr">
        <is>
          <t>Grocery</t>
        </is>
      </c>
      <c r="F2800" t="inlineStr">
        <is>
          <t>Michael Martin</t>
        </is>
      </c>
      <c r="G2800" t="inlineStr">
        <is>
          <t>Italy</t>
        </is>
      </c>
      <c r="H2800" t="inlineStr">
        <is>
          <t>Mobile App</t>
        </is>
      </c>
      <c r="I2800" t="n">
        <v>3</v>
      </c>
      <c r="J2800" s="3" t="n">
        <v>410.82</v>
      </c>
      <c r="K2800" s="3" t="n">
        <v>0</v>
      </c>
      <c r="L2800" s="3" t="n">
        <v>410.82</v>
      </c>
      <c r="M2800" s="3" t="n">
        <v>214.32</v>
      </c>
      <c r="N2800" s="3" t="n">
        <v>196.5</v>
      </c>
      <c r="O2800">
        <f>TEXT(A2800,"yyyy-mm")</f>
        <v/>
      </c>
    </row>
    <row r="2801">
      <c r="A2801" s="2" t="n">
        <v>45964</v>
      </c>
      <c r="B2801" t="n">
        <v>2025</v>
      </c>
      <c r="C2801" t="inlineStr">
        <is>
          <t>November</t>
        </is>
      </c>
      <c r="D2801" t="inlineStr">
        <is>
          <t>Essential Jacket</t>
        </is>
      </c>
      <c r="E2801" t="inlineStr">
        <is>
          <t>Clothing</t>
        </is>
      </c>
      <c r="F2801" t="inlineStr">
        <is>
          <t>Michael Smith</t>
        </is>
      </c>
      <c r="G2801" t="inlineStr">
        <is>
          <t>Spain</t>
        </is>
      </c>
      <c r="H2801" t="inlineStr">
        <is>
          <t>Marketplace</t>
        </is>
      </c>
      <c r="I2801" t="n">
        <v>3</v>
      </c>
      <c r="J2801" s="3" t="n">
        <v>419.55</v>
      </c>
      <c r="K2801" s="3" t="n">
        <v>83.91</v>
      </c>
      <c r="L2801" s="3" t="n">
        <v>335.64</v>
      </c>
      <c r="M2801" s="3" t="n">
        <v>256.05</v>
      </c>
      <c r="N2801" s="3" t="n">
        <v>79.59</v>
      </c>
      <c r="O2801">
        <f>TEXT(A2801,"yyyy-mm")</f>
        <v/>
      </c>
    </row>
    <row r="2802">
      <c r="A2802" s="2" t="n">
        <v>45964</v>
      </c>
      <c r="B2802" t="n">
        <v>2025</v>
      </c>
      <c r="C2802" t="inlineStr">
        <is>
          <t>November</t>
        </is>
      </c>
      <c r="D2802" t="inlineStr">
        <is>
          <t>Portable Puzzle</t>
        </is>
      </c>
      <c r="E2802" t="inlineStr">
        <is>
          <t>Toys &amp; Games</t>
        </is>
      </c>
      <c r="F2802" t="inlineStr">
        <is>
          <t>Michael Smith</t>
        </is>
      </c>
      <c r="G2802" t="inlineStr">
        <is>
          <t>Spain</t>
        </is>
      </c>
      <c r="H2802" t="inlineStr">
        <is>
          <t>Marketplace</t>
        </is>
      </c>
      <c r="I2802" t="n">
        <v>4</v>
      </c>
      <c r="J2802" s="3" t="n">
        <v>430.84</v>
      </c>
      <c r="K2802" s="3" t="n">
        <v>0</v>
      </c>
      <c r="L2802" s="3" t="n">
        <v>430.84</v>
      </c>
      <c r="M2802" s="3" t="n">
        <v>235.2</v>
      </c>
      <c r="N2802" s="3" t="n">
        <v>195.64</v>
      </c>
      <c r="O2802">
        <f>TEXT(A2802,"yyyy-mm")</f>
        <v/>
      </c>
    </row>
    <row r="2803">
      <c r="A2803" s="2" t="n">
        <v>45964</v>
      </c>
      <c r="B2803" t="n">
        <v>2025</v>
      </c>
      <c r="C2803" t="inlineStr">
        <is>
          <t>November</t>
        </is>
      </c>
      <c r="D2803" t="inlineStr">
        <is>
          <t>Essential Planter</t>
        </is>
      </c>
      <c r="E2803" t="inlineStr">
        <is>
          <t>Home &amp; Garden</t>
        </is>
      </c>
      <c r="F2803" t="inlineStr">
        <is>
          <t>Anna Dubois</t>
        </is>
      </c>
      <c r="G2803" t="inlineStr">
        <is>
          <t>Germany</t>
        </is>
      </c>
      <c r="H2803" t="inlineStr">
        <is>
          <t>Mobile App</t>
        </is>
      </c>
      <c r="I2803" t="n">
        <v>5</v>
      </c>
      <c r="J2803" s="3" t="n">
        <v>123</v>
      </c>
      <c r="K2803" s="3" t="n">
        <v>0</v>
      </c>
      <c r="L2803" s="3" t="n">
        <v>123</v>
      </c>
      <c r="M2803" s="3" t="n">
        <v>98.2</v>
      </c>
      <c r="N2803" s="3" t="n">
        <v>24.8</v>
      </c>
      <c r="O2803">
        <f>TEXT(A2803,"yyyy-mm")</f>
        <v/>
      </c>
    </row>
    <row r="2804">
      <c r="A2804" s="2" t="n">
        <v>45965</v>
      </c>
      <c r="B2804" t="n">
        <v>2025</v>
      </c>
      <c r="C2804" t="inlineStr">
        <is>
          <t>November</t>
        </is>
      </c>
      <c r="D2804" t="inlineStr">
        <is>
          <t>Eco Tent</t>
        </is>
      </c>
      <c r="E2804" t="inlineStr">
        <is>
          <t>Sports &amp; Outdoors</t>
        </is>
      </c>
      <c r="F2804" t="inlineStr">
        <is>
          <t>Sophie Wilson</t>
        </is>
      </c>
      <c r="G2804" t="inlineStr">
        <is>
          <t>Netherlands</t>
        </is>
      </c>
      <c r="H2804" t="inlineStr">
        <is>
          <t>Marketplace</t>
        </is>
      </c>
      <c r="I2804" t="n">
        <v>2</v>
      </c>
      <c r="J2804" s="3" t="n">
        <v>488.94</v>
      </c>
      <c r="K2804" s="3" t="n">
        <v>73.34</v>
      </c>
      <c r="L2804" s="3" t="n">
        <v>415.6</v>
      </c>
      <c r="M2804" s="3" t="n">
        <v>270.06</v>
      </c>
      <c r="N2804" s="3" t="n">
        <v>145.54</v>
      </c>
      <c r="O2804">
        <f>TEXT(A2804,"yyyy-mm")</f>
        <v/>
      </c>
    </row>
    <row r="2805">
      <c r="A2805" s="2" t="n">
        <v>45965</v>
      </c>
      <c r="B2805" t="n">
        <v>2025</v>
      </c>
      <c r="C2805" t="inlineStr">
        <is>
          <t>November</t>
        </is>
      </c>
      <c r="D2805" t="inlineStr">
        <is>
          <t>Portable Toolset</t>
        </is>
      </c>
      <c r="E2805" t="inlineStr">
        <is>
          <t>Home &amp; Garden</t>
        </is>
      </c>
      <c r="F2805" t="inlineStr">
        <is>
          <t>Sophie Wilson</t>
        </is>
      </c>
      <c r="G2805" t="inlineStr">
        <is>
          <t>Netherlands</t>
        </is>
      </c>
      <c r="H2805" t="inlineStr">
        <is>
          <t>Marketplace</t>
        </is>
      </c>
      <c r="I2805" t="n">
        <v>2</v>
      </c>
      <c r="J2805" s="3" t="n">
        <v>296.16</v>
      </c>
      <c r="K2805" s="3" t="n">
        <v>44.42</v>
      </c>
      <c r="L2805" s="3" t="n">
        <v>251.74</v>
      </c>
      <c r="M2805" s="3" t="n">
        <v>185.7</v>
      </c>
      <c r="N2805" s="3" t="n">
        <v>66.04000000000001</v>
      </c>
      <c r="O2805">
        <f>TEXT(A2805,"yyyy-mm")</f>
        <v/>
      </c>
    </row>
    <row r="2806">
      <c r="A2806" s="2" t="n">
        <v>45965</v>
      </c>
      <c r="B2806" t="n">
        <v>2025</v>
      </c>
      <c r="C2806" t="inlineStr">
        <is>
          <t>November</t>
        </is>
      </c>
      <c r="D2806" t="inlineStr">
        <is>
          <t>Smart Board Game</t>
        </is>
      </c>
      <c r="E2806" t="inlineStr">
        <is>
          <t>Toys &amp; Games</t>
        </is>
      </c>
      <c r="F2806" t="inlineStr">
        <is>
          <t>Sophie Wilson</t>
        </is>
      </c>
      <c r="G2806" t="inlineStr">
        <is>
          <t>Netherlands</t>
        </is>
      </c>
      <c r="H2806" t="inlineStr">
        <is>
          <t>Marketplace</t>
        </is>
      </c>
      <c r="I2806" t="n">
        <v>4</v>
      </c>
      <c r="J2806" s="3" t="n">
        <v>550.4400000000001</v>
      </c>
      <c r="K2806" s="3" t="n">
        <v>82.56999999999999</v>
      </c>
      <c r="L2806" s="3" t="n">
        <v>467.87</v>
      </c>
      <c r="M2806" s="3" t="n">
        <v>366.88</v>
      </c>
      <c r="N2806" s="3" t="n">
        <v>100.99</v>
      </c>
      <c r="O2806">
        <f>TEXT(A2806,"yyyy-mm")</f>
        <v/>
      </c>
    </row>
    <row r="2807">
      <c r="A2807" s="2" t="n">
        <v>45965</v>
      </c>
      <c r="B2807" t="n">
        <v>2025</v>
      </c>
      <c r="C2807" t="inlineStr">
        <is>
          <t>November</t>
        </is>
      </c>
      <c r="D2807" t="inlineStr">
        <is>
          <t>Portable Tea Set</t>
        </is>
      </c>
      <c r="E2807" t="inlineStr">
        <is>
          <t>Grocery</t>
        </is>
      </c>
      <c r="F2807" t="inlineStr">
        <is>
          <t>Sophie Wilson</t>
        </is>
      </c>
      <c r="G2807" t="inlineStr">
        <is>
          <t>Netherlands</t>
        </is>
      </c>
      <c r="H2807" t="inlineStr">
        <is>
          <t>Marketplace</t>
        </is>
      </c>
      <c r="I2807" t="n">
        <v>3</v>
      </c>
      <c r="J2807" s="3" t="n">
        <v>828.99</v>
      </c>
      <c r="K2807" s="3" t="n">
        <v>165.8</v>
      </c>
      <c r="L2807" s="3" t="n">
        <v>663.1900000000001</v>
      </c>
      <c r="M2807" s="3" t="n">
        <v>564.36</v>
      </c>
      <c r="N2807" s="3" t="n">
        <v>98.83</v>
      </c>
      <c r="O2807">
        <f>TEXT(A2807,"yyyy-mm")</f>
        <v/>
      </c>
    </row>
    <row r="2808">
      <c r="A2808" s="2" t="n">
        <v>45965</v>
      </c>
      <c r="B2808" t="n">
        <v>2025</v>
      </c>
      <c r="C2808" t="inlineStr">
        <is>
          <t>November</t>
        </is>
      </c>
      <c r="D2808" t="inlineStr">
        <is>
          <t>Smart Puzzle</t>
        </is>
      </c>
      <c r="E2808" t="inlineStr">
        <is>
          <t>Toys &amp; Games</t>
        </is>
      </c>
      <c r="F2808" t="inlineStr">
        <is>
          <t>Michael Schmidt</t>
        </is>
      </c>
      <c r="G2808" t="inlineStr">
        <is>
          <t>Netherlands</t>
        </is>
      </c>
      <c r="H2808" t="inlineStr">
        <is>
          <t>Marketplace</t>
        </is>
      </c>
      <c r="I2808" t="n">
        <v>4</v>
      </c>
      <c r="J2808" s="3" t="n">
        <v>188.68</v>
      </c>
      <c r="K2808" s="3" t="n">
        <v>9.43</v>
      </c>
      <c r="L2808" s="3" t="n">
        <v>179.25</v>
      </c>
      <c r="M2808" s="3" t="n">
        <v>97.76000000000001</v>
      </c>
      <c r="N2808" s="3" t="n">
        <v>81.48999999999999</v>
      </c>
      <c r="O2808">
        <f>TEXT(A2808,"yyyy-mm")</f>
        <v/>
      </c>
    </row>
    <row r="2809">
      <c r="A2809" s="2" t="n">
        <v>45965</v>
      </c>
      <c r="B2809" t="n">
        <v>2025</v>
      </c>
      <c r="C2809" t="inlineStr">
        <is>
          <t>November</t>
        </is>
      </c>
      <c r="D2809" t="inlineStr">
        <is>
          <t>Deluxe Scarf</t>
        </is>
      </c>
      <c r="E2809" t="inlineStr">
        <is>
          <t>Clothing</t>
        </is>
      </c>
      <c r="F2809" t="inlineStr">
        <is>
          <t>Michael Schmidt</t>
        </is>
      </c>
      <c r="G2809" t="inlineStr">
        <is>
          <t>Netherlands</t>
        </is>
      </c>
      <c r="H2809" t="inlineStr">
        <is>
          <t>Marketplace</t>
        </is>
      </c>
      <c r="I2809" t="n">
        <v>5</v>
      </c>
      <c r="J2809" s="3" t="n">
        <v>1049.5</v>
      </c>
      <c r="K2809" s="3" t="n">
        <v>0</v>
      </c>
      <c r="L2809" s="3" t="n">
        <v>1049.5</v>
      </c>
      <c r="M2809" s="3" t="n">
        <v>542.6</v>
      </c>
      <c r="N2809" s="3" t="n">
        <v>506.9</v>
      </c>
      <c r="O2809">
        <f>TEXT(A2809,"yyyy-mm")</f>
        <v/>
      </c>
    </row>
    <row r="2810">
      <c r="A2810" s="2" t="n">
        <v>45965</v>
      </c>
      <c r="B2810" t="n">
        <v>2025</v>
      </c>
      <c r="C2810" t="inlineStr">
        <is>
          <t>November</t>
        </is>
      </c>
      <c r="D2810" t="inlineStr">
        <is>
          <t>Smart Olive Oil</t>
        </is>
      </c>
      <c r="E2810" t="inlineStr">
        <is>
          <t>Grocery</t>
        </is>
      </c>
      <c r="F2810" t="inlineStr">
        <is>
          <t>Michael Schmidt</t>
        </is>
      </c>
      <c r="G2810" t="inlineStr">
        <is>
          <t>Netherlands</t>
        </is>
      </c>
      <c r="H2810" t="inlineStr">
        <is>
          <t>Marketplace</t>
        </is>
      </c>
      <c r="I2810" t="n">
        <v>5</v>
      </c>
      <c r="J2810" s="3" t="n">
        <v>789.55</v>
      </c>
      <c r="K2810" s="3" t="n">
        <v>157.91</v>
      </c>
      <c r="L2810" s="3" t="n">
        <v>631.64</v>
      </c>
      <c r="M2810" s="3" t="n">
        <v>550.1</v>
      </c>
      <c r="N2810" s="3" t="n">
        <v>81.54000000000001</v>
      </c>
      <c r="O2810">
        <f>TEXT(A2810,"yyyy-mm")</f>
        <v/>
      </c>
    </row>
    <row r="2811">
      <c r="A2811" s="2" t="n">
        <v>45965</v>
      </c>
      <c r="B2811" t="n">
        <v>2025</v>
      </c>
      <c r="C2811" t="inlineStr">
        <is>
          <t>November</t>
        </is>
      </c>
      <c r="D2811" t="inlineStr">
        <is>
          <t>Smart Charger</t>
        </is>
      </c>
      <c r="E2811" t="inlineStr">
        <is>
          <t>Electronics</t>
        </is>
      </c>
      <c r="F2811" t="inlineStr">
        <is>
          <t>Sophie Rossi</t>
        </is>
      </c>
      <c r="G2811" t="inlineStr">
        <is>
          <t>France</t>
        </is>
      </c>
      <c r="H2811" t="inlineStr">
        <is>
          <t>Mobile App</t>
        </is>
      </c>
      <c r="I2811" t="n">
        <v>4</v>
      </c>
      <c r="J2811" s="3" t="n">
        <v>1049.92</v>
      </c>
      <c r="K2811" s="3" t="n">
        <v>104.99</v>
      </c>
      <c r="L2811" s="3" t="n">
        <v>944.9299999999999</v>
      </c>
      <c r="M2811" s="3" t="n">
        <v>570.08</v>
      </c>
      <c r="N2811" s="3" t="n">
        <v>374.85</v>
      </c>
      <c r="O2811">
        <f>TEXT(A2811,"yyyy-mm")</f>
        <v/>
      </c>
    </row>
    <row r="2812">
      <c r="A2812" s="2" t="n">
        <v>45965</v>
      </c>
      <c r="B2812" t="n">
        <v>2025</v>
      </c>
      <c r="C2812" t="inlineStr">
        <is>
          <t>November</t>
        </is>
      </c>
      <c r="D2812" t="inlineStr">
        <is>
          <t>Smart Olive Oil</t>
        </is>
      </c>
      <c r="E2812" t="inlineStr">
        <is>
          <t>Grocery</t>
        </is>
      </c>
      <c r="F2812" t="inlineStr">
        <is>
          <t>Paul Zielinski</t>
        </is>
      </c>
      <c r="G2812" t="inlineStr">
        <is>
          <t>Germany</t>
        </is>
      </c>
      <c r="H2812" t="inlineStr">
        <is>
          <t>Retail Store</t>
        </is>
      </c>
      <c r="I2812" t="n">
        <v>2</v>
      </c>
      <c r="J2812" s="3" t="n">
        <v>317.76</v>
      </c>
      <c r="K2812" s="3" t="n">
        <v>0</v>
      </c>
      <c r="L2812" s="3" t="n">
        <v>317.76</v>
      </c>
      <c r="M2812" s="3" t="n">
        <v>220.04</v>
      </c>
      <c r="N2812" s="3" t="n">
        <v>97.72</v>
      </c>
      <c r="O2812">
        <f>TEXT(A2812,"yyyy-mm")</f>
        <v/>
      </c>
    </row>
    <row r="2813">
      <c r="A2813" s="2" t="n">
        <v>45965</v>
      </c>
      <c r="B2813" t="n">
        <v>2025</v>
      </c>
      <c r="C2813" t="inlineStr">
        <is>
          <t>November</t>
        </is>
      </c>
      <c r="D2813" t="inlineStr">
        <is>
          <t>Portable Tea Set</t>
        </is>
      </c>
      <c r="E2813" t="inlineStr">
        <is>
          <t>Grocery</t>
        </is>
      </c>
      <c r="F2813" t="inlineStr">
        <is>
          <t>Paul Zielinski</t>
        </is>
      </c>
      <c r="G2813" t="inlineStr">
        <is>
          <t>Germany</t>
        </is>
      </c>
      <c r="H2813" t="inlineStr">
        <is>
          <t>Retail Store</t>
        </is>
      </c>
      <c r="I2813" t="n">
        <v>2</v>
      </c>
      <c r="J2813" s="3" t="n">
        <v>535.96</v>
      </c>
      <c r="K2813" s="3" t="n">
        <v>0</v>
      </c>
      <c r="L2813" s="3" t="n">
        <v>535.96</v>
      </c>
      <c r="M2813" s="3" t="n">
        <v>376.24</v>
      </c>
      <c r="N2813" s="3" t="n">
        <v>159.72</v>
      </c>
      <c r="O2813">
        <f>TEXT(A2813,"yyyy-mm")</f>
        <v/>
      </c>
    </row>
    <row r="2814">
      <c r="A2814" s="2" t="n">
        <v>45967</v>
      </c>
      <c r="B2814" t="n">
        <v>2025</v>
      </c>
      <c r="C2814" t="inlineStr">
        <is>
          <t>November</t>
        </is>
      </c>
      <c r="D2814" t="inlineStr">
        <is>
          <t>Smart Sweater</t>
        </is>
      </c>
      <c r="E2814" t="inlineStr">
        <is>
          <t>Clothing</t>
        </is>
      </c>
      <c r="F2814" t="inlineStr">
        <is>
          <t>Maria Moreau</t>
        </is>
      </c>
      <c r="G2814" t="inlineStr">
        <is>
          <t>Germany</t>
        </is>
      </c>
      <c r="H2814" t="inlineStr">
        <is>
          <t>Mobile App</t>
        </is>
      </c>
      <c r="I2814" t="n">
        <v>2</v>
      </c>
      <c r="J2814" s="3" t="n">
        <v>287.88</v>
      </c>
      <c r="K2814" s="3" t="n">
        <v>57.58</v>
      </c>
      <c r="L2814" s="3" t="n">
        <v>230.3</v>
      </c>
      <c r="M2814" s="3" t="n">
        <v>154.7</v>
      </c>
      <c r="N2814" s="3" t="n">
        <v>75.59999999999999</v>
      </c>
      <c r="O2814">
        <f>TEXT(A2814,"yyyy-mm")</f>
        <v/>
      </c>
    </row>
    <row r="2815">
      <c r="A2815" s="2" t="n">
        <v>45967</v>
      </c>
      <c r="B2815" t="n">
        <v>2025</v>
      </c>
      <c r="C2815" t="inlineStr">
        <is>
          <t>November</t>
        </is>
      </c>
      <c r="D2815" t="inlineStr">
        <is>
          <t>Portable Notebook</t>
        </is>
      </c>
      <c r="E2815" t="inlineStr">
        <is>
          <t>Books</t>
        </is>
      </c>
      <c r="F2815" t="inlineStr">
        <is>
          <t>Maria Moreau</t>
        </is>
      </c>
      <c r="G2815" t="inlineStr">
        <is>
          <t>Germany</t>
        </is>
      </c>
      <c r="H2815" t="inlineStr">
        <is>
          <t>Mobile App</t>
        </is>
      </c>
      <c r="I2815" t="n">
        <v>5</v>
      </c>
      <c r="J2815" s="3" t="n">
        <v>628.8</v>
      </c>
      <c r="K2815" s="3" t="n">
        <v>0</v>
      </c>
      <c r="L2815" s="3" t="n">
        <v>628.8</v>
      </c>
      <c r="M2815" s="3" t="n">
        <v>356.4</v>
      </c>
      <c r="N2815" s="3" t="n">
        <v>272.4</v>
      </c>
      <c r="O2815">
        <f>TEXT(A2815,"yyyy-mm")</f>
        <v/>
      </c>
    </row>
    <row r="2816">
      <c r="A2816" s="2" t="n">
        <v>45967</v>
      </c>
      <c r="B2816" t="n">
        <v>2025</v>
      </c>
      <c r="C2816" t="inlineStr">
        <is>
          <t>November</t>
        </is>
      </c>
      <c r="D2816" t="inlineStr">
        <is>
          <t>Eco Backpack</t>
        </is>
      </c>
      <c r="E2816" t="inlineStr">
        <is>
          <t>Sports &amp; Outdoors</t>
        </is>
      </c>
      <c r="F2816" t="inlineStr">
        <is>
          <t>Maria Moreau</t>
        </is>
      </c>
      <c r="G2816" t="inlineStr">
        <is>
          <t>Germany</t>
        </is>
      </c>
      <c r="H2816" t="inlineStr">
        <is>
          <t>Mobile App</t>
        </is>
      </c>
      <c r="I2816" t="n">
        <v>2</v>
      </c>
      <c r="J2816" s="3" t="n">
        <v>532.8200000000001</v>
      </c>
      <c r="K2816" s="3" t="n">
        <v>0</v>
      </c>
      <c r="L2816" s="3" t="n">
        <v>532.8200000000001</v>
      </c>
      <c r="M2816" s="3" t="n">
        <v>293.16</v>
      </c>
      <c r="N2816" s="3" t="n">
        <v>239.66</v>
      </c>
      <c r="O2816">
        <f>TEXT(A2816,"yyyy-mm")</f>
        <v/>
      </c>
    </row>
    <row r="2817">
      <c r="A2817" s="2" t="n">
        <v>45968</v>
      </c>
      <c r="B2817" t="n">
        <v>2025</v>
      </c>
      <c r="C2817" t="inlineStr">
        <is>
          <t>November</t>
        </is>
      </c>
      <c r="D2817" t="inlineStr">
        <is>
          <t>Essential Lamp</t>
        </is>
      </c>
      <c r="E2817" t="inlineStr">
        <is>
          <t>Home &amp; Garden</t>
        </is>
      </c>
      <c r="F2817" t="inlineStr">
        <is>
          <t>Daniel Garcia</t>
        </is>
      </c>
      <c r="G2817" t="inlineStr">
        <is>
          <t>Spain</t>
        </is>
      </c>
      <c r="H2817" t="inlineStr">
        <is>
          <t>Marketplace</t>
        </is>
      </c>
      <c r="I2817" t="n">
        <v>2</v>
      </c>
      <c r="J2817" s="3" t="n">
        <v>133.66</v>
      </c>
      <c r="K2817" s="3" t="n">
        <v>0</v>
      </c>
      <c r="L2817" s="3" t="n">
        <v>133.66</v>
      </c>
      <c r="M2817" s="3" t="n">
        <v>90.8</v>
      </c>
      <c r="N2817" s="3" t="n">
        <v>42.86</v>
      </c>
      <c r="O2817">
        <f>TEXT(A2817,"yyyy-mm")</f>
        <v/>
      </c>
    </row>
    <row r="2818">
      <c r="A2818" s="2" t="n">
        <v>45968</v>
      </c>
      <c r="B2818" t="n">
        <v>2025</v>
      </c>
      <c r="C2818" t="inlineStr">
        <is>
          <t>November</t>
        </is>
      </c>
      <c r="D2818" t="inlineStr">
        <is>
          <t>Smart Camera</t>
        </is>
      </c>
      <c r="E2818" t="inlineStr">
        <is>
          <t>Electronics</t>
        </is>
      </c>
      <c r="F2818" t="inlineStr">
        <is>
          <t>Daniel Garcia</t>
        </is>
      </c>
      <c r="G2818" t="inlineStr">
        <is>
          <t>Spain</t>
        </is>
      </c>
      <c r="H2818" t="inlineStr">
        <is>
          <t>Marketplace</t>
        </is>
      </c>
      <c r="I2818" t="n">
        <v>2</v>
      </c>
      <c r="J2818" s="3" t="n">
        <v>605</v>
      </c>
      <c r="K2818" s="3" t="n">
        <v>30.25</v>
      </c>
      <c r="L2818" s="3" t="n">
        <v>574.75</v>
      </c>
      <c r="M2818" s="3" t="n">
        <v>334.8</v>
      </c>
      <c r="N2818" s="3" t="n">
        <v>239.95</v>
      </c>
      <c r="O2818">
        <f>TEXT(A2818,"yyyy-mm")</f>
        <v/>
      </c>
    </row>
    <row r="2819">
      <c r="A2819" s="2" t="n">
        <v>45968</v>
      </c>
      <c r="B2819" t="n">
        <v>2025</v>
      </c>
      <c r="C2819" t="inlineStr">
        <is>
          <t>November</t>
        </is>
      </c>
      <c r="D2819" t="inlineStr">
        <is>
          <t>Smart Drone</t>
        </is>
      </c>
      <c r="E2819" t="inlineStr">
        <is>
          <t>Toys &amp; Games</t>
        </is>
      </c>
      <c r="F2819" t="inlineStr">
        <is>
          <t>Daniel Garcia</t>
        </is>
      </c>
      <c r="G2819" t="inlineStr">
        <is>
          <t>Spain</t>
        </is>
      </c>
      <c r="H2819" t="inlineStr">
        <is>
          <t>Marketplace</t>
        </is>
      </c>
      <c r="I2819" t="n">
        <v>5</v>
      </c>
      <c r="J2819" s="3" t="n">
        <v>1165.85</v>
      </c>
      <c r="K2819" s="3" t="n">
        <v>233.17</v>
      </c>
      <c r="L2819" s="3" t="n">
        <v>932.6799999999999</v>
      </c>
      <c r="M2819" s="3" t="n">
        <v>634.75</v>
      </c>
      <c r="N2819" s="3" t="n">
        <v>297.93</v>
      </c>
      <c r="O2819">
        <f>TEXT(A2819,"yyyy-mm")</f>
        <v/>
      </c>
    </row>
    <row r="2820">
      <c r="A2820" s="2" t="n">
        <v>45968</v>
      </c>
      <c r="B2820" t="n">
        <v>2025</v>
      </c>
      <c r="C2820" t="inlineStr">
        <is>
          <t>November</t>
        </is>
      </c>
      <c r="D2820" t="inlineStr">
        <is>
          <t>Classic Coffee Beans</t>
        </is>
      </c>
      <c r="E2820" t="inlineStr">
        <is>
          <t>Grocery</t>
        </is>
      </c>
      <c r="F2820" t="inlineStr">
        <is>
          <t>Emma Zielinski</t>
        </is>
      </c>
      <c r="G2820" t="inlineStr">
        <is>
          <t>France</t>
        </is>
      </c>
      <c r="H2820" t="inlineStr">
        <is>
          <t>Web Store</t>
        </is>
      </c>
      <c r="I2820" t="n">
        <v>2</v>
      </c>
      <c r="J2820" s="3" t="n">
        <v>629.5</v>
      </c>
      <c r="K2820" s="3" t="n">
        <v>125.9</v>
      </c>
      <c r="L2820" s="3" t="n">
        <v>503.6</v>
      </c>
      <c r="M2820" s="3" t="n">
        <v>389.52</v>
      </c>
      <c r="N2820" s="3" t="n">
        <v>114.08</v>
      </c>
      <c r="O2820">
        <f>TEXT(A2820,"yyyy-mm")</f>
        <v/>
      </c>
    </row>
    <row r="2821">
      <c r="A2821" s="2" t="n">
        <v>45968</v>
      </c>
      <c r="B2821" t="n">
        <v>2025</v>
      </c>
      <c r="C2821" t="inlineStr">
        <is>
          <t>November</t>
        </is>
      </c>
      <c r="D2821" t="inlineStr">
        <is>
          <t>Classic Tea Set</t>
        </is>
      </c>
      <c r="E2821" t="inlineStr">
        <is>
          <t>Grocery</t>
        </is>
      </c>
      <c r="F2821" t="inlineStr">
        <is>
          <t>Emma Zielinski</t>
        </is>
      </c>
      <c r="G2821" t="inlineStr">
        <is>
          <t>France</t>
        </is>
      </c>
      <c r="H2821" t="inlineStr">
        <is>
          <t>Web Store</t>
        </is>
      </c>
      <c r="I2821" t="n">
        <v>3</v>
      </c>
      <c r="J2821" s="3" t="n">
        <v>565.02</v>
      </c>
      <c r="K2821" s="3" t="n">
        <v>84.75</v>
      </c>
      <c r="L2821" s="3" t="n">
        <v>480.27</v>
      </c>
      <c r="M2821" s="3" t="n">
        <v>376.2</v>
      </c>
      <c r="N2821" s="3" t="n">
        <v>104.07</v>
      </c>
      <c r="O2821">
        <f>TEXT(A2821,"yyyy-mm")</f>
        <v/>
      </c>
    </row>
    <row r="2822">
      <c r="A2822" s="2" t="n">
        <v>45968</v>
      </c>
      <c r="B2822" t="n">
        <v>2025</v>
      </c>
      <c r="C2822" t="inlineStr">
        <is>
          <t>November</t>
        </is>
      </c>
      <c r="D2822" t="inlineStr">
        <is>
          <t>Essential Planter</t>
        </is>
      </c>
      <c r="E2822" t="inlineStr">
        <is>
          <t>Home &amp; Garden</t>
        </is>
      </c>
      <c r="F2822" t="inlineStr">
        <is>
          <t>Emma Zielinski</t>
        </is>
      </c>
      <c r="G2822" t="inlineStr">
        <is>
          <t>France</t>
        </is>
      </c>
      <c r="H2822" t="inlineStr">
        <is>
          <t>Web Store</t>
        </is>
      </c>
      <c r="I2822" t="n">
        <v>1</v>
      </c>
      <c r="J2822" s="3" t="n">
        <v>24.88</v>
      </c>
      <c r="K2822" s="3" t="n">
        <v>0</v>
      </c>
      <c r="L2822" s="3" t="n">
        <v>24.88</v>
      </c>
      <c r="M2822" s="3" t="n">
        <v>19.64</v>
      </c>
      <c r="N2822" s="3" t="n">
        <v>5.24</v>
      </c>
      <c r="O2822">
        <f>TEXT(A2822,"yyyy-mm")</f>
        <v/>
      </c>
    </row>
    <row r="2823">
      <c r="A2823" s="2" t="n">
        <v>45968</v>
      </c>
      <c r="B2823" t="n">
        <v>2025</v>
      </c>
      <c r="C2823" t="inlineStr">
        <is>
          <t>November</t>
        </is>
      </c>
      <c r="D2823" t="inlineStr">
        <is>
          <t>Eco Planter</t>
        </is>
      </c>
      <c r="E2823" t="inlineStr">
        <is>
          <t>Home &amp; Garden</t>
        </is>
      </c>
      <c r="F2823" t="inlineStr">
        <is>
          <t>Clara Wojcik</t>
        </is>
      </c>
      <c r="G2823" t="inlineStr">
        <is>
          <t>Italy</t>
        </is>
      </c>
      <c r="H2823" t="inlineStr">
        <is>
          <t>Web Store</t>
        </is>
      </c>
      <c r="I2823" t="n">
        <v>3</v>
      </c>
      <c r="J2823" s="3" t="n">
        <v>575.46</v>
      </c>
      <c r="K2823" s="3" t="n">
        <v>86.31999999999999</v>
      </c>
      <c r="L2823" s="3" t="n">
        <v>489.14</v>
      </c>
      <c r="M2823" s="3" t="n">
        <v>337.23</v>
      </c>
      <c r="N2823" s="3" t="n">
        <v>151.91</v>
      </c>
      <c r="O2823">
        <f>TEXT(A2823,"yyyy-mm")</f>
        <v/>
      </c>
    </row>
    <row r="2824">
      <c r="A2824" s="2" t="n">
        <v>45968</v>
      </c>
      <c r="B2824" t="n">
        <v>2025</v>
      </c>
      <c r="C2824" t="inlineStr">
        <is>
          <t>November</t>
        </is>
      </c>
      <c r="D2824" t="inlineStr">
        <is>
          <t>Deluxe Toothbrush</t>
        </is>
      </c>
      <c r="E2824" t="inlineStr">
        <is>
          <t>Beauty &amp; Health</t>
        </is>
      </c>
      <c r="F2824" t="inlineStr">
        <is>
          <t>Clara Wojcik</t>
        </is>
      </c>
      <c r="G2824" t="inlineStr">
        <is>
          <t>Italy</t>
        </is>
      </c>
      <c r="H2824" t="inlineStr">
        <is>
          <t>Web Store</t>
        </is>
      </c>
      <c r="I2824" t="n">
        <v>1</v>
      </c>
      <c r="J2824" s="3" t="n">
        <v>340.75</v>
      </c>
      <c r="K2824" s="3" t="n">
        <v>0</v>
      </c>
      <c r="L2824" s="3" t="n">
        <v>340.75</v>
      </c>
      <c r="M2824" s="3" t="n">
        <v>174.57</v>
      </c>
      <c r="N2824" s="3" t="n">
        <v>166.18</v>
      </c>
      <c r="O2824">
        <f>TEXT(A2824,"yyyy-mm")</f>
        <v/>
      </c>
    </row>
    <row r="2825">
      <c r="A2825" s="2" t="n">
        <v>45968</v>
      </c>
      <c r="B2825" t="n">
        <v>2025</v>
      </c>
      <c r="C2825" t="inlineStr">
        <is>
          <t>November</t>
        </is>
      </c>
      <c r="D2825" t="inlineStr">
        <is>
          <t>Smart Camera</t>
        </is>
      </c>
      <c r="E2825" t="inlineStr">
        <is>
          <t>Electronics</t>
        </is>
      </c>
      <c r="F2825" t="inlineStr">
        <is>
          <t>Clara Wojcik</t>
        </is>
      </c>
      <c r="G2825" t="inlineStr">
        <is>
          <t>Italy</t>
        </is>
      </c>
      <c r="H2825" t="inlineStr">
        <is>
          <t>Web Store</t>
        </is>
      </c>
      <c r="I2825" t="n">
        <v>4</v>
      </c>
      <c r="J2825" s="3" t="n">
        <v>474.72</v>
      </c>
      <c r="K2825" s="3" t="n">
        <v>0</v>
      </c>
      <c r="L2825" s="3" t="n">
        <v>474.72</v>
      </c>
      <c r="M2825" s="3" t="n">
        <v>342.32</v>
      </c>
      <c r="N2825" s="3" t="n">
        <v>132.4</v>
      </c>
      <c r="O2825">
        <f>TEXT(A2825,"yyyy-mm")</f>
        <v/>
      </c>
    </row>
    <row r="2826">
      <c r="A2826" s="2" t="n">
        <v>45968</v>
      </c>
      <c r="B2826" t="n">
        <v>2025</v>
      </c>
      <c r="C2826" t="inlineStr">
        <is>
          <t>November</t>
        </is>
      </c>
      <c r="D2826" t="inlineStr">
        <is>
          <t>Compact Pasta</t>
        </is>
      </c>
      <c r="E2826" t="inlineStr">
        <is>
          <t>Grocery</t>
        </is>
      </c>
      <c r="F2826" t="inlineStr">
        <is>
          <t>Thomas Kowalski</t>
        </is>
      </c>
      <c r="G2826" t="inlineStr">
        <is>
          <t>United Kingdom</t>
        </is>
      </c>
      <c r="H2826" t="inlineStr">
        <is>
          <t>Marketplace</t>
        </is>
      </c>
      <c r="I2826" t="n">
        <v>4</v>
      </c>
      <c r="J2826" s="3" t="n">
        <v>1276.28</v>
      </c>
      <c r="K2826" s="3" t="n">
        <v>0</v>
      </c>
      <c r="L2826" s="3" t="n">
        <v>1276.28</v>
      </c>
      <c r="M2826" s="3" t="n">
        <v>797.6</v>
      </c>
      <c r="N2826" s="3" t="n">
        <v>478.68</v>
      </c>
      <c r="O2826">
        <f>TEXT(A2826,"yyyy-mm")</f>
        <v/>
      </c>
    </row>
    <row r="2827">
      <c r="A2827" s="2" t="n">
        <v>45968</v>
      </c>
      <c r="B2827" t="n">
        <v>2025</v>
      </c>
      <c r="C2827" t="inlineStr">
        <is>
          <t>November</t>
        </is>
      </c>
      <c r="D2827" t="inlineStr">
        <is>
          <t>Wireless Cookbook</t>
        </is>
      </c>
      <c r="E2827" t="inlineStr">
        <is>
          <t>Books</t>
        </is>
      </c>
      <c r="F2827" t="inlineStr">
        <is>
          <t>Thomas Kowalski</t>
        </is>
      </c>
      <c r="G2827" t="inlineStr">
        <is>
          <t>United Kingdom</t>
        </is>
      </c>
      <c r="H2827" t="inlineStr">
        <is>
          <t>Marketplace</t>
        </is>
      </c>
      <c r="I2827" t="n">
        <v>4</v>
      </c>
      <c r="J2827" s="3" t="n">
        <v>312.24</v>
      </c>
      <c r="K2827" s="3" t="n">
        <v>0</v>
      </c>
      <c r="L2827" s="3" t="n">
        <v>312.24</v>
      </c>
      <c r="M2827" s="3" t="n">
        <v>226.44</v>
      </c>
      <c r="N2827" s="3" t="n">
        <v>85.8</v>
      </c>
      <c r="O2827">
        <f>TEXT(A2827,"yyyy-mm")</f>
        <v/>
      </c>
    </row>
    <row r="2828">
      <c r="A2828" s="2" t="n">
        <v>45968</v>
      </c>
      <c r="B2828" t="n">
        <v>2025</v>
      </c>
      <c r="C2828" t="inlineStr">
        <is>
          <t>November</t>
        </is>
      </c>
      <c r="D2828" t="inlineStr">
        <is>
          <t>Essential Toolset</t>
        </is>
      </c>
      <c r="E2828" t="inlineStr">
        <is>
          <t>Home &amp; Garden</t>
        </is>
      </c>
      <c r="F2828" t="inlineStr">
        <is>
          <t>Thomas Kowalski</t>
        </is>
      </c>
      <c r="G2828" t="inlineStr">
        <is>
          <t>United Kingdom</t>
        </is>
      </c>
      <c r="H2828" t="inlineStr">
        <is>
          <t>Marketplace</t>
        </is>
      </c>
      <c r="I2828" t="n">
        <v>1</v>
      </c>
      <c r="J2828" s="3" t="n">
        <v>197.78</v>
      </c>
      <c r="K2828" s="3" t="n">
        <v>0</v>
      </c>
      <c r="L2828" s="3" t="n">
        <v>197.78</v>
      </c>
      <c r="M2828" s="3" t="n">
        <v>150.53</v>
      </c>
      <c r="N2828" s="3" t="n">
        <v>47.25</v>
      </c>
      <c r="O2828">
        <f>TEXT(A2828,"yyyy-mm")</f>
        <v/>
      </c>
    </row>
    <row r="2829">
      <c r="A2829" s="2" t="n">
        <v>45968</v>
      </c>
      <c r="B2829" t="n">
        <v>2025</v>
      </c>
      <c r="C2829" t="inlineStr">
        <is>
          <t>November</t>
        </is>
      </c>
      <c r="D2829" t="inlineStr">
        <is>
          <t>Eco Drone</t>
        </is>
      </c>
      <c r="E2829" t="inlineStr">
        <is>
          <t>Toys &amp; Games</t>
        </is>
      </c>
      <c r="F2829" t="inlineStr">
        <is>
          <t>Thomas Kowalski</t>
        </is>
      </c>
      <c r="G2829" t="inlineStr">
        <is>
          <t>United Kingdom</t>
        </is>
      </c>
      <c r="H2829" t="inlineStr">
        <is>
          <t>Marketplace</t>
        </is>
      </c>
      <c r="I2829" t="n">
        <v>4</v>
      </c>
      <c r="J2829" s="3" t="n">
        <v>809.84</v>
      </c>
      <c r="K2829" s="3" t="n">
        <v>0</v>
      </c>
      <c r="L2829" s="3" t="n">
        <v>809.84</v>
      </c>
      <c r="M2829" s="3" t="n">
        <v>518.36</v>
      </c>
      <c r="N2829" s="3" t="n">
        <v>291.48</v>
      </c>
      <c r="O2829">
        <f>TEXT(A2829,"yyyy-mm")</f>
        <v/>
      </c>
    </row>
    <row r="2830">
      <c r="A2830" s="2" t="n">
        <v>45968</v>
      </c>
      <c r="B2830" t="n">
        <v>2025</v>
      </c>
      <c r="C2830" t="inlineStr">
        <is>
          <t>November</t>
        </is>
      </c>
      <c r="D2830" t="inlineStr">
        <is>
          <t>Portable Notebook</t>
        </is>
      </c>
      <c r="E2830" t="inlineStr">
        <is>
          <t>Books</t>
        </is>
      </c>
      <c r="F2830" t="inlineStr">
        <is>
          <t>Daniel Garcia</t>
        </is>
      </c>
      <c r="G2830" t="inlineStr">
        <is>
          <t>Spain</t>
        </is>
      </c>
      <c r="H2830" t="inlineStr">
        <is>
          <t>Marketplace</t>
        </is>
      </c>
      <c r="I2830" t="n">
        <v>3</v>
      </c>
      <c r="J2830" s="3" t="n">
        <v>371.88</v>
      </c>
      <c r="K2830" s="3" t="n">
        <v>37.19</v>
      </c>
      <c r="L2830" s="3" t="n">
        <v>334.69</v>
      </c>
      <c r="M2830" s="3" t="n">
        <v>213.84</v>
      </c>
      <c r="N2830" s="3" t="n">
        <v>120.85</v>
      </c>
      <c r="O2830">
        <f>TEXT(A2830,"yyyy-mm")</f>
        <v/>
      </c>
    </row>
    <row r="2831">
      <c r="A2831" s="2" t="n">
        <v>45969</v>
      </c>
      <c r="B2831" t="n">
        <v>2025</v>
      </c>
      <c r="C2831" t="inlineStr">
        <is>
          <t>November</t>
        </is>
      </c>
      <c r="D2831" t="inlineStr">
        <is>
          <t>Deluxe Scarf</t>
        </is>
      </c>
      <c r="E2831" t="inlineStr">
        <is>
          <t>Clothing</t>
        </is>
      </c>
      <c r="F2831" t="inlineStr">
        <is>
          <t>Olivia Kowalski</t>
        </is>
      </c>
      <c r="G2831" t="inlineStr">
        <is>
          <t>Poland</t>
        </is>
      </c>
      <c r="H2831" t="inlineStr">
        <is>
          <t>Marketplace</t>
        </is>
      </c>
      <c r="I2831" t="n">
        <v>2</v>
      </c>
      <c r="J2831" s="3" t="n">
        <v>396.4</v>
      </c>
      <c r="K2831" s="3" t="n">
        <v>59.46</v>
      </c>
      <c r="L2831" s="3" t="n">
        <v>336.94</v>
      </c>
      <c r="M2831" s="3" t="n">
        <v>217.04</v>
      </c>
      <c r="N2831" s="3" t="n">
        <v>119.9</v>
      </c>
      <c r="O2831">
        <f>TEXT(A2831,"yyyy-mm")</f>
        <v/>
      </c>
    </row>
    <row r="2832">
      <c r="A2832" s="2" t="n">
        <v>45969</v>
      </c>
      <c r="B2832" t="n">
        <v>2025</v>
      </c>
      <c r="C2832" t="inlineStr">
        <is>
          <t>November</t>
        </is>
      </c>
      <c r="D2832" t="inlineStr">
        <is>
          <t>Premium Tent</t>
        </is>
      </c>
      <c r="E2832" t="inlineStr">
        <is>
          <t>Sports &amp; Outdoors</t>
        </is>
      </c>
      <c r="F2832" t="inlineStr">
        <is>
          <t>Olivia Kowalski</t>
        </is>
      </c>
      <c r="G2832" t="inlineStr">
        <is>
          <t>Poland</t>
        </is>
      </c>
      <c r="H2832" t="inlineStr">
        <is>
          <t>Marketplace</t>
        </is>
      </c>
      <c r="I2832" t="n">
        <v>1</v>
      </c>
      <c r="J2832" s="3" t="n">
        <v>247.6</v>
      </c>
      <c r="K2832" s="3" t="n">
        <v>0</v>
      </c>
      <c r="L2832" s="3" t="n">
        <v>247.6</v>
      </c>
      <c r="M2832" s="3" t="n">
        <v>139.04</v>
      </c>
      <c r="N2832" s="3" t="n">
        <v>108.56</v>
      </c>
      <c r="O2832">
        <f>TEXT(A2832,"yyyy-mm")</f>
        <v/>
      </c>
    </row>
    <row r="2833">
      <c r="A2833" s="2" t="n">
        <v>45969</v>
      </c>
      <c r="B2833" t="n">
        <v>2025</v>
      </c>
      <c r="C2833" t="inlineStr">
        <is>
          <t>November</t>
        </is>
      </c>
      <c r="D2833" t="inlineStr">
        <is>
          <t>Premium Tent</t>
        </is>
      </c>
      <c r="E2833" t="inlineStr">
        <is>
          <t>Sports &amp; Outdoors</t>
        </is>
      </c>
      <c r="F2833" t="inlineStr">
        <is>
          <t>Julia Zielinski</t>
        </is>
      </c>
      <c r="G2833" t="inlineStr">
        <is>
          <t>Netherlands</t>
        </is>
      </c>
      <c r="H2833" t="inlineStr">
        <is>
          <t>Web Store</t>
        </is>
      </c>
      <c r="I2833" t="n">
        <v>4</v>
      </c>
      <c r="J2833" s="3" t="n">
        <v>1027.68</v>
      </c>
      <c r="K2833" s="3" t="n">
        <v>205.54</v>
      </c>
      <c r="L2833" s="3" t="n">
        <v>822.14</v>
      </c>
      <c r="M2833" s="3" t="n">
        <v>556.16</v>
      </c>
      <c r="N2833" s="3" t="n">
        <v>265.98</v>
      </c>
      <c r="O2833">
        <f>TEXT(A2833,"yyyy-mm")</f>
        <v/>
      </c>
    </row>
    <row r="2834">
      <c r="A2834" s="2" t="n">
        <v>45970</v>
      </c>
      <c r="B2834" t="n">
        <v>2025</v>
      </c>
      <c r="C2834" t="inlineStr">
        <is>
          <t>November</t>
        </is>
      </c>
      <c r="D2834" t="inlineStr">
        <is>
          <t>Smart Tea Set</t>
        </is>
      </c>
      <c r="E2834" t="inlineStr">
        <is>
          <t>Grocery</t>
        </is>
      </c>
      <c r="F2834" t="inlineStr">
        <is>
          <t>Sophie Wilson</t>
        </is>
      </c>
      <c r="G2834" t="inlineStr">
        <is>
          <t>Germany</t>
        </is>
      </c>
      <c r="H2834" t="inlineStr">
        <is>
          <t>Web Store</t>
        </is>
      </c>
      <c r="I2834" t="n">
        <v>1</v>
      </c>
      <c r="J2834" s="3" t="n">
        <v>93.23999999999999</v>
      </c>
      <c r="K2834" s="3" t="n">
        <v>4.66</v>
      </c>
      <c r="L2834" s="3" t="n">
        <v>88.58</v>
      </c>
      <c r="M2834" s="3" t="n">
        <v>61.8</v>
      </c>
      <c r="N2834" s="3" t="n">
        <v>26.78</v>
      </c>
      <c r="O2834">
        <f>TEXT(A2834,"yyyy-mm")</f>
        <v/>
      </c>
    </row>
    <row r="2835">
      <c r="A2835" s="2" t="n">
        <v>45970</v>
      </c>
      <c r="B2835" t="n">
        <v>2025</v>
      </c>
      <c r="C2835" t="inlineStr">
        <is>
          <t>November</t>
        </is>
      </c>
      <c r="D2835" t="inlineStr">
        <is>
          <t>Portable Pasta</t>
        </is>
      </c>
      <c r="E2835" t="inlineStr">
        <is>
          <t>Grocery</t>
        </is>
      </c>
      <c r="F2835" t="inlineStr">
        <is>
          <t>Sophie Wilson</t>
        </is>
      </c>
      <c r="G2835" t="inlineStr">
        <is>
          <t>Germany</t>
        </is>
      </c>
      <c r="H2835" t="inlineStr">
        <is>
          <t>Web Store</t>
        </is>
      </c>
      <c r="I2835" t="n">
        <v>1</v>
      </c>
      <c r="J2835" s="3" t="n">
        <v>36.05</v>
      </c>
      <c r="K2835" s="3" t="n">
        <v>0</v>
      </c>
      <c r="L2835" s="3" t="n">
        <v>36.05</v>
      </c>
      <c r="M2835" s="3" t="n">
        <v>27.75</v>
      </c>
      <c r="N2835" s="3" t="n">
        <v>8.300000000000001</v>
      </c>
      <c r="O2835">
        <f>TEXT(A2835,"yyyy-mm")</f>
        <v/>
      </c>
    </row>
    <row r="2836">
      <c r="A2836" s="2" t="n">
        <v>45970</v>
      </c>
      <c r="B2836" t="n">
        <v>2025</v>
      </c>
      <c r="C2836" t="inlineStr">
        <is>
          <t>November</t>
        </is>
      </c>
      <c r="D2836" t="inlineStr">
        <is>
          <t>Essential Planter</t>
        </is>
      </c>
      <c r="E2836" t="inlineStr">
        <is>
          <t>Home &amp; Garden</t>
        </is>
      </c>
      <c r="F2836" t="inlineStr">
        <is>
          <t>Sophie Wilson</t>
        </is>
      </c>
      <c r="G2836" t="inlineStr">
        <is>
          <t>Germany</t>
        </is>
      </c>
      <c r="H2836" t="inlineStr">
        <is>
          <t>Web Store</t>
        </is>
      </c>
      <c r="I2836" t="n">
        <v>2</v>
      </c>
      <c r="J2836" s="3" t="n">
        <v>52.48</v>
      </c>
      <c r="K2836" s="3" t="n">
        <v>7.87</v>
      </c>
      <c r="L2836" s="3" t="n">
        <v>44.61</v>
      </c>
      <c r="M2836" s="3" t="n">
        <v>39.28</v>
      </c>
      <c r="N2836" s="3" t="n">
        <v>5.33</v>
      </c>
      <c r="O2836">
        <f>TEXT(A2836,"yyyy-mm")</f>
        <v/>
      </c>
    </row>
    <row r="2837">
      <c r="A2837" s="2" t="n">
        <v>45970</v>
      </c>
      <c r="B2837" t="n">
        <v>2025</v>
      </c>
      <c r="C2837" t="inlineStr">
        <is>
          <t>November</t>
        </is>
      </c>
      <c r="D2837" t="inlineStr">
        <is>
          <t>Classic Yoga Mat</t>
        </is>
      </c>
      <c r="E2837" t="inlineStr">
        <is>
          <t>Sports &amp; Outdoors</t>
        </is>
      </c>
      <c r="F2837" t="inlineStr">
        <is>
          <t>Clara Fischer</t>
        </is>
      </c>
      <c r="G2837" t="inlineStr">
        <is>
          <t>Poland</t>
        </is>
      </c>
      <c r="H2837" t="inlineStr">
        <is>
          <t>Retail Store</t>
        </is>
      </c>
      <c r="I2837" t="n">
        <v>1</v>
      </c>
      <c r="J2837" s="3" t="n">
        <v>320.88</v>
      </c>
      <c r="K2837" s="3" t="n">
        <v>16.04</v>
      </c>
      <c r="L2837" s="3" t="n">
        <v>304.84</v>
      </c>
      <c r="M2837" s="3" t="n">
        <v>195.7</v>
      </c>
      <c r="N2837" s="3" t="n">
        <v>109.14</v>
      </c>
      <c r="O2837">
        <f>TEXT(A2837,"yyyy-mm")</f>
        <v/>
      </c>
    </row>
    <row r="2838">
      <c r="A2838" s="2" t="n">
        <v>45970</v>
      </c>
      <c r="B2838" t="n">
        <v>2025</v>
      </c>
      <c r="C2838" t="inlineStr">
        <is>
          <t>November</t>
        </is>
      </c>
      <c r="D2838" t="inlineStr">
        <is>
          <t>Eco Backpack</t>
        </is>
      </c>
      <c r="E2838" t="inlineStr">
        <is>
          <t>Sports &amp; Outdoors</t>
        </is>
      </c>
      <c r="F2838" t="inlineStr">
        <is>
          <t>Clara Fischer</t>
        </is>
      </c>
      <c r="G2838" t="inlineStr">
        <is>
          <t>Poland</t>
        </is>
      </c>
      <c r="H2838" t="inlineStr">
        <is>
          <t>Retail Store</t>
        </is>
      </c>
      <c r="I2838" t="n">
        <v>1</v>
      </c>
      <c r="J2838" s="3" t="n">
        <v>264.57</v>
      </c>
      <c r="K2838" s="3" t="n">
        <v>26.46</v>
      </c>
      <c r="L2838" s="3" t="n">
        <v>238.11</v>
      </c>
      <c r="M2838" s="3" t="n">
        <v>146.58</v>
      </c>
      <c r="N2838" s="3" t="n">
        <v>91.53</v>
      </c>
      <c r="O2838">
        <f>TEXT(A2838,"yyyy-mm")</f>
        <v/>
      </c>
    </row>
    <row r="2839">
      <c r="A2839" s="2" t="n">
        <v>45971</v>
      </c>
      <c r="B2839" t="n">
        <v>2025</v>
      </c>
      <c r="C2839" t="inlineStr">
        <is>
          <t>November</t>
        </is>
      </c>
      <c r="D2839" t="inlineStr">
        <is>
          <t>Portable Toolset</t>
        </is>
      </c>
      <c r="E2839" t="inlineStr">
        <is>
          <t>Home &amp; Garden</t>
        </is>
      </c>
      <c r="F2839" t="inlineStr">
        <is>
          <t>Thomas Nowak</t>
        </is>
      </c>
      <c r="G2839" t="inlineStr">
        <is>
          <t>United States</t>
        </is>
      </c>
      <c r="H2839" t="inlineStr">
        <is>
          <t>Web Store</t>
        </is>
      </c>
      <c r="I2839" t="n">
        <v>4</v>
      </c>
      <c r="J2839" s="3" t="n">
        <v>351.76</v>
      </c>
      <c r="K2839" s="3" t="n">
        <v>52.76</v>
      </c>
      <c r="L2839" s="3" t="n">
        <v>299</v>
      </c>
      <c r="M2839" s="3" t="n">
        <v>202.16</v>
      </c>
      <c r="N2839" s="3" t="n">
        <v>96.84</v>
      </c>
      <c r="O2839">
        <f>TEXT(A2839,"yyyy-mm")</f>
        <v/>
      </c>
    </row>
    <row r="2840">
      <c r="A2840" s="2" t="n">
        <v>45971</v>
      </c>
      <c r="B2840" t="n">
        <v>2025</v>
      </c>
      <c r="C2840" t="inlineStr">
        <is>
          <t>November</t>
        </is>
      </c>
      <c r="D2840" t="inlineStr">
        <is>
          <t>Deluxe Toothbrush</t>
        </is>
      </c>
      <c r="E2840" t="inlineStr">
        <is>
          <t>Beauty &amp; Health</t>
        </is>
      </c>
      <c r="F2840" t="inlineStr">
        <is>
          <t>Thomas Nowak</t>
        </is>
      </c>
      <c r="G2840" t="inlineStr">
        <is>
          <t>United States</t>
        </is>
      </c>
      <c r="H2840" t="inlineStr">
        <is>
          <t>Web Store</t>
        </is>
      </c>
      <c r="I2840" t="n">
        <v>4</v>
      </c>
      <c r="J2840" s="3" t="n">
        <v>1267</v>
      </c>
      <c r="K2840" s="3" t="n">
        <v>0</v>
      </c>
      <c r="L2840" s="3" t="n">
        <v>1267</v>
      </c>
      <c r="M2840" s="3" t="n">
        <v>698.28</v>
      </c>
      <c r="N2840" s="3" t="n">
        <v>568.72</v>
      </c>
      <c r="O2840">
        <f>TEXT(A2840,"yyyy-mm")</f>
        <v/>
      </c>
    </row>
    <row r="2841">
      <c r="A2841" s="2" t="n">
        <v>45971</v>
      </c>
      <c r="B2841" t="n">
        <v>2025</v>
      </c>
      <c r="C2841" t="inlineStr">
        <is>
          <t>November</t>
        </is>
      </c>
      <c r="D2841" t="inlineStr">
        <is>
          <t>Deluxe Puzzle</t>
        </is>
      </c>
      <c r="E2841" t="inlineStr">
        <is>
          <t>Toys &amp; Games</t>
        </is>
      </c>
      <c r="F2841" t="inlineStr">
        <is>
          <t>Thomas Nowak</t>
        </is>
      </c>
      <c r="G2841" t="inlineStr">
        <is>
          <t>United States</t>
        </is>
      </c>
      <c r="H2841" t="inlineStr">
        <is>
          <t>Web Store</t>
        </is>
      </c>
      <c r="I2841" t="n">
        <v>5</v>
      </c>
      <c r="J2841" s="3" t="n">
        <v>1025.55</v>
      </c>
      <c r="K2841" s="3" t="n">
        <v>205.11</v>
      </c>
      <c r="L2841" s="3" t="n">
        <v>820.4400000000001</v>
      </c>
      <c r="M2841" s="3" t="n">
        <v>555.85</v>
      </c>
      <c r="N2841" s="3" t="n">
        <v>264.59</v>
      </c>
      <c r="O2841">
        <f>TEXT(A2841,"yyyy-mm")</f>
        <v/>
      </c>
    </row>
    <row r="2842">
      <c r="A2842" s="2" t="n">
        <v>45971</v>
      </c>
      <c r="B2842" t="n">
        <v>2025</v>
      </c>
      <c r="C2842" t="inlineStr">
        <is>
          <t>November</t>
        </is>
      </c>
      <c r="D2842" t="inlineStr">
        <is>
          <t>Smart Board Game</t>
        </is>
      </c>
      <c r="E2842" t="inlineStr">
        <is>
          <t>Toys &amp; Games</t>
        </is>
      </c>
      <c r="F2842" t="inlineStr">
        <is>
          <t>Thomas Nowak</t>
        </is>
      </c>
      <c r="G2842" t="inlineStr">
        <is>
          <t>United States</t>
        </is>
      </c>
      <c r="H2842" t="inlineStr">
        <is>
          <t>Web Store</t>
        </is>
      </c>
      <c r="I2842" t="n">
        <v>5</v>
      </c>
      <c r="J2842" s="3" t="n">
        <v>690.9</v>
      </c>
      <c r="K2842" s="3" t="n">
        <v>34.55</v>
      </c>
      <c r="L2842" s="3" t="n">
        <v>656.36</v>
      </c>
      <c r="M2842" s="3" t="n">
        <v>458.6</v>
      </c>
      <c r="N2842" s="3" t="n">
        <v>197.76</v>
      </c>
      <c r="O2842">
        <f>TEXT(A2842,"yyyy-mm")</f>
        <v/>
      </c>
    </row>
    <row r="2843">
      <c r="A2843" s="2" t="n">
        <v>45972</v>
      </c>
      <c r="B2843" t="n">
        <v>2025</v>
      </c>
      <c r="C2843" t="inlineStr">
        <is>
          <t>November</t>
        </is>
      </c>
      <c r="D2843" t="inlineStr">
        <is>
          <t>Smart Olive Oil</t>
        </is>
      </c>
      <c r="E2843" t="inlineStr">
        <is>
          <t>Grocery</t>
        </is>
      </c>
      <c r="F2843" t="inlineStr">
        <is>
          <t>Nina Bianchi</t>
        </is>
      </c>
      <c r="G2843" t="inlineStr">
        <is>
          <t>Italy</t>
        </is>
      </c>
      <c r="H2843" t="inlineStr">
        <is>
          <t>Mobile App</t>
        </is>
      </c>
      <c r="I2843" t="n">
        <v>3</v>
      </c>
      <c r="J2843" s="3" t="n">
        <v>474.03</v>
      </c>
      <c r="K2843" s="3" t="n">
        <v>23.7</v>
      </c>
      <c r="L2843" s="3" t="n">
        <v>450.33</v>
      </c>
      <c r="M2843" s="3" t="n">
        <v>330.06</v>
      </c>
      <c r="N2843" s="3" t="n">
        <v>120.27</v>
      </c>
      <c r="O2843">
        <f>TEXT(A2843,"yyyy-mm")</f>
        <v/>
      </c>
    </row>
    <row r="2844">
      <c r="A2844" s="2" t="n">
        <v>45972</v>
      </c>
      <c r="B2844" t="n">
        <v>2025</v>
      </c>
      <c r="C2844" t="inlineStr">
        <is>
          <t>November</t>
        </is>
      </c>
      <c r="D2844" t="inlineStr">
        <is>
          <t>Portable Toolset</t>
        </is>
      </c>
      <c r="E2844" t="inlineStr">
        <is>
          <t>Home &amp; Garden</t>
        </is>
      </c>
      <c r="F2844" t="inlineStr">
        <is>
          <t>Nina Bianchi</t>
        </is>
      </c>
      <c r="G2844" t="inlineStr">
        <is>
          <t>Italy</t>
        </is>
      </c>
      <c r="H2844" t="inlineStr">
        <is>
          <t>Mobile App</t>
        </is>
      </c>
      <c r="I2844" t="n">
        <v>1</v>
      </c>
      <c r="J2844" s="3" t="n">
        <v>90.03</v>
      </c>
      <c r="K2844" s="3" t="n">
        <v>18.01</v>
      </c>
      <c r="L2844" s="3" t="n">
        <v>72.02</v>
      </c>
      <c r="M2844" s="3" t="n">
        <v>50.54</v>
      </c>
      <c r="N2844" s="3" t="n">
        <v>21.48</v>
      </c>
      <c r="O2844">
        <f>TEXT(A2844,"yyyy-mm")</f>
        <v/>
      </c>
    </row>
    <row r="2845">
      <c r="A2845" s="2" t="n">
        <v>45972</v>
      </c>
      <c r="B2845" t="n">
        <v>2025</v>
      </c>
      <c r="C2845" t="inlineStr">
        <is>
          <t>November</t>
        </is>
      </c>
      <c r="D2845" t="inlineStr">
        <is>
          <t>Compact Sunscreen</t>
        </is>
      </c>
      <c r="E2845" t="inlineStr">
        <is>
          <t>Beauty &amp; Health</t>
        </is>
      </c>
      <c r="F2845" t="inlineStr">
        <is>
          <t>Nina Bianchi</t>
        </is>
      </c>
      <c r="G2845" t="inlineStr">
        <is>
          <t>Italy</t>
        </is>
      </c>
      <c r="H2845" t="inlineStr">
        <is>
          <t>Mobile App</t>
        </is>
      </c>
      <c r="I2845" t="n">
        <v>3</v>
      </c>
      <c r="J2845" s="3" t="n">
        <v>931.95</v>
      </c>
      <c r="K2845" s="3" t="n">
        <v>93.2</v>
      </c>
      <c r="L2845" s="3" t="n">
        <v>838.75</v>
      </c>
      <c r="M2845" s="3" t="n">
        <v>532.98</v>
      </c>
      <c r="N2845" s="3" t="n">
        <v>305.77</v>
      </c>
      <c r="O2845">
        <f>TEXT(A2845,"yyyy-mm")</f>
        <v/>
      </c>
    </row>
    <row r="2846">
      <c r="A2846" s="2" t="n">
        <v>45972</v>
      </c>
      <c r="B2846" t="n">
        <v>2025</v>
      </c>
      <c r="C2846" t="inlineStr">
        <is>
          <t>November</t>
        </is>
      </c>
      <c r="D2846" t="inlineStr">
        <is>
          <t>Portable Notebook</t>
        </is>
      </c>
      <c r="E2846" t="inlineStr">
        <is>
          <t>Books</t>
        </is>
      </c>
      <c r="F2846" t="inlineStr">
        <is>
          <t>Robert Rossi</t>
        </is>
      </c>
      <c r="G2846" t="inlineStr">
        <is>
          <t>Italy</t>
        </is>
      </c>
      <c r="H2846" t="inlineStr">
        <is>
          <t>Marketplace</t>
        </is>
      </c>
      <c r="I2846" t="n">
        <v>4</v>
      </c>
      <c r="J2846" s="3" t="n">
        <v>522.6799999999999</v>
      </c>
      <c r="K2846" s="3" t="n">
        <v>0</v>
      </c>
      <c r="L2846" s="3" t="n">
        <v>522.6799999999999</v>
      </c>
      <c r="M2846" s="3" t="n">
        <v>285.12</v>
      </c>
      <c r="N2846" s="3" t="n">
        <v>237.56</v>
      </c>
      <c r="O2846">
        <f>TEXT(A2846,"yyyy-mm")</f>
        <v/>
      </c>
    </row>
    <row r="2847">
      <c r="A2847" s="2" t="n">
        <v>45972</v>
      </c>
      <c r="B2847" t="n">
        <v>2025</v>
      </c>
      <c r="C2847" t="inlineStr">
        <is>
          <t>November</t>
        </is>
      </c>
      <c r="D2847" t="inlineStr">
        <is>
          <t>Eco Backpack</t>
        </is>
      </c>
      <c r="E2847" t="inlineStr">
        <is>
          <t>Sports &amp; Outdoors</t>
        </is>
      </c>
      <c r="F2847" t="inlineStr">
        <is>
          <t>Robert Rossi</t>
        </is>
      </c>
      <c r="G2847" t="inlineStr">
        <is>
          <t>Italy</t>
        </is>
      </c>
      <c r="H2847" t="inlineStr">
        <is>
          <t>Marketplace</t>
        </is>
      </c>
      <c r="I2847" t="n">
        <v>3</v>
      </c>
      <c r="J2847" s="3" t="n">
        <v>789.6</v>
      </c>
      <c r="K2847" s="3" t="n">
        <v>0</v>
      </c>
      <c r="L2847" s="3" t="n">
        <v>789.6</v>
      </c>
      <c r="M2847" s="3" t="n">
        <v>439.74</v>
      </c>
      <c r="N2847" s="3" t="n">
        <v>349.86</v>
      </c>
      <c r="O2847">
        <f>TEXT(A2847,"yyyy-mm")</f>
        <v/>
      </c>
    </row>
    <row r="2848">
      <c r="A2848" s="2" t="n">
        <v>45972</v>
      </c>
      <c r="B2848" t="n">
        <v>2025</v>
      </c>
      <c r="C2848" t="inlineStr">
        <is>
          <t>November</t>
        </is>
      </c>
      <c r="D2848" t="inlineStr">
        <is>
          <t>Ultra Toolset</t>
        </is>
      </c>
      <c r="E2848" t="inlineStr">
        <is>
          <t>Home &amp; Garden</t>
        </is>
      </c>
      <c r="F2848" t="inlineStr">
        <is>
          <t>Anna Moreau</t>
        </is>
      </c>
      <c r="G2848" t="inlineStr">
        <is>
          <t>Germany</t>
        </is>
      </c>
      <c r="H2848" t="inlineStr">
        <is>
          <t>Web Store</t>
        </is>
      </c>
      <c r="I2848" t="n">
        <v>3</v>
      </c>
      <c r="J2848" s="3" t="n">
        <v>1052.94</v>
      </c>
      <c r="K2848" s="3" t="n">
        <v>105.29</v>
      </c>
      <c r="L2848" s="3" t="n">
        <v>947.65</v>
      </c>
      <c r="M2848" s="3" t="n">
        <v>571.2</v>
      </c>
      <c r="N2848" s="3" t="n">
        <v>376.45</v>
      </c>
      <c r="O2848">
        <f>TEXT(A2848,"yyyy-mm")</f>
        <v/>
      </c>
    </row>
    <row r="2849">
      <c r="A2849" s="2" t="n">
        <v>45972</v>
      </c>
      <c r="B2849" t="n">
        <v>2025</v>
      </c>
      <c r="C2849" t="inlineStr">
        <is>
          <t>November</t>
        </is>
      </c>
      <c r="D2849" t="inlineStr">
        <is>
          <t>Smart Tea Set</t>
        </is>
      </c>
      <c r="E2849" t="inlineStr">
        <is>
          <t>Grocery</t>
        </is>
      </c>
      <c r="F2849" t="inlineStr">
        <is>
          <t>Anna Moreau</t>
        </is>
      </c>
      <c r="G2849" t="inlineStr">
        <is>
          <t>Germany</t>
        </is>
      </c>
      <c r="H2849" t="inlineStr">
        <is>
          <t>Web Store</t>
        </is>
      </c>
      <c r="I2849" t="n">
        <v>4</v>
      </c>
      <c r="J2849" s="3" t="n">
        <v>343.76</v>
      </c>
      <c r="K2849" s="3" t="n">
        <v>68.75</v>
      </c>
      <c r="L2849" s="3" t="n">
        <v>275.01</v>
      </c>
      <c r="M2849" s="3" t="n">
        <v>247.2</v>
      </c>
      <c r="N2849" s="3" t="n">
        <v>27.81</v>
      </c>
      <c r="O2849">
        <f>TEXT(A2849,"yyyy-mm")</f>
        <v/>
      </c>
    </row>
    <row r="2850">
      <c r="A2850" s="2" t="n">
        <v>45972</v>
      </c>
      <c r="B2850" t="n">
        <v>2025</v>
      </c>
      <c r="C2850" t="inlineStr">
        <is>
          <t>November</t>
        </is>
      </c>
      <c r="D2850" t="inlineStr">
        <is>
          <t>Premium Water Bottle</t>
        </is>
      </c>
      <c r="E2850" t="inlineStr">
        <is>
          <t>Sports &amp; Outdoors</t>
        </is>
      </c>
      <c r="F2850" t="inlineStr">
        <is>
          <t>Anna Moreau</t>
        </is>
      </c>
      <c r="G2850" t="inlineStr">
        <is>
          <t>Germany</t>
        </is>
      </c>
      <c r="H2850" t="inlineStr">
        <is>
          <t>Web Store</t>
        </is>
      </c>
      <c r="I2850" t="n">
        <v>3</v>
      </c>
      <c r="J2850" s="3" t="n">
        <v>922.2</v>
      </c>
      <c r="K2850" s="3" t="n">
        <v>138.33</v>
      </c>
      <c r="L2850" s="3" t="n">
        <v>783.87</v>
      </c>
      <c r="M2850" s="3" t="n">
        <v>543.48</v>
      </c>
      <c r="N2850" s="3" t="n">
        <v>240.39</v>
      </c>
      <c r="O2850">
        <f>TEXT(A2850,"yyyy-mm")</f>
        <v/>
      </c>
    </row>
    <row r="2851">
      <c r="A2851" s="2" t="n">
        <v>45972</v>
      </c>
      <c r="B2851" t="n">
        <v>2025</v>
      </c>
      <c r="C2851" t="inlineStr">
        <is>
          <t>November</t>
        </is>
      </c>
      <c r="D2851" t="inlineStr">
        <is>
          <t>Smart Camera</t>
        </is>
      </c>
      <c r="E2851" t="inlineStr">
        <is>
          <t>Electronics</t>
        </is>
      </c>
      <c r="F2851" t="inlineStr">
        <is>
          <t>Anna Moreau</t>
        </is>
      </c>
      <c r="G2851" t="inlineStr">
        <is>
          <t>Germany</t>
        </is>
      </c>
      <c r="H2851" t="inlineStr">
        <is>
          <t>Web Store</t>
        </is>
      </c>
      <c r="I2851" t="n">
        <v>5</v>
      </c>
      <c r="J2851" s="3" t="n">
        <v>1585.7</v>
      </c>
      <c r="K2851" s="3" t="n">
        <v>317.14</v>
      </c>
      <c r="L2851" s="3" t="n">
        <v>1268.56</v>
      </c>
      <c r="M2851" s="3" t="n">
        <v>837</v>
      </c>
      <c r="N2851" s="3" t="n">
        <v>431.56</v>
      </c>
      <c r="O2851">
        <f>TEXT(A2851,"yyyy-mm")</f>
        <v/>
      </c>
    </row>
    <row r="2852">
      <c r="A2852" s="2" t="n">
        <v>45973</v>
      </c>
      <c r="B2852" t="n">
        <v>2025</v>
      </c>
      <c r="C2852" t="inlineStr">
        <is>
          <t>November</t>
        </is>
      </c>
      <c r="D2852" t="inlineStr">
        <is>
          <t>Premium Water Bottle</t>
        </is>
      </c>
      <c r="E2852" t="inlineStr">
        <is>
          <t>Sports &amp; Outdoors</t>
        </is>
      </c>
      <c r="F2852" t="inlineStr">
        <is>
          <t>Emily Brown</t>
        </is>
      </c>
      <c r="G2852" t="inlineStr">
        <is>
          <t>United States</t>
        </is>
      </c>
      <c r="H2852" t="inlineStr">
        <is>
          <t>Mobile App</t>
        </is>
      </c>
      <c r="I2852" t="n">
        <v>1</v>
      </c>
      <c r="J2852" s="3" t="n">
        <v>312.62</v>
      </c>
      <c r="K2852" s="3" t="n">
        <v>0</v>
      </c>
      <c r="L2852" s="3" t="n">
        <v>312.62</v>
      </c>
      <c r="M2852" s="3" t="n">
        <v>181.16</v>
      </c>
      <c r="N2852" s="3" t="n">
        <v>131.46</v>
      </c>
      <c r="O2852">
        <f>TEXT(A2852,"yyyy-mm")</f>
        <v/>
      </c>
    </row>
    <row r="2853">
      <c r="A2853" s="2" t="n">
        <v>45973</v>
      </c>
      <c r="B2853" t="n">
        <v>2025</v>
      </c>
      <c r="C2853" t="inlineStr">
        <is>
          <t>November</t>
        </is>
      </c>
      <c r="D2853" t="inlineStr">
        <is>
          <t>Eco Drone</t>
        </is>
      </c>
      <c r="E2853" t="inlineStr">
        <is>
          <t>Toys &amp; Games</t>
        </is>
      </c>
      <c r="F2853" t="inlineStr">
        <is>
          <t>Emily Brown</t>
        </is>
      </c>
      <c r="G2853" t="inlineStr">
        <is>
          <t>United States</t>
        </is>
      </c>
      <c r="H2853" t="inlineStr">
        <is>
          <t>Mobile App</t>
        </is>
      </c>
      <c r="I2853" t="n">
        <v>1</v>
      </c>
      <c r="J2853" s="3" t="n">
        <v>203.54</v>
      </c>
      <c r="K2853" s="3" t="n">
        <v>10.18</v>
      </c>
      <c r="L2853" s="3" t="n">
        <v>193.36</v>
      </c>
      <c r="M2853" s="3" t="n">
        <v>129.59</v>
      </c>
      <c r="N2853" s="3" t="n">
        <v>63.77</v>
      </c>
      <c r="O2853">
        <f>TEXT(A2853,"yyyy-mm")</f>
        <v/>
      </c>
    </row>
    <row r="2854">
      <c r="A2854" s="2" t="n">
        <v>45973</v>
      </c>
      <c r="B2854" t="n">
        <v>2025</v>
      </c>
      <c r="C2854" t="inlineStr">
        <is>
          <t>November</t>
        </is>
      </c>
      <c r="D2854" t="inlineStr">
        <is>
          <t>Essential Lamp</t>
        </is>
      </c>
      <c r="E2854" t="inlineStr">
        <is>
          <t>Home &amp; Garden</t>
        </is>
      </c>
      <c r="F2854" t="inlineStr">
        <is>
          <t>Daniel Wilson</t>
        </is>
      </c>
      <c r="G2854" t="inlineStr">
        <is>
          <t>Italy</t>
        </is>
      </c>
      <c r="H2854" t="inlineStr">
        <is>
          <t>Web Store</t>
        </is>
      </c>
      <c r="I2854" t="n">
        <v>2</v>
      </c>
      <c r="J2854" s="3" t="n">
        <v>129.24</v>
      </c>
      <c r="K2854" s="3" t="n">
        <v>12.92</v>
      </c>
      <c r="L2854" s="3" t="n">
        <v>116.32</v>
      </c>
      <c r="M2854" s="3" t="n">
        <v>90.8</v>
      </c>
      <c r="N2854" s="3" t="n">
        <v>25.52</v>
      </c>
      <c r="O2854">
        <f>TEXT(A2854,"yyyy-mm")</f>
        <v/>
      </c>
    </row>
    <row r="2855">
      <c r="A2855" s="2" t="n">
        <v>45973</v>
      </c>
      <c r="B2855" t="n">
        <v>2025</v>
      </c>
      <c r="C2855" t="inlineStr">
        <is>
          <t>November</t>
        </is>
      </c>
      <c r="D2855" t="inlineStr">
        <is>
          <t>Classic Sunscreen</t>
        </is>
      </c>
      <c r="E2855" t="inlineStr">
        <is>
          <t>Beauty &amp; Health</t>
        </is>
      </c>
      <c r="F2855" t="inlineStr">
        <is>
          <t>Clara Garcia</t>
        </is>
      </c>
      <c r="G2855" t="inlineStr">
        <is>
          <t>France</t>
        </is>
      </c>
      <c r="H2855" t="inlineStr">
        <is>
          <t>Retail Store</t>
        </is>
      </c>
      <c r="I2855" t="n">
        <v>1</v>
      </c>
      <c r="J2855" s="3" t="n">
        <v>143.18</v>
      </c>
      <c r="K2855" s="3" t="n">
        <v>0</v>
      </c>
      <c r="L2855" s="3" t="n">
        <v>143.18</v>
      </c>
      <c r="M2855" s="3" t="n">
        <v>93.69</v>
      </c>
      <c r="N2855" s="3" t="n">
        <v>49.49</v>
      </c>
      <c r="O2855">
        <f>TEXT(A2855,"yyyy-mm")</f>
        <v/>
      </c>
    </row>
    <row r="2856">
      <c r="A2856" s="2" t="n">
        <v>45973</v>
      </c>
      <c r="B2856" t="n">
        <v>2025</v>
      </c>
      <c r="C2856" t="inlineStr">
        <is>
          <t>November</t>
        </is>
      </c>
      <c r="D2856" t="inlineStr">
        <is>
          <t>Eco Biography</t>
        </is>
      </c>
      <c r="E2856" t="inlineStr">
        <is>
          <t>Books</t>
        </is>
      </c>
      <c r="F2856" t="inlineStr">
        <is>
          <t>Daniel Wilson</t>
        </is>
      </c>
      <c r="G2856" t="inlineStr">
        <is>
          <t>Italy</t>
        </is>
      </c>
      <c r="H2856" t="inlineStr">
        <is>
          <t>Web Store</t>
        </is>
      </c>
      <c r="I2856" t="n">
        <v>3</v>
      </c>
      <c r="J2856" s="3" t="n">
        <v>382.08</v>
      </c>
      <c r="K2856" s="3" t="n">
        <v>0</v>
      </c>
      <c r="L2856" s="3" t="n">
        <v>382.08</v>
      </c>
      <c r="M2856" s="3" t="n">
        <v>213.06</v>
      </c>
      <c r="N2856" s="3" t="n">
        <v>169.02</v>
      </c>
      <c r="O2856">
        <f>TEXT(A2856,"yyyy-mm")</f>
        <v/>
      </c>
    </row>
    <row r="2857">
      <c r="A2857" s="2" t="n">
        <v>45973</v>
      </c>
      <c r="B2857" t="n">
        <v>2025</v>
      </c>
      <c r="C2857" t="inlineStr">
        <is>
          <t>November</t>
        </is>
      </c>
      <c r="D2857" t="inlineStr">
        <is>
          <t>Classic Atlas</t>
        </is>
      </c>
      <c r="E2857" t="inlineStr">
        <is>
          <t>Books</t>
        </is>
      </c>
      <c r="F2857" t="inlineStr">
        <is>
          <t>Daniel Wilson</t>
        </is>
      </c>
      <c r="G2857" t="inlineStr">
        <is>
          <t>Italy</t>
        </is>
      </c>
      <c r="H2857" t="inlineStr">
        <is>
          <t>Web Store</t>
        </is>
      </c>
      <c r="I2857" t="n">
        <v>1</v>
      </c>
      <c r="J2857" s="3" t="n">
        <v>58.93</v>
      </c>
      <c r="K2857" s="3" t="n">
        <v>0</v>
      </c>
      <c r="L2857" s="3" t="n">
        <v>58.93</v>
      </c>
      <c r="M2857" s="3" t="n">
        <v>34.59</v>
      </c>
      <c r="N2857" s="3" t="n">
        <v>24.34</v>
      </c>
      <c r="O2857">
        <f>TEXT(A2857,"yyyy-mm")</f>
        <v/>
      </c>
    </row>
    <row r="2858">
      <c r="A2858" s="2" t="n">
        <v>45973</v>
      </c>
      <c r="B2858" t="n">
        <v>2025</v>
      </c>
      <c r="C2858" t="inlineStr">
        <is>
          <t>November</t>
        </is>
      </c>
      <c r="D2858" t="inlineStr">
        <is>
          <t>Ultra Vitamins</t>
        </is>
      </c>
      <c r="E2858" t="inlineStr">
        <is>
          <t>Beauty &amp; Health</t>
        </is>
      </c>
      <c r="F2858" t="inlineStr">
        <is>
          <t>Daniel Wilson</t>
        </is>
      </c>
      <c r="G2858" t="inlineStr">
        <is>
          <t>Italy</t>
        </is>
      </c>
      <c r="H2858" t="inlineStr">
        <is>
          <t>Web Store</t>
        </is>
      </c>
      <c r="I2858" t="n">
        <v>1</v>
      </c>
      <c r="J2858" s="3" t="n">
        <v>205.5</v>
      </c>
      <c r="K2858" s="3" t="n">
        <v>41.1</v>
      </c>
      <c r="L2858" s="3" t="n">
        <v>164.4</v>
      </c>
      <c r="M2858" s="3" t="n">
        <v>126.1</v>
      </c>
      <c r="N2858" s="3" t="n">
        <v>38.3</v>
      </c>
      <c r="O2858">
        <f>TEXT(A2858,"yyyy-mm")</f>
        <v/>
      </c>
    </row>
    <row r="2859">
      <c r="A2859" s="2" t="n">
        <v>45973</v>
      </c>
      <c r="B2859" t="n">
        <v>2025</v>
      </c>
      <c r="C2859" t="inlineStr">
        <is>
          <t>November</t>
        </is>
      </c>
      <c r="D2859" t="inlineStr">
        <is>
          <t>Essential Jacket</t>
        </is>
      </c>
      <c r="E2859" t="inlineStr">
        <is>
          <t>Clothing</t>
        </is>
      </c>
      <c r="F2859" t="inlineStr">
        <is>
          <t>Clara Garcia</t>
        </is>
      </c>
      <c r="G2859" t="inlineStr">
        <is>
          <t>France</t>
        </is>
      </c>
      <c r="H2859" t="inlineStr">
        <is>
          <t>Retail Store</t>
        </is>
      </c>
      <c r="I2859" t="n">
        <v>3</v>
      </c>
      <c r="J2859" s="3" t="n">
        <v>459.39</v>
      </c>
      <c r="K2859" s="3" t="n">
        <v>68.91</v>
      </c>
      <c r="L2859" s="3" t="n">
        <v>390.48</v>
      </c>
      <c r="M2859" s="3" t="n">
        <v>256.05</v>
      </c>
      <c r="N2859" s="3" t="n">
        <v>134.43</v>
      </c>
      <c r="O2859">
        <f>TEXT(A2859,"yyyy-mm")</f>
        <v/>
      </c>
    </row>
    <row r="2860">
      <c r="A2860" s="2" t="n">
        <v>45974</v>
      </c>
      <c r="B2860" t="n">
        <v>2025</v>
      </c>
      <c r="C2860" t="inlineStr">
        <is>
          <t>November</t>
        </is>
      </c>
      <c r="D2860" t="inlineStr">
        <is>
          <t>Wireless Cookbook</t>
        </is>
      </c>
      <c r="E2860" t="inlineStr">
        <is>
          <t>Books</t>
        </is>
      </c>
      <c r="F2860" t="inlineStr">
        <is>
          <t>Laura Schmidt</t>
        </is>
      </c>
      <c r="G2860" t="inlineStr">
        <is>
          <t>United States</t>
        </is>
      </c>
      <c r="H2860" t="inlineStr">
        <is>
          <t>Web Store</t>
        </is>
      </c>
      <c r="I2860" t="n">
        <v>4</v>
      </c>
      <c r="J2860" s="3" t="n">
        <v>307.48</v>
      </c>
      <c r="K2860" s="3" t="n">
        <v>61.5</v>
      </c>
      <c r="L2860" s="3" t="n">
        <v>245.98</v>
      </c>
      <c r="M2860" s="3" t="n">
        <v>226.44</v>
      </c>
      <c r="N2860" s="3" t="n">
        <v>19.54</v>
      </c>
      <c r="O2860">
        <f>TEXT(A2860,"yyyy-mm")</f>
        <v/>
      </c>
    </row>
    <row r="2861">
      <c r="A2861" s="2" t="n">
        <v>45974</v>
      </c>
      <c r="B2861" t="n">
        <v>2025</v>
      </c>
      <c r="C2861" t="inlineStr">
        <is>
          <t>November</t>
        </is>
      </c>
      <c r="D2861" t="inlineStr">
        <is>
          <t>Ultra Backpack</t>
        </is>
      </c>
      <c r="E2861" t="inlineStr">
        <is>
          <t>Sports &amp; Outdoors</t>
        </is>
      </c>
      <c r="F2861" t="inlineStr">
        <is>
          <t>Laura Schmidt</t>
        </is>
      </c>
      <c r="G2861" t="inlineStr">
        <is>
          <t>United States</t>
        </is>
      </c>
      <c r="H2861" t="inlineStr">
        <is>
          <t>Web Store</t>
        </is>
      </c>
      <c r="I2861" t="n">
        <v>5</v>
      </c>
      <c r="J2861" s="3" t="n">
        <v>1599.6</v>
      </c>
      <c r="K2861" s="3" t="n">
        <v>79.98</v>
      </c>
      <c r="L2861" s="3" t="n">
        <v>1519.62</v>
      </c>
      <c r="M2861" s="3" t="n">
        <v>868.45</v>
      </c>
      <c r="N2861" s="3" t="n">
        <v>651.17</v>
      </c>
      <c r="O2861">
        <f>TEXT(A2861,"yyyy-mm")</f>
        <v/>
      </c>
    </row>
    <row r="2862">
      <c r="A2862" s="2" t="n">
        <v>45974</v>
      </c>
      <c r="B2862" t="n">
        <v>2025</v>
      </c>
      <c r="C2862" t="inlineStr">
        <is>
          <t>November</t>
        </is>
      </c>
      <c r="D2862" t="inlineStr">
        <is>
          <t>Premium Tent</t>
        </is>
      </c>
      <c r="E2862" t="inlineStr">
        <is>
          <t>Sports &amp; Outdoors</t>
        </is>
      </c>
      <c r="F2862" t="inlineStr">
        <is>
          <t>Laura Schmidt</t>
        </is>
      </c>
      <c r="G2862" t="inlineStr">
        <is>
          <t>United States</t>
        </is>
      </c>
      <c r="H2862" t="inlineStr">
        <is>
          <t>Web Store</t>
        </is>
      </c>
      <c r="I2862" t="n">
        <v>3</v>
      </c>
      <c r="J2862" s="3" t="n">
        <v>767.49</v>
      </c>
      <c r="K2862" s="3" t="n">
        <v>0</v>
      </c>
      <c r="L2862" s="3" t="n">
        <v>767.49</v>
      </c>
      <c r="M2862" s="3" t="n">
        <v>495.93</v>
      </c>
      <c r="N2862" s="3" t="n">
        <v>271.56</v>
      </c>
      <c r="O2862">
        <f>TEXT(A2862,"yyyy-mm")</f>
        <v/>
      </c>
    </row>
    <row r="2863">
      <c r="A2863" s="2" t="n">
        <v>45974</v>
      </c>
      <c r="B2863" t="n">
        <v>2025</v>
      </c>
      <c r="C2863" t="inlineStr">
        <is>
          <t>November</t>
        </is>
      </c>
      <c r="D2863" t="inlineStr">
        <is>
          <t>Eco Backpack</t>
        </is>
      </c>
      <c r="E2863" t="inlineStr">
        <is>
          <t>Sports &amp; Outdoors</t>
        </is>
      </c>
      <c r="F2863" t="inlineStr">
        <is>
          <t>Clara Conti</t>
        </is>
      </c>
      <c r="G2863" t="inlineStr">
        <is>
          <t>France</t>
        </is>
      </c>
      <c r="H2863" t="inlineStr">
        <is>
          <t>Retail Store</t>
        </is>
      </c>
      <c r="I2863" t="n">
        <v>3</v>
      </c>
      <c r="J2863" s="3" t="n">
        <v>814.59</v>
      </c>
      <c r="K2863" s="3" t="n">
        <v>40.73</v>
      </c>
      <c r="L2863" s="3" t="n">
        <v>773.86</v>
      </c>
      <c r="M2863" s="3" t="n">
        <v>439.74</v>
      </c>
      <c r="N2863" s="3" t="n">
        <v>334.12</v>
      </c>
      <c r="O2863">
        <f>TEXT(A2863,"yyyy-mm")</f>
        <v/>
      </c>
    </row>
    <row r="2864">
      <c r="A2864" s="2" t="n">
        <v>45974</v>
      </c>
      <c r="B2864" t="n">
        <v>2025</v>
      </c>
      <c r="C2864" t="inlineStr">
        <is>
          <t>November</t>
        </is>
      </c>
      <c r="D2864" t="inlineStr">
        <is>
          <t>Classic Sunscreen</t>
        </is>
      </c>
      <c r="E2864" t="inlineStr">
        <is>
          <t>Beauty &amp; Health</t>
        </is>
      </c>
      <c r="F2864" t="inlineStr">
        <is>
          <t>Clara Conti</t>
        </is>
      </c>
      <c r="G2864" t="inlineStr">
        <is>
          <t>France</t>
        </is>
      </c>
      <c r="H2864" t="inlineStr">
        <is>
          <t>Retail Store</t>
        </is>
      </c>
      <c r="I2864" t="n">
        <v>4</v>
      </c>
      <c r="J2864" s="3" t="n">
        <v>548.6</v>
      </c>
      <c r="K2864" s="3" t="n">
        <v>0</v>
      </c>
      <c r="L2864" s="3" t="n">
        <v>548.6</v>
      </c>
      <c r="M2864" s="3" t="n">
        <v>374.76</v>
      </c>
      <c r="N2864" s="3" t="n">
        <v>173.84</v>
      </c>
      <c r="O2864">
        <f>TEXT(A2864,"yyyy-mm")</f>
        <v/>
      </c>
    </row>
    <row r="2865">
      <c r="A2865" s="2" t="n">
        <v>45974</v>
      </c>
      <c r="B2865" t="n">
        <v>2025</v>
      </c>
      <c r="C2865" t="inlineStr">
        <is>
          <t>November</t>
        </is>
      </c>
      <c r="D2865" t="inlineStr">
        <is>
          <t>Premium Tent</t>
        </is>
      </c>
      <c r="E2865" t="inlineStr">
        <is>
          <t>Sports &amp; Outdoors</t>
        </is>
      </c>
      <c r="F2865" t="inlineStr">
        <is>
          <t>Clara Conti</t>
        </is>
      </c>
      <c r="G2865" t="inlineStr">
        <is>
          <t>France</t>
        </is>
      </c>
      <c r="H2865" t="inlineStr">
        <is>
          <t>Retail Store</t>
        </is>
      </c>
      <c r="I2865" t="n">
        <v>3</v>
      </c>
      <c r="J2865" s="3" t="n">
        <v>808.74</v>
      </c>
      <c r="K2865" s="3" t="n">
        <v>0</v>
      </c>
      <c r="L2865" s="3" t="n">
        <v>808.74</v>
      </c>
      <c r="M2865" s="3" t="n">
        <v>417.12</v>
      </c>
      <c r="N2865" s="3" t="n">
        <v>391.62</v>
      </c>
      <c r="O2865">
        <f>TEXT(A2865,"yyyy-mm")</f>
        <v/>
      </c>
    </row>
    <row r="2866">
      <c r="A2866" s="2" t="n">
        <v>45975</v>
      </c>
      <c r="B2866" t="n">
        <v>2025</v>
      </c>
      <c r="C2866" t="inlineStr">
        <is>
          <t>November</t>
        </is>
      </c>
      <c r="D2866" t="inlineStr">
        <is>
          <t>Smart Puzzle</t>
        </is>
      </c>
      <c r="E2866" t="inlineStr">
        <is>
          <t>Toys &amp; Games</t>
        </is>
      </c>
      <c r="F2866" t="inlineStr">
        <is>
          <t>Clara Dubois</t>
        </is>
      </c>
      <c r="G2866" t="inlineStr">
        <is>
          <t>Poland</t>
        </is>
      </c>
      <c r="H2866" t="inlineStr">
        <is>
          <t>Web Store</t>
        </is>
      </c>
      <c r="I2866" t="n">
        <v>3</v>
      </c>
      <c r="J2866" s="3" t="n">
        <v>141.33</v>
      </c>
      <c r="K2866" s="3" t="n">
        <v>7.07</v>
      </c>
      <c r="L2866" s="3" t="n">
        <v>134.26</v>
      </c>
      <c r="M2866" s="3" t="n">
        <v>73.31999999999999</v>
      </c>
      <c r="N2866" s="3" t="n">
        <v>60.94</v>
      </c>
      <c r="O2866">
        <f>TEXT(A2866,"yyyy-mm")</f>
        <v/>
      </c>
    </row>
    <row r="2867">
      <c r="A2867" s="2" t="n">
        <v>45975</v>
      </c>
      <c r="B2867" t="n">
        <v>2025</v>
      </c>
      <c r="C2867" t="inlineStr">
        <is>
          <t>November</t>
        </is>
      </c>
      <c r="D2867" t="inlineStr">
        <is>
          <t>Portable Puzzle</t>
        </is>
      </c>
      <c r="E2867" t="inlineStr">
        <is>
          <t>Toys &amp; Games</t>
        </is>
      </c>
      <c r="F2867" t="inlineStr">
        <is>
          <t>Clara Dubois</t>
        </is>
      </c>
      <c r="G2867" t="inlineStr">
        <is>
          <t>Poland</t>
        </is>
      </c>
      <c r="H2867" t="inlineStr">
        <is>
          <t>Web Store</t>
        </is>
      </c>
      <c r="I2867" t="n">
        <v>4</v>
      </c>
      <c r="J2867" s="3" t="n">
        <v>1251.28</v>
      </c>
      <c r="K2867" s="3" t="n">
        <v>250.26</v>
      </c>
      <c r="L2867" s="3" t="n">
        <v>1001.02</v>
      </c>
      <c r="M2867" s="3" t="n">
        <v>694.64</v>
      </c>
      <c r="N2867" s="3" t="n">
        <v>306.38</v>
      </c>
      <c r="O2867">
        <f>TEXT(A2867,"yyyy-mm")</f>
        <v/>
      </c>
    </row>
    <row r="2868">
      <c r="A2868" s="2" t="n">
        <v>45975</v>
      </c>
      <c r="B2868" t="n">
        <v>2025</v>
      </c>
      <c r="C2868" t="inlineStr">
        <is>
          <t>November</t>
        </is>
      </c>
      <c r="D2868" t="inlineStr">
        <is>
          <t>Classic Coffee Beans</t>
        </is>
      </c>
      <c r="E2868" t="inlineStr">
        <is>
          <t>Grocery</t>
        </is>
      </c>
      <c r="F2868" t="inlineStr">
        <is>
          <t>Clara Dubois</t>
        </is>
      </c>
      <c r="G2868" t="inlineStr">
        <is>
          <t>Poland</t>
        </is>
      </c>
      <c r="H2868" t="inlineStr">
        <is>
          <t>Web Store</t>
        </is>
      </c>
      <c r="I2868" t="n">
        <v>2</v>
      </c>
      <c r="J2868" s="3" t="n">
        <v>678.88</v>
      </c>
      <c r="K2868" s="3" t="n">
        <v>33.94</v>
      </c>
      <c r="L2868" s="3" t="n">
        <v>644.9400000000001</v>
      </c>
      <c r="M2868" s="3" t="n">
        <v>389.52</v>
      </c>
      <c r="N2868" s="3" t="n">
        <v>255.42</v>
      </c>
      <c r="O2868">
        <f>TEXT(A2868,"yyyy-mm")</f>
        <v/>
      </c>
    </row>
    <row r="2869">
      <c r="A2869" s="2" t="n">
        <v>45975</v>
      </c>
      <c r="B2869" t="n">
        <v>2025</v>
      </c>
      <c r="C2869" t="inlineStr">
        <is>
          <t>November</t>
        </is>
      </c>
      <c r="D2869" t="inlineStr">
        <is>
          <t>Wireless Coffee Beans</t>
        </is>
      </c>
      <c r="E2869" t="inlineStr">
        <is>
          <t>Grocery</t>
        </is>
      </c>
      <c r="F2869" t="inlineStr">
        <is>
          <t>Peter Muller</t>
        </is>
      </c>
      <c r="G2869" t="inlineStr">
        <is>
          <t>Italy</t>
        </is>
      </c>
      <c r="H2869" t="inlineStr">
        <is>
          <t>Retail Store</t>
        </is>
      </c>
      <c r="I2869" t="n">
        <v>2</v>
      </c>
      <c r="J2869" s="3" t="n">
        <v>433.92</v>
      </c>
      <c r="K2869" s="3" t="n">
        <v>0</v>
      </c>
      <c r="L2869" s="3" t="n">
        <v>433.92</v>
      </c>
      <c r="M2869" s="3" t="n">
        <v>260.26</v>
      </c>
      <c r="N2869" s="3" t="n">
        <v>173.66</v>
      </c>
      <c r="O2869">
        <f>TEXT(A2869,"yyyy-mm")</f>
        <v/>
      </c>
    </row>
    <row r="2870">
      <c r="A2870" s="2" t="n">
        <v>45975</v>
      </c>
      <c r="B2870" t="n">
        <v>2025</v>
      </c>
      <c r="C2870" t="inlineStr">
        <is>
          <t>November</t>
        </is>
      </c>
      <c r="D2870" t="inlineStr">
        <is>
          <t>Premium Tent</t>
        </is>
      </c>
      <c r="E2870" t="inlineStr">
        <is>
          <t>Sports &amp; Outdoors</t>
        </is>
      </c>
      <c r="F2870" t="inlineStr">
        <is>
          <t>Peter Muller</t>
        </is>
      </c>
      <c r="G2870" t="inlineStr">
        <is>
          <t>Italy</t>
        </is>
      </c>
      <c r="H2870" t="inlineStr">
        <is>
          <t>Retail Store</t>
        </is>
      </c>
      <c r="I2870" t="n">
        <v>1</v>
      </c>
      <c r="J2870" s="3" t="n">
        <v>268.61</v>
      </c>
      <c r="K2870" s="3" t="n">
        <v>13.43</v>
      </c>
      <c r="L2870" s="3" t="n">
        <v>255.18</v>
      </c>
      <c r="M2870" s="3" t="n">
        <v>139.04</v>
      </c>
      <c r="N2870" s="3" t="n">
        <v>116.14</v>
      </c>
      <c r="O2870">
        <f>TEXT(A2870,"yyyy-mm")</f>
        <v/>
      </c>
    </row>
    <row r="2871">
      <c r="A2871" s="2" t="n">
        <v>45976</v>
      </c>
      <c r="B2871" t="n">
        <v>2025</v>
      </c>
      <c r="C2871" t="inlineStr">
        <is>
          <t>November</t>
        </is>
      </c>
      <c r="D2871" t="inlineStr">
        <is>
          <t>Essential Cushion</t>
        </is>
      </c>
      <c r="E2871" t="inlineStr">
        <is>
          <t>Home &amp; Garden</t>
        </is>
      </c>
      <c r="F2871" t="inlineStr">
        <is>
          <t>Daniel Conti</t>
        </is>
      </c>
      <c r="G2871" t="inlineStr">
        <is>
          <t>United Kingdom</t>
        </is>
      </c>
      <c r="H2871" t="inlineStr">
        <is>
          <t>Retail Store</t>
        </is>
      </c>
      <c r="I2871" t="n">
        <v>3</v>
      </c>
      <c r="J2871" s="3" t="n">
        <v>140.25</v>
      </c>
      <c r="K2871" s="3" t="n">
        <v>14.02</v>
      </c>
      <c r="L2871" s="3" t="n">
        <v>126.22</v>
      </c>
      <c r="M2871" s="3" t="n">
        <v>91.65000000000001</v>
      </c>
      <c r="N2871" s="3" t="n">
        <v>34.57</v>
      </c>
      <c r="O2871">
        <f>TEXT(A2871,"yyyy-mm")</f>
        <v/>
      </c>
    </row>
    <row r="2872">
      <c r="A2872" s="2" t="n">
        <v>45976</v>
      </c>
      <c r="B2872" t="n">
        <v>2025</v>
      </c>
      <c r="C2872" t="inlineStr">
        <is>
          <t>November</t>
        </is>
      </c>
      <c r="D2872" t="inlineStr">
        <is>
          <t>Deluxe Puzzle</t>
        </is>
      </c>
      <c r="E2872" t="inlineStr">
        <is>
          <t>Toys &amp; Games</t>
        </is>
      </c>
      <c r="F2872" t="inlineStr">
        <is>
          <t>Daniel Conti</t>
        </is>
      </c>
      <c r="G2872" t="inlineStr">
        <is>
          <t>United Kingdom</t>
        </is>
      </c>
      <c r="H2872" t="inlineStr">
        <is>
          <t>Retail Store</t>
        </is>
      </c>
      <c r="I2872" t="n">
        <v>5</v>
      </c>
      <c r="J2872" s="3" t="n">
        <v>1016.8</v>
      </c>
      <c r="K2872" s="3" t="n">
        <v>0</v>
      </c>
      <c r="L2872" s="3" t="n">
        <v>1016.8</v>
      </c>
      <c r="M2872" s="3" t="n">
        <v>555.85</v>
      </c>
      <c r="N2872" s="3" t="n">
        <v>460.95</v>
      </c>
      <c r="O2872">
        <f>TEXT(A2872,"yyyy-mm")</f>
        <v/>
      </c>
    </row>
    <row r="2873">
      <c r="A2873" s="2" t="n">
        <v>45976</v>
      </c>
      <c r="B2873" t="n">
        <v>2025</v>
      </c>
      <c r="C2873" t="inlineStr">
        <is>
          <t>November</t>
        </is>
      </c>
      <c r="D2873" t="inlineStr">
        <is>
          <t>Smart Charger</t>
        </is>
      </c>
      <c r="E2873" t="inlineStr">
        <is>
          <t>Electronics</t>
        </is>
      </c>
      <c r="F2873" t="inlineStr">
        <is>
          <t>Daniel Conti</t>
        </is>
      </c>
      <c r="G2873" t="inlineStr">
        <is>
          <t>United Kingdom</t>
        </is>
      </c>
      <c r="H2873" t="inlineStr">
        <is>
          <t>Retail Store</t>
        </is>
      </c>
      <c r="I2873" t="n">
        <v>2</v>
      </c>
      <c r="J2873" s="3" t="n">
        <v>78.2</v>
      </c>
      <c r="K2873" s="3" t="n">
        <v>0</v>
      </c>
      <c r="L2873" s="3" t="n">
        <v>78.2</v>
      </c>
      <c r="M2873" s="3" t="n">
        <v>55.28</v>
      </c>
      <c r="N2873" s="3" t="n">
        <v>22.92</v>
      </c>
      <c r="O2873">
        <f>TEXT(A2873,"yyyy-mm")</f>
        <v/>
      </c>
    </row>
    <row r="2874">
      <c r="A2874" s="2" t="n">
        <v>45976</v>
      </c>
      <c r="B2874" t="n">
        <v>2025</v>
      </c>
      <c r="C2874" t="inlineStr">
        <is>
          <t>November</t>
        </is>
      </c>
      <c r="D2874" t="inlineStr">
        <is>
          <t>Eco Drone</t>
        </is>
      </c>
      <c r="E2874" t="inlineStr">
        <is>
          <t>Toys &amp; Games</t>
        </is>
      </c>
      <c r="F2874" t="inlineStr">
        <is>
          <t>Julia Wojcik</t>
        </is>
      </c>
      <c r="G2874" t="inlineStr">
        <is>
          <t>France</t>
        </is>
      </c>
      <c r="H2874" t="inlineStr">
        <is>
          <t>Web Store</t>
        </is>
      </c>
      <c r="I2874" t="n">
        <v>5</v>
      </c>
      <c r="J2874" s="3" t="n">
        <v>957.9</v>
      </c>
      <c r="K2874" s="3" t="n">
        <v>191.58</v>
      </c>
      <c r="L2874" s="3" t="n">
        <v>766.3200000000001</v>
      </c>
      <c r="M2874" s="3" t="n">
        <v>647.95</v>
      </c>
      <c r="N2874" s="3" t="n">
        <v>118.37</v>
      </c>
      <c r="O2874">
        <f>TEXT(A2874,"yyyy-mm")</f>
        <v/>
      </c>
    </row>
    <row r="2875">
      <c r="A2875" s="2" t="n">
        <v>45976</v>
      </c>
      <c r="B2875" t="n">
        <v>2025</v>
      </c>
      <c r="C2875" t="inlineStr">
        <is>
          <t>November</t>
        </is>
      </c>
      <c r="D2875" t="inlineStr">
        <is>
          <t>Eco Sweater</t>
        </is>
      </c>
      <c r="E2875" t="inlineStr">
        <is>
          <t>Clothing</t>
        </is>
      </c>
      <c r="F2875" t="inlineStr">
        <is>
          <t>Daniel Conti</t>
        </is>
      </c>
      <c r="G2875" t="inlineStr">
        <is>
          <t>United Kingdom</t>
        </is>
      </c>
      <c r="H2875" t="inlineStr">
        <is>
          <t>Retail Store</t>
        </is>
      </c>
      <c r="I2875" t="n">
        <v>4</v>
      </c>
      <c r="J2875" s="3" t="n">
        <v>636.12</v>
      </c>
      <c r="K2875" s="3" t="n">
        <v>127.22</v>
      </c>
      <c r="L2875" s="3" t="n">
        <v>508.9</v>
      </c>
      <c r="M2875" s="3" t="n">
        <v>416.92</v>
      </c>
      <c r="N2875" s="3" t="n">
        <v>91.98</v>
      </c>
      <c r="O2875">
        <f>TEXT(A2875,"yyyy-mm")</f>
        <v/>
      </c>
    </row>
    <row r="2876">
      <c r="A2876" s="2" t="n">
        <v>45976</v>
      </c>
      <c r="B2876" t="n">
        <v>2025</v>
      </c>
      <c r="C2876" t="inlineStr">
        <is>
          <t>November</t>
        </is>
      </c>
      <c r="D2876" t="inlineStr">
        <is>
          <t>Classic Charger</t>
        </is>
      </c>
      <c r="E2876" t="inlineStr">
        <is>
          <t>Electronics</t>
        </is>
      </c>
      <c r="F2876" t="inlineStr">
        <is>
          <t>Julia Wojcik</t>
        </is>
      </c>
      <c r="G2876" t="inlineStr">
        <is>
          <t>France</t>
        </is>
      </c>
      <c r="H2876" t="inlineStr">
        <is>
          <t>Web Store</t>
        </is>
      </c>
      <c r="I2876" t="n">
        <v>3</v>
      </c>
      <c r="J2876" s="3" t="n">
        <v>291.24</v>
      </c>
      <c r="K2876" s="3" t="n">
        <v>0</v>
      </c>
      <c r="L2876" s="3" t="n">
        <v>291.24</v>
      </c>
      <c r="M2876" s="3" t="n">
        <v>186.63</v>
      </c>
      <c r="N2876" s="3" t="n">
        <v>104.61</v>
      </c>
      <c r="O2876">
        <f>TEXT(A2876,"yyyy-mm")</f>
        <v/>
      </c>
    </row>
    <row r="2877">
      <c r="A2877" s="2" t="n">
        <v>45977</v>
      </c>
      <c r="B2877" t="n">
        <v>2025</v>
      </c>
      <c r="C2877" t="inlineStr">
        <is>
          <t>November</t>
        </is>
      </c>
      <c r="D2877" t="inlineStr">
        <is>
          <t>Smart Puzzle</t>
        </is>
      </c>
      <c r="E2877" t="inlineStr">
        <is>
          <t>Toys &amp; Games</t>
        </is>
      </c>
      <c r="F2877" t="inlineStr">
        <is>
          <t>Robert Wilson</t>
        </is>
      </c>
      <c r="G2877" t="inlineStr">
        <is>
          <t>Germany</t>
        </is>
      </c>
      <c r="H2877" t="inlineStr">
        <is>
          <t>Retail Store</t>
        </is>
      </c>
      <c r="I2877" t="n">
        <v>5</v>
      </c>
      <c r="J2877" s="3" t="n">
        <v>235.7</v>
      </c>
      <c r="K2877" s="3" t="n">
        <v>0</v>
      </c>
      <c r="L2877" s="3" t="n">
        <v>235.7</v>
      </c>
      <c r="M2877" s="3" t="n">
        <v>122.2</v>
      </c>
      <c r="N2877" s="3" t="n">
        <v>113.5</v>
      </c>
      <c r="O2877">
        <f>TEXT(A2877,"yyyy-mm")</f>
        <v/>
      </c>
    </row>
    <row r="2878">
      <c r="A2878" s="2" t="n">
        <v>45977</v>
      </c>
      <c r="B2878" t="n">
        <v>2025</v>
      </c>
      <c r="C2878" t="inlineStr">
        <is>
          <t>November</t>
        </is>
      </c>
      <c r="D2878" t="inlineStr">
        <is>
          <t>Essential Notebook</t>
        </is>
      </c>
      <c r="E2878" t="inlineStr">
        <is>
          <t>Books</t>
        </is>
      </c>
      <c r="F2878" t="inlineStr">
        <is>
          <t>Robert Wilson</t>
        </is>
      </c>
      <c r="G2878" t="inlineStr">
        <is>
          <t>Germany</t>
        </is>
      </c>
      <c r="H2878" t="inlineStr">
        <is>
          <t>Retail Store</t>
        </is>
      </c>
      <c r="I2878" t="n">
        <v>4</v>
      </c>
      <c r="J2878" s="3" t="n">
        <v>462.68</v>
      </c>
      <c r="K2878" s="3" t="n">
        <v>23.13</v>
      </c>
      <c r="L2878" s="3" t="n">
        <v>439.55</v>
      </c>
      <c r="M2878" s="3" t="n">
        <v>316.4</v>
      </c>
      <c r="N2878" s="3" t="n">
        <v>123.15</v>
      </c>
      <c r="O2878">
        <f>TEXT(A2878,"yyyy-mm")</f>
        <v/>
      </c>
    </row>
    <row r="2879">
      <c r="A2879" s="2" t="n">
        <v>45977</v>
      </c>
      <c r="B2879" t="n">
        <v>2025</v>
      </c>
      <c r="C2879" t="inlineStr">
        <is>
          <t>November</t>
        </is>
      </c>
      <c r="D2879" t="inlineStr">
        <is>
          <t>Smart Charger</t>
        </is>
      </c>
      <c r="E2879" t="inlineStr">
        <is>
          <t>Electronics</t>
        </is>
      </c>
      <c r="F2879" t="inlineStr">
        <is>
          <t>Clara Martin</t>
        </is>
      </c>
      <c r="G2879" t="inlineStr">
        <is>
          <t>United Kingdom</t>
        </is>
      </c>
      <c r="H2879" t="inlineStr">
        <is>
          <t>Web Store</t>
        </is>
      </c>
      <c r="I2879" t="n">
        <v>3</v>
      </c>
      <c r="J2879" s="3" t="n">
        <v>762.36</v>
      </c>
      <c r="K2879" s="3" t="n">
        <v>38.12</v>
      </c>
      <c r="L2879" s="3" t="n">
        <v>724.24</v>
      </c>
      <c r="M2879" s="3" t="n">
        <v>427.56</v>
      </c>
      <c r="N2879" s="3" t="n">
        <v>296.68</v>
      </c>
      <c r="O2879">
        <f>TEXT(A2879,"yyyy-mm")</f>
        <v/>
      </c>
    </row>
    <row r="2880">
      <c r="A2880" s="2" t="n">
        <v>45977</v>
      </c>
      <c r="B2880" t="n">
        <v>2025</v>
      </c>
      <c r="C2880" t="inlineStr">
        <is>
          <t>November</t>
        </is>
      </c>
      <c r="D2880" t="inlineStr">
        <is>
          <t>Wireless Coffee Beans</t>
        </is>
      </c>
      <c r="E2880" t="inlineStr">
        <is>
          <t>Grocery</t>
        </is>
      </c>
      <c r="F2880" t="inlineStr">
        <is>
          <t>Clara Martin</t>
        </is>
      </c>
      <c r="G2880" t="inlineStr">
        <is>
          <t>United Kingdom</t>
        </is>
      </c>
      <c r="H2880" t="inlineStr">
        <is>
          <t>Web Store</t>
        </is>
      </c>
      <c r="I2880" t="n">
        <v>5</v>
      </c>
      <c r="J2880" s="3" t="n">
        <v>1097.75</v>
      </c>
      <c r="K2880" s="3" t="n">
        <v>0</v>
      </c>
      <c r="L2880" s="3" t="n">
        <v>1097.75</v>
      </c>
      <c r="M2880" s="3" t="n">
        <v>650.65</v>
      </c>
      <c r="N2880" s="3" t="n">
        <v>447.1</v>
      </c>
      <c r="O2880">
        <f>TEXT(A2880,"yyyy-mm")</f>
        <v/>
      </c>
    </row>
    <row r="2881">
      <c r="A2881" s="2" t="n">
        <v>45977</v>
      </c>
      <c r="B2881" t="n">
        <v>2025</v>
      </c>
      <c r="C2881" t="inlineStr">
        <is>
          <t>November</t>
        </is>
      </c>
      <c r="D2881" t="inlineStr">
        <is>
          <t>Smart Charger</t>
        </is>
      </c>
      <c r="E2881" t="inlineStr">
        <is>
          <t>Electronics</t>
        </is>
      </c>
      <c r="F2881" t="inlineStr">
        <is>
          <t>Clara Nowak</t>
        </is>
      </c>
      <c r="G2881" t="inlineStr">
        <is>
          <t>United States</t>
        </is>
      </c>
      <c r="H2881" t="inlineStr">
        <is>
          <t>Retail Store</t>
        </is>
      </c>
      <c r="I2881" t="n">
        <v>1</v>
      </c>
      <c r="J2881" s="3" t="n">
        <v>41.41</v>
      </c>
      <c r="K2881" s="3" t="n">
        <v>0</v>
      </c>
      <c r="L2881" s="3" t="n">
        <v>41.41</v>
      </c>
      <c r="M2881" s="3" t="n">
        <v>27.64</v>
      </c>
      <c r="N2881" s="3" t="n">
        <v>13.77</v>
      </c>
      <c r="O2881">
        <f>TEXT(A2881,"yyyy-mm")</f>
        <v/>
      </c>
    </row>
    <row r="2882">
      <c r="A2882" s="2" t="n">
        <v>45977</v>
      </c>
      <c r="B2882" t="n">
        <v>2025</v>
      </c>
      <c r="C2882" t="inlineStr">
        <is>
          <t>November</t>
        </is>
      </c>
      <c r="D2882" t="inlineStr">
        <is>
          <t>Compact Pasta</t>
        </is>
      </c>
      <c r="E2882" t="inlineStr">
        <is>
          <t>Grocery</t>
        </is>
      </c>
      <c r="F2882" t="inlineStr">
        <is>
          <t>Clara Nowak</t>
        </is>
      </c>
      <c r="G2882" t="inlineStr">
        <is>
          <t>United States</t>
        </is>
      </c>
      <c r="H2882" t="inlineStr">
        <is>
          <t>Retail Store</t>
        </is>
      </c>
      <c r="I2882" t="n">
        <v>3</v>
      </c>
      <c r="J2882" s="3" t="n">
        <v>905.49</v>
      </c>
      <c r="K2882" s="3" t="n">
        <v>45.27</v>
      </c>
      <c r="L2882" s="3" t="n">
        <v>860.22</v>
      </c>
      <c r="M2882" s="3" t="n">
        <v>598.2</v>
      </c>
      <c r="N2882" s="3" t="n">
        <v>262.02</v>
      </c>
      <c r="O2882">
        <f>TEXT(A2882,"yyyy-mm")</f>
        <v/>
      </c>
    </row>
    <row r="2883">
      <c r="A2883" s="2" t="n">
        <v>45977</v>
      </c>
      <c r="B2883" t="n">
        <v>2025</v>
      </c>
      <c r="C2883" t="inlineStr">
        <is>
          <t>November</t>
        </is>
      </c>
      <c r="D2883" t="inlineStr">
        <is>
          <t>Deluxe Smartwatch</t>
        </is>
      </c>
      <c r="E2883" t="inlineStr">
        <is>
          <t>Electronics</t>
        </is>
      </c>
      <c r="F2883" t="inlineStr">
        <is>
          <t>Clara Nowak</t>
        </is>
      </c>
      <c r="G2883" t="inlineStr">
        <is>
          <t>United States</t>
        </is>
      </c>
      <c r="H2883" t="inlineStr">
        <is>
          <t>Retail Store</t>
        </is>
      </c>
      <c r="I2883" t="n">
        <v>1</v>
      </c>
      <c r="J2883" s="3" t="n">
        <v>157.21</v>
      </c>
      <c r="K2883" s="3" t="n">
        <v>0</v>
      </c>
      <c r="L2883" s="3" t="n">
        <v>157.21</v>
      </c>
      <c r="M2883" s="3" t="n">
        <v>122.72</v>
      </c>
      <c r="N2883" s="3" t="n">
        <v>34.49</v>
      </c>
      <c r="O2883">
        <f>TEXT(A2883,"yyyy-mm")</f>
        <v/>
      </c>
    </row>
    <row r="2884">
      <c r="A2884" s="2" t="n">
        <v>45977</v>
      </c>
      <c r="B2884" t="n">
        <v>2025</v>
      </c>
      <c r="C2884" t="inlineStr">
        <is>
          <t>November</t>
        </is>
      </c>
      <c r="D2884" t="inlineStr">
        <is>
          <t>Smart Camera</t>
        </is>
      </c>
      <c r="E2884" t="inlineStr">
        <is>
          <t>Electronics</t>
        </is>
      </c>
      <c r="F2884" t="inlineStr">
        <is>
          <t>Clara Nowak</t>
        </is>
      </c>
      <c r="G2884" t="inlineStr">
        <is>
          <t>United States</t>
        </is>
      </c>
      <c r="H2884" t="inlineStr">
        <is>
          <t>Retail Store</t>
        </is>
      </c>
      <c r="I2884" t="n">
        <v>5</v>
      </c>
      <c r="J2884" s="3" t="n">
        <v>1466</v>
      </c>
      <c r="K2884" s="3" t="n">
        <v>73.3</v>
      </c>
      <c r="L2884" s="3" t="n">
        <v>1392.7</v>
      </c>
      <c r="M2884" s="3" t="n">
        <v>837</v>
      </c>
      <c r="N2884" s="3" t="n">
        <v>555.7</v>
      </c>
      <c r="O2884">
        <f>TEXT(A2884,"yyyy-mm")</f>
        <v/>
      </c>
    </row>
    <row r="2885">
      <c r="A2885" s="2" t="n">
        <v>45977</v>
      </c>
      <c r="B2885" t="n">
        <v>2025</v>
      </c>
      <c r="C2885" t="inlineStr">
        <is>
          <t>November</t>
        </is>
      </c>
      <c r="D2885" t="inlineStr">
        <is>
          <t>Wireless Drone</t>
        </is>
      </c>
      <c r="E2885" t="inlineStr">
        <is>
          <t>Toys &amp; Games</t>
        </is>
      </c>
      <c r="F2885" t="inlineStr">
        <is>
          <t>Clara Martin</t>
        </is>
      </c>
      <c r="G2885" t="inlineStr">
        <is>
          <t>United Kingdom</t>
        </is>
      </c>
      <c r="H2885" t="inlineStr">
        <is>
          <t>Web Store</t>
        </is>
      </c>
      <c r="I2885" t="n">
        <v>2</v>
      </c>
      <c r="J2885" s="3" t="n">
        <v>439.86</v>
      </c>
      <c r="K2885" s="3" t="n">
        <v>0</v>
      </c>
      <c r="L2885" s="3" t="n">
        <v>439.86</v>
      </c>
      <c r="M2885" s="3" t="n">
        <v>262.58</v>
      </c>
      <c r="N2885" s="3" t="n">
        <v>177.28</v>
      </c>
      <c r="O2885">
        <f>TEXT(A2885,"yyyy-mm")</f>
        <v/>
      </c>
    </row>
    <row r="2886">
      <c r="A2886" s="2" t="n">
        <v>45977</v>
      </c>
      <c r="B2886" t="n">
        <v>2025</v>
      </c>
      <c r="C2886" t="inlineStr">
        <is>
          <t>November</t>
        </is>
      </c>
      <c r="D2886" t="inlineStr">
        <is>
          <t>Eco Tent</t>
        </is>
      </c>
      <c r="E2886" t="inlineStr">
        <is>
          <t>Sports &amp; Outdoors</t>
        </is>
      </c>
      <c r="F2886" t="inlineStr">
        <is>
          <t>Clara Martin</t>
        </is>
      </c>
      <c r="G2886" t="inlineStr">
        <is>
          <t>United Kingdom</t>
        </is>
      </c>
      <c r="H2886" t="inlineStr">
        <is>
          <t>Web Store</t>
        </is>
      </c>
      <c r="I2886" t="n">
        <v>1</v>
      </c>
      <c r="J2886" s="3" t="n">
        <v>67.13</v>
      </c>
      <c r="K2886" s="3" t="n">
        <v>0</v>
      </c>
      <c r="L2886" s="3" t="n">
        <v>67.13</v>
      </c>
      <c r="M2886" s="3" t="n">
        <v>43.85</v>
      </c>
      <c r="N2886" s="3" t="n">
        <v>23.28</v>
      </c>
      <c r="O2886">
        <f>TEXT(A2886,"yyyy-mm")</f>
        <v/>
      </c>
    </row>
    <row r="2887">
      <c r="A2887" s="2" t="n">
        <v>45978</v>
      </c>
      <c r="B2887" t="n">
        <v>2025</v>
      </c>
      <c r="C2887" t="inlineStr">
        <is>
          <t>November</t>
        </is>
      </c>
      <c r="D2887" t="inlineStr">
        <is>
          <t>Smart Sweater</t>
        </is>
      </c>
      <c r="E2887" t="inlineStr">
        <is>
          <t>Clothing</t>
        </is>
      </c>
      <c r="F2887" t="inlineStr">
        <is>
          <t>Thomas Lopez</t>
        </is>
      </c>
      <c r="G2887" t="inlineStr">
        <is>
          <t>United States</t>
        </is>
      </c>
      <c r="H2887" t="inlineStr">
        <is>
          <t>Web Store</t>
        </is>
      </c>
      <c r="I2887" t="n">
        <v>1</v>
      </c>
      <c r="J2887" s="3" t="n">
        <v>138.69</v>
      </c>
      <c r="K2887" s="3" t="n">
        <v>13.87</v>
      </c>
      <c r="L2887" s="3" t="n">
        <v>124.82</v>
      </c>
      <c r="M2887" s="3" t="n">
        <v>77.34999999999999</v>
      </c>
      <c r="N2887" s="3" t="n">
        <v>47.47</v>
      </c>
      <c r="O2887">
        <f>TEXT(A2887,"yyyy-mm")</f>
        <v/>
      </c>
    </row>
    <row r="2888">
      <c r="A2888" s="2" t="n">
        <v>45978</v>
      </c>
      <c r="B2888" t="n">
        <v>2025</v>
      </c>
      <c r="C2888" t="inlineStr">
        <is>
          <t>November</t>
        </is>
      </c>
      <c r="D2888" t="inlineStr">
        <is>
          <t>Essential Charger</t>
        </is>
      </c>
      <c r="E2888" t="inlineStr">
        <is>
          <t>Electronics</t>
        </is>
      </c>
      <c r="F2888" t="inlineStr">
        <is>
          <t>Thomas Lopez</t>
        </is>
      </c>
      <c r="G2888" t="inlineStr">
        <is>
          <t>United States</t>
        </is>
      </c>
      <c r="H2888" t="inlineStr">
        <is>
          <t>Web Store</t>
        </is>
      </c>
      <c r="I2888" t="n">
        <v>1</v>
      </c>
      <c r="J2888" s="3" t="n">
        <v>44.7</v>
      </c>
      <c r="K2888" s="3" t="n">
        <v>8.94</v>
      </c>
      <c r="L2888" s="3" t="n">
        <v>35.76</v>
      </c>
      <c r="M2888" s="3" t="n">
        <v>29.1</v>
      </c>
      <c r="N2888" s="3" t="n">
        <v>6.66</v>
      </c>
      <c r="O2888">
        <f>TEXT(A2888,"yyyy-mm")</f>
        <v/>
      </c>
    </row>
    <row r="2889">
      <c r="A2889" s="2" t="n">
        <v>45978</v>
      </c>
      <c r="B2889" t="n">
        <v>2025</v>
      </c>
      <c r="C2889" t="inlineStr">
        <is>
          <t>November</t>
        </is>
      </c>
      <c r="D2889" t="inlineStr">
        <is>
          <t>Eco Tent</t>
        </is>
      </c>
      <c r="E2889" t="inlineStr">
        <is>
          <t>Sports &amp; Outdoors</t>
        </is>
      </c>
      <c r="F2889" t="inlineStr">
        <is>
          <t>Thomas Lopez</t>
        </is>
      </c>
      <c r="G2889" t="inlineStr">
        <is>
          <t>United States</t>
        </is>
      </c>
      <c r="H2889" t="inlineStr">
        <is>
          <t>Web Store</t>
        </is>
      </c>
      <c r="I2889" t="n">
        <v>3</v>
      </c>
      <c r="J2889" s="3" t="n">
        <v>208.71</v>
      </c>
      <c r="K2889" s="3" t="n">
        <v>0</v>
      </c>
      <c r="L2889" s="3" t="n">
        <v>208.71</v>
      </c>
      <c r="M2889" s="3" t="n">
        <v>131.55</v>
      </c>
      <c r="N2889" s="3" t="n">
        <v>77.16</v>
      </c>
      <c r="O2889">
        <f>TEXT(A2889,"yyyy-mm")</f>
        <v/>
      </c>
    </row>
    <row r="2890">
      <c r="A2890" s="2" t="n">
        <v>45978</v>
      </c>
      <c r="B2890" t="n">
        <v>2025</v>
      </c>
      <c r="C2890" t="inlineStr">
        <is>
          <t>November</t>
        </is>
      </c>
      <c r="D2890" t="inlineStr">
        <is>
          <t>Essential Vitamins</t>
        </is>
      </c>
      <c r="E2890" t="inlineStr">
        <is>
          <t>Beauty &amp; Health</t>
        </is>
      </c>
      <c r="F2890" t="inlineStr">
        <is>
          <t>Thomas Lopez</t>
        </is>
      </c>
      <c r="G2890" t="inlineStr">
        <is>
          <t>United States</t>
        </is>
      </c>
      <c r="H2890" t="inlineStr">
        <is>
          <t>Web Store</t>
        </is>
      </c>
      <c r="I2890" t="n">
        <v>3</v>
      </c>
      <c r="J2890" s="3" t="n">
        <v>512.61</v>
      </c>
      <c r="K2890" s="3" t="n">
        <v>102.52</v>
      </c>
      <c r="L2890" s="3" t="n">
        <v>410.09</v>
      </c>
      <c r="M2890" s="3" t="n">
        <v>330.9</v>
      </c>
      <c r="N2890" s="3" t="n">
        <v>79.19</v>
      </c>
      <c r="O2890">
        <f>TEXT(A2890,"yyyy-mm")</f>
        <v/>
      </c>
    </row>
    <row r="2891">
      <c r="A2891" s="2" t="n">
        <v>45978</v>
      </c>
      <c r="B2891" t="n">
        <v>2025</v>
      </c>
      <c r="C2891" t="inlineStr">
        <is>
          <t>November</t>
        </is>
      </c>
      <c r="D2891" t="inlineStr">
        <is>
          <t>Essential Jacket</t>
        </is>
      </c>
      <c r="E2891" t="inlineStr">
        <is>
          <t>Clothing</t>
        </is>
      </c>
      <c r="F2891" t="inlineStr">
        <is>
          <t>James Johnson</t>
        </is>
      </c>
      <c r="G2891" t="inlineStr">
        <is>
          <t>United Kingdom</t>
        </is>
      </c>
      <c r="H2891" t="inlineStr">
        <is>
          <t>Marketplace</t>
        </is>
      </c>
      <c r="I2891" t="n">
        <v>5</v>
      </c>
      <c r="J2891" s="3" t="n">
        <v>718.95</v>
      </c>
      <c r="K2891" s="3" t="n">
        <v>107.84</v>
      </c>
      <c r="L2891" s="3" t="n">
        <v>611.11</v>
      </c>
      <c r="M2891" s="3" t="n">
        <v>426.75</v>
      </c>
      <c r="N2891" s="3" t="n">
        <v>184.36</v>
      </c>
      <c r="O2891">
        <f>TEXT(A2891,"yyyy-mm")</f>
        <v/>
      </c>
    </row>
    <row r="2892">
      <c r="A2892" s="2" t="n">
        <v>45978</v>
      </c>
      <c r="B2892" t="n">
        <v>2025</v>
      </c>
      <c r="C2892" t="inlineStr">
        <is>
          <t>November</t>
        </is>
      </c>
      <c r="D2892" t="inlineStr">
        <is>
          <t>Essential Toolset</t>
        </is>
      </c>
      <c r="E2892" t="inlineStr">
        <is>
          <t>Home &amp; Garden</t>
        </is>
      </c>
      <c r="F2892" t="inlineStr">
        <is>
          <t>James Johnson</t>
        </is>
      </c>
      <c r="G2892" t="inlineStr">
        <is>
          <t>United Kingdom</t>
        </is>
      </c>
      <c r="H2892" t="inlineStr">
        <is>
          <t>Marketplace</t>
        </is>
      </c>
      <c r="I2892" t="n">
        <v>2</v>
      </c>
      <c r="J2892" s="3" t="n">
        <v>408.62</v>
      </c>
      <c r="K2892" s="3" t="n">
        <v>81.72</v>
      </c>
      <c r="L2892" s="3" t="n">
        <v>326.9</v>
      </c>
      <c r="M2892" s="3" t="n">
        <v>301.06</v>
      </c>
      <c r="N2892" s="3" t="n">
        <v>25.84</v>
      </c>
      <c r="O2892">
        <f>TEXT(A2892,"yyyy-mm")</f>
        <v/>
      </c>
    </row>
    <row r="2893">
      <c r="A2893" s="2" t="n">
        <v>45978</v>
      </c>
      <c r="B2893" t="n">
        <v>2025</v>
      </c>
      <c r="C2893" t="inlineStr">
        <is>
          <t>November</t>
        </is>
      </c>
      <c r="D2893" t="inlineStr">
        <is>
          <t>Eco Biography</t>
        </is>
      </c>
      <c r="E2893" t="inlineStr">
        <is>
          <t>Books</t>
        </is>
      </c>
      <c r="F2893" t="inlineStr">
        <is>
          <t>James Johnson</t>
        </is>
      </c>
      <c r="G2893" t="inlineStr">
        <is>
          <t>United Kingdom</t>
        </is>
      </c>
      <c r="H2893" t="inlineStr">
        <is>
          <t>Marketplace</t>
        </is>
      </c>
      <c r="I2893" t="n">
        <v>2</v>
      </c>
      <c r="J2893" s="3" t="n">
        <v>250.88</v>
      </c>
      <c r="K2893" s="3" t="n">
        <v>25.09</v>
      </c>
      <c r="L2893" s="3" t="n">
        <v>225.79</v>
      </c>
      <c r="M2893" s="3" t="n">
        <v>142.04</v>
      </c>
      <c r="N2893" s="3" t="n">
        <v>83.75</v>
      </c>
      <c r="O2893">
        <f>TEXT(A2893,"yyyy-mm")</f>
        <v/>
      </c>
    </row>
    <row r="2894">
      <c r="A2894" s="2" t="n">
        <v>45978</v>
      </c>
      <c r="B2894" t="n">
        <v>2025</v>
      </c>
      <c r="C2894" t="inlineStr">
        <is>
          <t>November</t>
        </is>
      </c>
      <c r="D2894" t="inlineStr">
        <is>
          <t>Smart Tea Set</t>
        </is>
      </c>
      <c r="E2894" t="inlineStr">
        <is>
          <t>Grocery</t>
        </is>
      </c>
      <c r="F2894" t="inlineStr">
        <is>
          <t>Nina Fischer</t>
        </is>
      </c>
      <c r="G2894" t="inlineStr">
        <is>
          <t>Netherlands</t>
        </is>
      </c>
      <c r="H2894" t="inlineStr">
        <is>
          <t>Marketplace</t>
        </is>
      </c>
      <c r="I2894" t="n">
        <v>2</v>
      </c>
      <c r="J2894" s="3" t="n">
        <v>177.64</v>
      </c>
      <c r="K2894" s="3" t="n">
        <v>35.53</v>
      </c>
      <c r="L2894" s="3" t="n">
        <v>142.11</v>
      </c>
      <c r="M2894" s="3" t="n">
        <v>123.6</v>
      </c>
      <c r="N2894" s="3" t="n">
        <v>18.51</v>
      </c>
      <c r="O2894">
        <f>TEXT(A2894,"yyyy-mm")</f>
        <v/>
      </c>
    </row>
    <row r="2895">
      <c r="A2895" s="2" t="n">
        <v>45978</v>
      </c>
      <c r="B2895" t="n">
        <v>2025</v>
      </c>
      <c r="C2895" t="inlineStr">
        <is>
          <t>November</t>
        </is>
      </c>
      <c r="D2895" t="inlineStr">
        <is>
          <t>Smart Coffee Beans</t>
        </is>
      </c>
      <c r="E2895" t="inlineStr">
        <is>
          <t>Grocery</t>
        </is>
      </c>
      <c r="F2895" t="inlineStr">
        <is>
          <t>Nina Fischer</t>
        </is>
      </c>
      <c r="G2895" t="inlineStr">
        <is>
          <t>Netherlands</t>
        </is>
      </c>
      <c r="H2895" t="inlineStr">
        <is>
          <t>Marketplace</t>
        </is>
      </c>
      <c r="I2895" t="n">
        <v>3</v>
      </c>
      <c r="J2895" s="3" t="n">
        <v>333.48</v>
      </c>
      <c r="K2895" s="3" t="n">
        <v>0</v>
      </c>
      <c r="L2895" s="3" t="n">
        <v>333.48</v>
      </c>
      <c r="M2895" s="3" t="n">
        <v>218.55</v>
      </c>
      <c r="N2895" s="3" t="n">
        <v>114.93</v>
      </c>
      <c r="O2895">
        <f>TEXT(A2895,"yyyy-mm")</f>
        <v/>
      </c>
    </row>
    <row r="2896">
      <c r="A2896" s="2" t="n">
        <v>45978</v>
      </c>
      <c r="B2896" t="n">
        <v>2025</v>
      </c>
      <c r="C2896" t="inlineStr">
        <is>
          <t>November</t>
        </is>
      </c>
      <c r="D2896" t="inlineStr">
        <is>
          <t>Portable Toolset</t>
        </is>
      </c>
      <c r="E2896" t="inlineStr">
        <is>
          <t>Home &amp; Garden</t>
        </is>
      </c>
      <c r="F2896" t="inlineStr">
        <is>
          <t>Paul Fischer</t>
        </is>
      </c>
      <c r="G2896" t="inlineStr">
        <is>
          <t>Poland</t>
        </is>
      </c>
      <c r="H2896" t="inlineStr">
        <is>
          <t>Retail Store</t>
        </is>
      </c>
      <c r="I2896" t="n">
        <v>1</v>
      </c>
      <c r="J2896" s="3" t="n">
        <v>86.34</v>
      </c>
      <c r="K2896" s="3" t="n">
        <v>0</v>
      </c>
      <c r="L2896" s="3" t="n">
        <v>86.34</v>
      </c>
      <c r="M2896" s="3" t="n">
        <v>50.54</v>
      </c>
      <c r="N2896" s="3" t="n">
        <v>35.8</v>
      </c>
      <c r="O2896">
        <f>TEXT(A2896,"yyyy-mm")</f>
        <v/>
      </c>
    </row>
    <row r="2897">
      <c r="A2897" s="2" t="n">
        <v>45978</v>
      </c>
      <c r="B2897" t="n">
        <v>2025</v>
      </c>
      <c r="C2897" t="inlineStr">
        <is>
          <t>November</t>
        </is>
      </c>
      <c r="D2897" t="inlineStr">
        <is>
          <t>Classic Bike Helmet</t>
        </is>
      </c>
      <c r="E2897" t="inlineStr">
        <is>
          <t>Sports &amp; Outdoors</t>
        </is>
      </c>
      <c r="F2897" t="inlineStr">
        <is>
          <t>Paul Fischer</t>
        </is>
      </c>
      <c r="G2897" t="inlineStr">
        <is>
          <t>Poland</t>
        </is>
      </c>
      <c r="H2897" t="inlineStr">
        <is>
          <t>Retail Store</t>
        </is>
      </c>
      <c r="I2897" t="n">
        <v>3</v>
      </c>
      <c r="J2897" s="3" t="n">
        <v>617.37</v>
      </c>
      <c r="K2897" s="3" t="n">
        <v>92.61</v>
      </c>
      <c r="L2897" s="3" t="n">
        <v>524.76</v>
      </c>
      <c r="M2897" s="3" t="n">
        <v>461.43</v>
      </c>
      <c r="N2897" s="3" t="n">
        <v>63.33</v>
      </c>
      <c r="O2897">
        <f>TEXT(A2897,"yyyy-mm")</f>
        <v/>
      </c>
    </row>
    <row r="2898">
      <c r="A2898" s="2" t="n">
        <v>45978</v>
      </c>
      <c r="B2898" t="n">
        <v>2025</v>
      </c>
      <c r="C2898" t="inlineStr">
        <is>
          <t>November</t>
        </is>
      </c>
      <c r="D2898" t="inlineStr">
        <is>
          <t>Premium Tent</t>
        </is>
      </c>
      <c r="E2898" t="inlineStr">
        <is>
          <t>Sports &amp; Outdoors</t>
        </is>
      </c>
      <c r="F2898" t="inlineStr">
        <is>
          <t>Olivia Smith</t>
        </is>
      </c>
      <c r="G2898" t="inlineStr">
        <is>
          <t>Germany</t>
        </is>
      </c>
      <c r="H2898" t="inlineStr">
        <is>
          <t>Mobile App</t>
        </is>
      </c>
      <c r="I2898" t="n">
        <v>5</v>
      </c>
      <c r="J2898" s="3" t="n">
        <v>1228.2</v>
      </c>
      <c r="K2898" s="3" t="n">
        <v>184.23</v>
      </c>
      <c r="L2898" s="3" t="n">
        <v>1043.97</v>
      </c>
      <c r="M2898" s="3" t="n">
        <v>695.2</v>
      </c>
      <c r="N2898" s="3" t="n">
        <v>348.77</v>
      </c>
      <c r="O2898">
        <f>TEXT(A2898,"yyyy-mm")</f>
        <v/>
      </c>
    </row>
    <row r="2899">
      <c r="A2899" s="2" t="n">
        <v>45978</v>
      </c>
      <c r="B2899" t="n">
        <v>2025</v>
      </c>
      <c r="C2899" t="inlineStr">
        <is>
          <t>November</t>
        </is>
      </c>
      <c r="D2899" t="inlineStr">
        <is>
          <t>Essential Lamp</t>
        </is>
      </c>
      <c r="E2899" t="inlineStr">
        <is>
          <t>Home &amp; Garden</t>
        </is>
      </c>
      <c r="F2899" t="inlineStr">
        <is>
          <t>Olivia Smith</t>
        </is>
      </c>
      <c r="G2899" t="inlineStr">
        <is>
          <t>Germany</t>
        </is>
      </c>
      <c r="H2899" t="inlineStr">
        <is>
          <t>Mobile App</t>
        </is>
      </c>
      <c r="I2899" t="n">
        <v>5</v>
      </c>
      <c r="J2899" s="3" t="n">
        <v>332.95</v>
      </c>
      <c r="K2899" s="3" t="n">
        <v>0</v>
      </c>
      <c r="L2899" s="3" t="n">
        <v>332.95</v>
      </c>
      <c r="M2899" s="3" t="n">
        <v>227</v>
      </c>
      <c r="N2899" s="3" t="n">
        <v>105.95</v>
      </c>
      <c r="O2899">
        <f>TEXT(A2899,"yyyy-mm")</f>
        <v/>
      </c>
    </row>
    <row r="2900">
      <c r="A2900" s="2" t="n">
        <v>45978</v>
      </c>
      <c r="B2900" t="n">
        <v>2025</v>
      </c>
      <c r="C2900" t="inlineStr">
        <is>
          <t>November</t>
        </is>
      </c>
      <c r="D2900" t="inlineStr">
        <is>
          <t>Eco Sweater</t>
        </is>
      </c>
      <c r="E2900" t="inlineStr">
        <is>
          <t>Clothing</t>
        </is>
      </c>
      <c r="F2900" t="inlineStr">
        <is>
          <t>Nina Fischer</t>
        </is>
      </c>
      <c r="G2900" t="inlineStr">
        <is>
          <t>Netherlands</t>
        </is>
      </c>
      <c r="H2900" t="inlineStr">
        <is>
          <t>Marketplace</t>
        </is>
      </c>
      <c r="I2900" t="n">
        <v>4</v>
      </c>
      <c r="J2900" s="3" t="n">
        <v>591.04</v>
      </c>
      <c r="K2900" s="3" t="n">
        <v>0</v>
      </c>
      <c r="L2900" s="3" t="n">
        <v>591.04</v>
      </c>
      <c r="M2900" s="3" t="n">
        <v>416.92</v>
      </c>
      <c r="N2900" s="3" t="n">
        <v>174.12</v>
      </c>
      <c r="O2900">
        <f>TEXT(A2900,"yyyy-mm")</f>
        <v/>
      </c>
    </row>
    <row r="2901">
      <c r="A2901" s="2" t="n">
        <v>45978</v>
      </c>
      <c r="B2901" t="n">
        <v>2025</v>
      </c>
      <c r="C2901" t="inlineStr">
        <is>
          <t>November</t>
        </is>
      </c>
      <c r="D2901" t="inlineStr">
        <is>
          <t>Classic Tea Set</t>
        </is>
      </c>
      <c r="E2901" t="inlineStr">
        <is>
          <t>Grocery</t>
        </is>
      </c>
      <c r="F2901" t="inlineStr">
        <is>
          <t>Olivia Smith</t>
        </is>
      </c>
      <c r="G2901" t="inlineStr">
        <is>
          <t>Germany</t>
        </is>
      </c>
      <c r="H2901" t="inlineStr">
        <is>
          <t>Mobile App</t>
        </is>
      </c>
      <c r="I2901" t="n">
        <v>5</v>
      </c>
      <c r="J2901" s="3" t="n">
        <v>888.9</v>
      </c>
      <c r="K2901" s="3" t="n">
        <v>0</v>
      </c>
      <c r="L2901" s="3" t="n">
        <v>888.9</v>
      </c>
      <c r="M2901" s="3" t="n">
        <v>627</v>
      </c>
      <c r="N2901" s="3" t="n">
        <v>261.9</v>
      </c>
      <c r="O2901">
        <f>TEXT(A2901,"yyyy-mm")</f>
        <v/>
      </c>
    </row>
    <row r="2902">
      <c r="A2902" s="2" t="n">
        <v>45978</v>
      </c>
      <c r="B2902" t="n">
        <v>2025</v>
      </c>
      <c r="C2902" t="inlineStr">
        <is>
          <t>November</t>
        </is>
      </c>
      <c r="D2902" t="inlineStr">
        <is>
          <t>Compact Jacket</t>
        </is>
      </c>
      <c r="E2902" t="inlineStr">
        <is>
          <t>Clothing</t>
        </is>
      </c>
      <c r="F2902" t="inlineStr">
        <is>
          <t>Nina Fischer</t>
        </is>
      </c>
      <c r="G2902" t="inlineStr">
        <is>
          <t>Netherlands</t>
        </is>
      </c>
      <c r="H2902" t="inlineStr">
        <is>
          <t>Marketplace</t>
        </is>
      </c>
      <c r="I2902" t="n">
        <v>3</v>
      </c>
      <c r="J2902" s="3" t="n">
        <v>116.49</v>
      </c>
      <c r="K2902" s="3" t="n">
        <v>0</v>
      </c>
      <c r="L2902" s="3" t="n">
        <v>116.49</v>
      </c>
      <c r="M2902" s="3" t="n">
        <v>61.2</v>
      </c>
      <c r="N2902" s="3" t="n">
        <v>55.29</v>
      </c>
      <c r="O2902">
        <f>TEXT(A2902,"yyyy-mm")</f>
        <v/>
      </c>
    </row>
    <row r="2903">
      <c r="A2903" s="2" t="n">
        <v>45978</v>
      </c>
      <c r="B2903" t="n">
        <v>2025</v>
      </c>
      <c r="C2903" t="inlineStr">
        <is>
          <t>November</t>
        </is>
      </c>
      <c r="D2903" t="inlineStr">
        <is>
          <t>Smart Olive Oil</t>
        </is>
      </c>
      <c r="E2903" t="inlineStr">
        <is>
          <t>Grocery</t>
        </is>
      </c>
      <c r="F2903" t="inlineStr">
        <is>
          <t>Olivia Smith</t>
        </is>
      </c>
      <c r="G2903" t="inlineStr">
        <is>
          <t>Germany</t>
        </is>
      </c>
      <c r="H2903" t="inlineStr">
        <is>
          <t>Mobile App</t>
        </is>
      </c>
      <c r="I2903" t="n">
        <v>2</v>
      </c>
      <c r="J2903" s="3" t="n">
        <v>339.04</v>
      </c>
      <c r="K2903" s="3" t="n">
        <v>0</v>
      </c>
      <c r="L2903" s="3" t="n">
        <v>339.04</v>
      </c>
      <c r="M2903" s="3" t="n">
        <v>220.04</v>
      </c>
      <c r="N2903" s="3" t="n">
        <v>119</v>
      </c>
      <c r="O2903">
        <f>TEXT(A2903,"yyyy-mm")</f>
        <v/>
      </c>
    </row>
    <row r="2904">
      <c r="A2904" s="2" t="n">
        <v>45979</v>
      </c>
      <c r="B2904" t="n">
        <v>2025</v>
      </c>
      <c r="C2904" t="inlineStr">
        <is>
          <t>November</t>
        </is>
      </c>
      <c r="D2904" t="inlineStr">
        <is>
          <t>Essential Pasta</t>
        </is>
      </c>
      <c r="E2904" t="inlineStr">
        <is>
          <t>Grocery</t>
        </is>
      </c>
      <c r="F2904" t="inlineStr">
        <is>
          <t>Emma Rossi</t>
        </is>
      </c>
      <c r="G2904" t="inlineStr">
        <is>
          <t>France</t>
        </is>
      </c>
      <c r="H2904" t="inlineStr">
        <is>
          <t>Web Store</t>
        </is>
      </c>
      <c r="I2904" t="n">
        <v>3</v>
      </c>
      <c r="J2904" s="3" t="n">
        <v>161.1</v>
      </c>
      <c r="K2904" s="3" t="n">
        <v>16.11</v>
      </c>
      <c r="L2904" s="3" t="n">
        <v>144.99</v>
      </c>
      <c r="M2904" s="3" t="n">
        <v>107.43</v>
      </c>
      <c r="N2904" s="3" t="n">
        <v>37.56</v>
      </c>
      <c r="O2904">
        <f>TEXT(A2904,"yyyy-mm")</f>
        <v/>
      </c>
    </row>
    <row r="2905">
      <c r="A2905" s="2" t="n">
        <v>45979</v>
      </c>
      <c r="B2905" t="n">
        <v>2025</v>
      </c>
      <c r="C2905" t="inlineStr">
        <is>
          <t>November</t>
        </is>
      </c>
      <c r="D2905" t="inlineStr">
        <is>
          <t>Smart Coffee Beans</t>
        </is>
      </c>
      <c r="E2905" t="inlineStr">
        <is>
          <t>Grocery</t>
        </is>
      </c>
      <c r="F2905" t="inlineStr">
        <is>
          <t>Emma Rossi</t>
        </is>
      </c>
      <c r="G2905" t="inlineStr">
        <is>
          <t>France</t>
        </is>
      </c>
      <c r="H2905" t="inlineStr">
        <is>
          <t>Web Store</t>
        </is>
      </c>
      <c r="I2905" t="n">
        <v>1</v>
      </c>
      <c r="J2905" s="3" t="n">
        <v>109.8</v>
      </c>
      <c r="K2905" s="3" t="n">
        <v>0</v>
      </c>
      <c r="L2905" s="3" t="n">
        <v>109.8</v>
      </c>
      <c r="M2905" s="3" t="n">
        <v>72.84999999999999</v>
      </c>
      <c r="N2905" s="3" t="n">
        <v>36.95</v>
      </c>
      <c r="O2905">
        <f>TEXT(A2905,"yyyy-mm")</f>
        <v/>
      </c>
    </row>
    <row r="2906">
      <c r="A2906" s="2" t="n">
        <v>45979</v>
      </c>
      <c r="B2906" t="n">
        <v>2025</v>
      </c>
      <c r="C2906" t="inlineStr">
        <is>
          <t>November</t>
        </is>
      </c>
      <c r="D2906" t="inlineStr">
        <is>
          <t>Classic Bike Helmet</t>
        </is>
      </c>
      <c r="E2906" t="inlineStr">
        <is>
          <t>Sports &amp; Outdoors</t>
        </is>
      </c>
      <c r="F2906" t="inlineStr">
        <is>
          <t>Emma Rossi</t>
        </is>
      </c>
      <c r="G2906" t="inlineStr">
        <is>
          <t>France</t>
        </is>
      </c>
      <c r="H2906" t="inlineStr">
        <is>
          <t>Web Store</t>
        </is>
      </c>
      <c r="I2906" t="n">
        <v>1</v>
      </c>
      <c r="J2906" s="3" t="n">
        <v>213.93</v>
      </c>
      <c r="K2906" s="3" t="n">
        <v>10.7</v>
      </c>
      <c r="L2906" s="3" t="n">
        <v>203.23</v>
      </c>
      <c r="M2906" s="3" t="n">
        <v>153.81</v>
      </c>
      <c r="N2906" s="3" t="n">
        <v>49.42</v>
      </c>
      <c r="O2906">
        <f>TEXT(A2906,"yyyy-mm")</f>
        <v/>
      </c>
    </row>
    <row r="2907">
      <c r="A2907" s="2" t="n">
        <v>45979</v>
      </c>
      <c r="B2907" t="n">
        <v>2025</v>
      </c>
      <c r="C2907" t="inlineStr">
        <is>
          <t>November</t>
        </is>
      </c>
      <c r="D2907" t="inlineStr">
        <is>
          <t>Wireless Coffee Beans</t>
        </is>
      </c>
      <c r="E2907" t="inlineStr">
        <is>
          <t>Grocery</t>
        </is>
      </c>
      <c r="F2907" t="inlineStr">
        <is>
          <t>Julia Zielinski</t>
        </is>
      </c>
      <c r="G2907" t="inlineStr">
        <is>
          <t>Netherlands</t>
        </is>
      </c>
      <c r="H2907" t="inlineStr">
        <is>
          <t>Retail Store</t>
        </is>
      </c>
      <c r="I2907" t="n">
        <v>3</v>
      </c>
      <c r="J2907" s="3" t="n">
        <v>672.27</v>
      </c>
      <c r="K2907" s="3" t="n">
        <v>0</v>
      </c>
      <c r="L2907" s="3" t="n">
        <v>672.27</v>
      </c>
      <c r="M2907" s="3" t="n">
        <v>390.39</v>
      </c>
      <c r="N2907" s="3" t="n">
        <v>281.88</v>
      </c>
      <c r="O2907">
        <f>TEXT(A2907,"yyyy-mm")</f>
        <v/>
      </c>
    </row>
    <row r="2908">
      <c r="A2908" s="2" t="n">
        <v>45979</v>
      </c>
      <c r="B2908" t="n">
        <v>2025</v>
      </c>
      <c r="C2908" t="inlineStr">
        <is>
          <t>November</t>
        </is>
      </c>
      <c r="D2908" t="inlineStr">
        <is>
          <t>Smart Coffee Beans</t>
        </is>
      </c>
      <c r="E2908" t="inlineStr">
        <is>
          <t>Grocery</t>
        </is>
      </c>
      <c r="F2908" t="inlineStr">
        <is>
          <t>Nina Fischer</t>
        </is>
      </c>
      <c r="G2908" t="inlineStr">
        <is>
          <t>Netherlands</t>
        </is>
      </c>
      <c r="H2908" t="inlineStr">
        <is>
          <t>Marketplace</t>
        </is>
      </c>
      <c r="I2908" t="n">
        <v>1</v>
      </c>
      <c r="J2908" s="3" t="n">
        <v>114.39</v>
      </c>
      <c r="K2908" s="3" t="n">
        <v>0</v>
      </c>
      <c r="L2908" s="3" t="n">
        <v>114.39</v>
      </c>
      <c r="M2908" s="3" t="n">
        <v>72.84999999999999</v>
      </c>
      <c r="N2908" s="3" t="n">
        <v>41.54</v>
      </c>
      <c r="O2908">
        <f>TEXT(A2908,"yyyy-mm")</f>
        <v/>
      </c>
    </row>
    <row r="2909">
      <c r="A2909" s="2" t="n">
        <v>45979</v>
      </c>
      <c r="B2909" t="n">
        <v>2025</v>
      </c>
      <c r="C2909" t="inlineStr">
        <is>
          <t>November</t>
        </is>
      </c>
      <c r="D2909" t="inlineStr">
        <is>
          <t>Essential Toolset</t>
        </is>
      </c>
      <c r="E2909" t="inlineStr">
        <is>
          <t>Home &amp; Garden</t>
        </is>
      </c>
      <c r="F2909" t="inlineStr">
        <is>
          <t>Nina Fischer</t>
        </is>
      </c>
      <c r="G2909" t="inlineStr">
        <is>
          <t>Netherlands</t>
        </is>
      </c>
      <c r="H2909" t="inlineStr">
        <is>
          <t>Marketplace</t>
        </is>
      </c>
      <c r="I2909" t="n">
        <v>3</v>
      </c>
      <c r="J2909" s="3" t="n">
        <v>647.34</v>
      </c>
      <c r="K2909" s="3" t="n">
        <v>129.47</v>
      </c>
      <c r="L2909" s="3" t="n">
        <v>517.87</v>
      </c>
      <c r="M2909" s="3" t="n">
        <v>451.59</v>
      </c>
      <c r="N2909" s="3" t="n">
        <v>66.28</v>
      </c>
      <c r="O2909">
        <f>TEXT(A2909,"yyyy-mm")</f>
        <v/>
      </c>
    </row>
    <row r="2910">
      <c r="A2910" s="2" t="n">
        <v>45979</v>
      </c>
      <c r="B2910" t="n">
        <v>2025</v>
      </c>
      <c r="C2910" t="inlineStr">
        <is>
          <t>November</t>
        </is>
      </c>
      <c r="D2910" t="inlineStr">
        <is>
          <t>Essential Notebook</t>
        </is>
      </c>
      <c r="E2910" t="inlineStr">
        <is>
          <t>Books</t>
        </is>
      </c>
      <c r="F2910" t="inlineStr">
        <is>
          <t>Nina Fischer</t>
        </is>
      </c>
      <c r="G2910" t="inlineStr">
        <is>
          <t>Netherlands</t>
        </is>
      </c>
      <c r="H2910" t="inlineStr">
        <is>
          <t>Marketplace</t>
        </is>
      </c>
      <c r="I2910" t="n">
        <v>5</v>
      </c>
      <c r="J2910" s="3" t="n">
        <v>560.2</v>
      </c>
      <c r="K2910" s="3" t="n">
        <v>0</v>
      </c>
      <c r="L2910" s="3" t="n">
        <v>560.2</v>
      </c>
      <c r="M2910" s="3" t="n">
        <v>395.5</v>
      </c>
      <c r="N2910" s="3" t="n">
        <v>164.7</v>
      </c>
      <c r="O2910">
        <f>TEXT(A2910,"yyyy-mm")</f>
        <v/>
      </c>
    </row>
    <row r="2911">
      <c r="A2911" s="2" t="n">
        <v>45980</v>
      </c>
      <c r="B2911" t="n">
        <v>2025</v>
      </c>
      <c r="C2911" t="inlineStr">
        <is>
          <t>November</t>
        </is>
      </c>
      <c r="D2911" t="inlineStr">
        <is>
          <t>Premium Rug</t>
        </is>
      </c>
      <c r="E2911" t="inlineStr">
        <is>
          <t>Home &amp; Garden</t>
        </is>
      </c>
      <c r="F2911" t="inlineStr">
        <is>
          <t>Sophie Martin</t>
        </is>
      </c>
      <c r="G2911" t="inlineStr">
        <is>
          <t>United States</t>
        </is>
      </c>
      <c r="H2911" t="inlineStr">
        <is>
          <t>Retail Store</t>
        </is>
      </c>
      <c r="I2911" t="n">
        <v>3</v>
      </c>
      <c r="J2911" s="3" t="n">
        <v>570.09</v>
      </c>
      <c r="K2911" s="3" t="n">
        <v>0</v>
      </c>
      <c r="L2911" s="3" t="n">
        <v>570.09</v>
      </c>
      <c r="M2911" s="3" t="n">
        <v>333.57</v>
      </c>
      <c r="N2911" s="3" t="n">
        <v>236.52</v>
      </c>
      <c r="O2911">
        <f>TEXT(A2911,"yyyy-mm")</f>
        <v/>
      </c>
    </row>
    <row r="2912">
      <c r="A2912" s="2" t="n">
        <v>45980</v>
      </c>
      <c r="B2912" t="n">
        <v>2025</v>
      </c>
      <c r="C2912" t="inlineStr">
        <is>
          <t>November</t>
        </is>
      </c>
      <c r="D2912" t="inlineStr">
        <is>
          <t>Wireless Coffee Beans</t>
        </is>
      </c>
      <c r="E2912" t="inlineStr">
        <is>
          <t>Grocery</t>
        </is>
      </c>
      <c r="F2912" t="inlineStr">
        <is>
          <t>Mark Wilson</t>
        </is>
      </c>
      <c r="G2912" t="inlineStr">
        <is>
          <t>Italy</t>
        </is>
      </c>
      <c r="H2912" t="inlineStr">
        <is>
          <t>Web Store</t>
        </is>
      </c>
      <c r="I2912" t="n">
        <v>1</v>
      </c>
      <c r="J2912" s="3" t="n">
        <v>123.4</v>
      </c>
      <c r="K2912" s="3" t="n">
        <v>6.17</v>
      </c>
      <c r="L2912" s="3" t="n">
        <v>117.23</v>
      </c>
      <c r="M2912" s="3" t="n">
        <v>79.37</v>
      </c>
      <c r="N2912" s="3" t="n">
        <v>37.86</v>
      </c>
      <c r="O2912">
        <f>TEXT(A2912,"yyyy-mm")</f>
        <v/>
      </c>
    </row>
    <row r="2913">
      <c r="A2913" s="2" t="n">
        <v>45980</v>
      </c>
      <c r="B2913" t="n">
        <v>2025</v>
      </c>
      <c r="C2913" t="inlineStr">
        <is>
          <t>November</t>
        </is>
      </c>
      <c r="D2913" t="inlineStr">
        <is>
          <t>Classic Charger</t>
        </is>
      </c>
      <c r="E2913" t="inlineStr">
        <is>
          <t>Electronics</t>
        </is>
      </c>
      <c r="F2913" t="inlineStr">
        <is>
          <t>Mark Wilson</t>
        </is>
      </c>
      <c r="G2913" t="inlineStr">
        <is>
          <t>Italy</t>
        </is>
      </c>
      <c r="H2913" t="inlineStr">
        <is>
          <t>Web Store</t>
        </is>
      </c>
      <c r="I2913" t="n">
        <v>3</v>
      </c>
      <c r="J2913" s="3" t="n">
        <v>284.31</v>
      </c>
      <c r="K2913" s="3" t="n">
        <v>56.86</v>
      </c>
      <c r="L2913" s="3" t="n">
        <v>227.45</v>
      </c>
      <c r="M2913" s="3" t="n">
        <v>186.63</v>
      </c>
      <c r="N2913" s="3" t="n">
        <v>40.82</v>
      </c>
      <c r="O2913">
        <f>TEXT(A2913,"yyyy-mm")</f>
        <v/>
      </c>
    </row>
    <row r="2914">
      <c r="A2914" s="2" t="n">
        <v>45980</v>
      </c>
      <c r="B2914" t="n">
        <v>2025</v>
      </c>
      <c r="C2914" t="inlineStr">
        <is>
          <t>November</t>
        </is>
      </c>
      <c r="D2914" t="inlineStr">
        <is>
          <t>Smart Puzzle</t>
        </is>
      </c>
      <c r="E2914" t="inlineStr">
        <is>
          <t>Toys &amp; Games</t>
        </is>
      </c>
      <c r="F2914" t="inlineStr">
        <is>
          <t>Mark Wilson</t>
        </is>
      </c>
      <c r="G2914" t="inlineStr">
        <is>
          <t>Italy</t>
        </is>
      </c>
      <c r="H2914" t="inlineStr">
        <is>
          <t>Web Store</t>
        </is>
      </c>
      <c r="I2914" t="n">
        <v>5</v>
      </c>
      <c r="J2914" s="3" t="n">
        <v>1351.95</v>
      </c>
      <c r="K2914" s="3" t="n">
        <v>0</v>
      </c>
      <c r="L2914" s="3" t="n">
        <v>1351.95</v>
      </c>
      <c r="M2914" s="3" t="n">
        <v>963.8</v>
      </c>
      <c r="N2914" s="3" t="n">
        <v>388.15</v>
      </c>
      <c r="O2914">
        <f>TEXT(A2914,"yyyy-mm")</f>
        <v/>
      </c>
    </row>
    <row r="2915">
      <c r="A2915" s="2" t="n">
        <v>45981</v>
      </c>
      <c r="B2915" t="n">
        <v>2025</v>
      </c>
      <c r="C2915" t="inlineStr">
        <is>
          <t>November</t>
        </is>
      </c>
      <c r="D2915" t="inlineStr">
        <is>
          <t>Deluxe Toothbrush</t>
        </is>
      </c>
      <c r="E2915" t="inlineStr">
        <is>
          <t>Beauty &amp; Health</t>
        </is>
      </c>
      <c r="F2915" t="inlineStr">
        <is>
          <t>Olivia Kowalski</t>
        </is>
      </c>
      <c r="G2915" t="inlineStr">
        <is>
          <t>Poland</t>
        </is>
      </c>
      <c r="H2915" t="inlineStr">
        <is>
          <t>Retail Store</t>
        </is>
      </c>
      <c r="I2915" t="n">
        <v>3</v>
      </c>
      <c r="J2915" s="3" t="n">
        <v>1025.73</v>
      </c>
      <c r="K2915" s="3" t="n">
        <v>0</v>
      </c>
      <c r="L2915" s="3" t="n">
        <v>1025.73</v>
      </c>
      <c r="M2915" s="3" t="n">
        <v>523.71</v>
      </c>
      <c r="N2915" s="3" t="n">
        <v>502.02</v>
      </c>
      <c r="O2915">
        <f>TEXT(A2915,"yyyy-mm")</f>
        <v/>
      </c>
    </row>
    <row r="2916">
      <c r="A2916" s="2" t="n">
        <v>45981</v>
      </c>
      <c r="B2916" t="n">
        <v>2025</v>
      </c>
      <c r="C2916" t="inlineStr">
        <is>
          <t>November</t>
        </is>
      </c>
      <c r="D2916" t="inlineStr">
        <is>
          <t>Smart Sweater</t>
        </is>
      </c>
      <c r="E2916" t="inlineStr">
        <is>
          <t>Clothing</t>
        </is>
      </c>
      <c r="F2916" t="inlineStr">
        <is>
          <t>Olivia Kowalski</t>
        </is>
      </c>
      <c r="G2916" t="inlineStr">
        <is>
          <t>Poland</t>
        </is>
      </c>
      <c r="H2916" t="inlineStr">
        <is>
          <t>Retail Store</t>
        </is>
      </c>
      <c r="I2916" t="n">
        <v>5</v>
      </c>
      <c r="J2916" s="3" t="n">
        <v>747.55</v>
      </c>
      <c r="K2916" s="3" t="n">
        <v>0</v>
      </c>
      <c r="L2916" s="3" t="n">
        <v>747.55</v>
      </c>
      <c r="M2916" s="3" t="n">
        <v>386.75</v>
      </c>
      <c r="N2916" s="3" t="n">
        <v>360.8</v>
      </c>
      <c r="O2916">
        <f>TEXT(A2916,"yyyy-mm")</f>
        <v/>
      </c>
    </row>
    <row r="2917">
      <c r="A2917" s="2" t="n">
        <v>45981</v>
      </c>
      <c r="B2917" t="n">
        <v>2025</v>
      </c>
      <c r="C2917" t="inlineStr">
        <is>
          <t>November</t>
        </is>
      </c>
      <c r="D2917" t="inlineStr">
        <is>
          <t>Classic Atlas</t>
        </is>
      </c>
      <c r="E2917" t="inlineStr">
        <is>
          <t>Books</t>
        </is>
      </c>
      <c r="F2917" t="inlineStr">
        <is>
          <t>Daniel Garcia</t>
        </is>
      </c>
      <c r="G2917" t="inlineStr">
        <is>
          <t>France</t>
        </is>
      </c>
      <c r="H2917" t="inlineStr">
        <is>
          <t>Marketplace</t>
        </is>
      </c>
      <c r="I2917" t="n">
        <v>1</v>
      </c>
      <c r="J2917" s="3" t="n">
        <v>61.87</v>
      </c>
      <c r="K2917" s="3" t="n">
        <v>0</v>
      </c>
      <c r="L2917" s="3" t="n">
        <v>61.87</v>
      </c>
      <c r="M2917" s="3" t="n">
        <v>34.59</v>
      </c>
      <c r="N2917" s="3" t="n">
        <v>27.28</v>
      </c>
      <c r="O2917">
        <f>TEXT(A2917,"yyyy-mm")</f>
        <v/>
      </c>
    </row>
    <row r="2918">
      <c r="A2918" s="2" t="n">
        <v>45981</v>
      </c>
      <c r="B2918" t="n">
        <v>2025</v>
      </c>
      <c r="C2918" t="inlineStr">
        <is>
          <t>November</t>
        </is>
      </c>
      <c r="D2918" t="inlineStr">
        <is>
          <t>Deluxe Toothbrush</t>
        </is>
      </c>
      <c r="E2918" t="inlineStr">
        <is>
          <t>Beauty &amp; Health</t>
        </is>
      </c>
      <c r="F2918" t="inlineStr">
        <is>
          <t>Daniel Garcia</t>
        </is>
      </c>
      <c r="G2918" t="inlineStr">
        <is>
          <t>France</t>
        </is>
      </c>
      <c r="H2918" t="inlineStr">
        <is>
          <t>Marketplace</t>
        </is>
      </c>
      <c r="I2918" t="n">
        <v>1</v>
      </c>
      <c r="J2918" s="3" t="n">
        <v>326.3</v>
      </c>
      <c r="K2918" s="3" t="n">
        <v>0</v>
      </c>
      <c r="L2918" s="3" t="n">
        <v>326.3</v>
      </c>
      <c r="M2918" s="3" t="n">
        <v>174.57</v>
      </c>
      <c r="N2918" s="3" t="n">
        <v>151.73</v>
      </c>
      <c r="O2918">
        <f>TEXT(A2918,"yyyy-mm")</f>
        <v/>
      </c>
    </row>
    <row r="2919">
      <c r="A2919" s="2" t="n">
        <v>45981</v>
      </c>
      <c r="B2919" t="n">
        <v>2025</v>
      </c>
      <c r="C2919" t="inlineStr">
        <is>
          <t>November</t>
        </is>
      </c>
      <c r="D2919" t="inlineStr">
        <is>
          <t>Classic Charger</t>
        </is>
      </c>
      <c r="E2919" t="inlineStr">
        <is>
          <t>Electronics</t>
        </is>
      </c>
      <c r="F2919" t="inlineStr">
        <is>
          <t>Emily Nowak</t>
        </is>
      </c>
      <c r="G2919" t="inlineStr">
        <is>
          <t>Netherlands</t>
        </is>
      </c>
      <c r="H2919" t="inlineStr">
        <is>
          <t>Mobile App</t>
        </is>
      </c>
      <c r="I2919" t="n">
        <v>2</v>
      </c>
      <c r="J2919" s="3" t="n">
        <v>182.34</v>
      </c>
      <c r="K2919" s="3" t="n">
        <v>0</v>
      </c>
      <c r="L2919" s="3" t="n">
        <v>182.34</v>
      </c>
      <c r="M2919" s="3" t="n">
        <v>124.42</v>
      </c>
      <c r="N2919" s="3" t="n">
        <v>57.92</v>
      </c>
      <c r="O2919">
        <f>TEXT(A2919,"yyyy-mm")</f>
        <v/>
      </c>
    </row>
    <row r="2920">
      <c r="A2920" s="2" t="n">
        <v>45982</v>
      </c>
      <c r="B2920" t="n">
        <v>2025</v>
      </c>
      <c r="C2920" t="inlineStr">
        <is>
          <t>November</t>
        </is>
      </c>
      <c r="D2920" t="inlineStr">
        <is>
          <t>Eco Planter</t>
        </is>
      </c>
      <c r="E2920" t="inlineStr">
        <is>
          <t>Home &amp; Garden</t>
        </is>
      </c>
      <c r="F2920" t="inlineStr">
        <is>
          <t>Emma Muller</t>
        </is>
      </c>
      <c r="G2920" t="inlineStr">
        <is>
          <t>United States</t>
        </is>
      </c>
      <c r="H2920" t="inlineStr">
        <is>
          <t>Mobile App</t>
        </is>
      </c>
      <c r="I2920" t="n">
        <v>2</v>
      </c>
      <c r="J2920" s="3" t="n">
        <v>363.3</v>
      </c>
      <c r="K2920" s="3" t="n">
        <v>0</v>
      </c>
      <c r="L2920" s="3" t="n">
        <v>363.3</v>
      </c>
      <c r="M2920" s="3" t="n">
        <v>224.82</v>
      </c>
      <c r="N2920" s="3" t="n">
        <v>138.48</v>
      </c>
      <c r="O2920">
        <f>TEXT(A2920,"yyyy-mm")</f>
        <v/>
      </c>
    </row>
    <row r="2921">
      <c r="A2921" s="2" t="n">
        <v>45982</v>
      </c>
      <c r="B2921" t="n">
        <v>2025</v>
      </c>
      <c r="C2921" t="inlineStr">
        <is>
          <t>November</t>
        </is>
      </c>
      <c r="D2921" t="inlineStr">
        <is>
          <t>Eco Tent</t>
        </is>
      </c>
      <c r="E2921" t="inlineStr">
        <is>
          <t>Sports &amp; Outdoors</t>
        </is>
      </c>
      <c r="F2921" t="inlineStr">
        <is>
          <t>Emma Muller</t>
        </is>
      </c>
      <c r="G2921" t="inlineStr">
        <is>
          <t>United States</t>
        </is>
      </c>
      <c r="H2921" t="inlineStr">
        <is>
          <t>Mobile App</t>
        </is>
      </c>
      <c r="I2921" t="n">
        <v>2</v>
      </c>
      <c r="J2921" s="3" t="n">
        <v>130.12</v>
      </c>
      <c r="K2921" s="3" t="n">
        <v>0</v>
      </c>
      <c r="L2921" s="3" t="n">
        <v>130.12</v>
      </c>
      <c r="M2921" s="3" t="n">
        <v>87.7</v>
      </c>
      <c r="N2921" s="3" t="n">
        <v>42.42</v>
      </c>
      <c r="O2921">
        <f>TEXT(A2921,"yyyy-mm")</f>
        <v/>
      </c>
    </row>
    <row r="2922">
      <c r="A2922" s="2" t="n">
        <v>45982</v>
      </c>
      <c r="B2922" t="n">
        <v>2025</v>
      </c>
      <c r="C2922" t="inlineStr">
        <is>
          <t>November</t>
        </is>
      </c>
      <c r="D2922" t="inlineStr">
        <is>
          <t>Classic Sunscreen</t>
        </is>
      </c>
      <c r="E2922" t="inlineStr">
        <is>
          <t>Beauty &amp; Health</t>
        </is>
      </c>
      <c r="F2922" t="inlineStr">
        <is>
          <t>Anna Dubois</t>
        </is>
      </c>
      <c r="G2922" t="inlineStr">
        <is>
          <t>Poland</t>
        </is>
      </c>
      <c r="H2922" t="inlineStr">
        <is>
          <t>Web Store</t>
        </is>
      </c>
      <c r="I2922" t="n">
        <v>3</v>
      </c>
      <c r="J2922" s="3" t="n">
        <v>435.3</v>
      </c>
      <c r="K2922" s="3" t="n">
        <v>87.06</v>
      </c>
      <c r="L2922" s="3" t="n">
        <v>348.24</v>
      </c>
      <c r="M2922" s="3" t="n">
        <v>281.07</v>
      </c>
      <c r="N2922" s="3" t="n">
        <v>67.17</v>
      </c>
      <c r="O2922">
        <f>TEXT(A2922,"yyyy-mm")</f>
        <v/>
      </c>
    </row>
    <row r="2923">
      <c r="A2923" s="2" t="n">
        <v>45982</v>
      </c>
      <c r="B2923" t="n">
        <v>2025</v>
      </c>
      <c r="C2923" t="inlineStr">
        <is>
          <t>November</t>
        </is>
      </c>
      <c r="D2923" t="inlineStr">
        <is>
          <t>Smart Tea Set</t>
        </is>
      </c>
      <c r="E2923" t="inlineStr">
        <is>
          <t>Grocery</t>
        </is>
      </c>
      <c r="F2923" t="inlineStr">
        <is>
          <t>Emma Muller</t>
        </is>
      </c>
      <c r="G2923" t="inlineStr">
        <is>
          <t>United States</t>
        </is>
      </c>
      <c r="H2923" t="inlineStr">
        <is>
          <t>Mobile App</t>
        </is>
      </c>
      <c r="I2923" t="n">
        <v>2</v>
      </c>
      <c r="J2923" s="3" t="n">
        <v>173.5</v>
      </c>
      <c r="K2923" s="3" t="n">
        <v>17.35</v>
      </c>
      <c r="L2923" s="3" t="n">
        <v>156.15</v>
      </c>
      <c r="M2923" s="3" t="n">
        <v>123.6</v>
      </c>
      <c r="N2923" s="3" t="n">
        <v>32.55</v>
      </c>
      <c r="O2923">
        <f>TEXT(A2923,"yyyy-mm")</f>
        <v/>
      </c>
    </row>
    <row r="2924">
      <c r="A2924" s="2" t="n">
        <v>45982</v>
      </c>
      <c r="B2924" t="n">
        <v>2025</v>
      </c>
      <c r="C2924" t="inlineStr">
        <is>
          <t>November</t>
        </is>
      </c>
      <c r="D2924" t="inlineStr">
        <is>
          <t>Eco Biography</t>
        </is>
      </c>
      <c r="E2924" t="inlineStr">
        <is>
          <t>Books</t>
        </is>
      </c>
      <c r="F2924" t="inlineStr">
        <is>
          <t>Emma Muller</t>
        </is>
      </c>
      <c r="G2924" t="inlineStr">
        <is>
          <t>United States</t>
        </is>
      </c>
      <c r="H2924" t="inlineStr">
        <is>
          <t>Mobile App</t>
        </is>
      </c>
      <c r="I2924" t="n">
        <v>3</v>
      </c>
      <c r="J2924" s="3" t="n">
        <v>377.34</v>
      </c>
      <c r="K2924" s="3" t="n">
        <v>56.6</v>
      </c>
      <c r="L2924" s="3" t="n">
        <v>320.74</v>
      </c>
      <c r="M2924" s="3" t="n">
        <v>213.06</v>
      </c>
      <c r="N2924" s="3" t="n">
        <v>107.68</v>
      </c>
      <c r="O2924">
        <f>TEXT(A2924,"yyyy-mm")</f>
        <v/>
      </c>
    </row>
    <row r="2925">
      <c r="A2925" s="2" t="n">
        <v>45983</v>
      </c>
      <c r="B2925" t="n">
        <v>2025</v>
      </c>
      <c r="C2925" t="inlineStr">
        <is>
          <t>November</t>
        </is>
      </c>
      <c r="D2925" t="inlineStr">
        <is>
          <t>Smart Drone</t>
        </is>
      </c>
      <c r="E2925" t="inlineStr">
        <is>
          <t>Toys &amp; Games</t>
        </is>
      </c>
      <c r="F2925" t="inlineStr">
        <is>
          <t>Maria Smith</t>
        </is>
      </c>
      <c r="G2925" t="inlineStr">
        <is>
          <t>Poland</t>
        </is>
      </c>
      <c r="H2925" t="inlineStr">
        <is>
          <t>Marketplace</t>
        </is>
      </c>
      <c r="I2925" t="n">
        <v>3</v>
      </c>
      <c r="J2925" s="3" t="n">
        <v>646.47</v>
      </c>
      <c r="K2925" s="3" t="n">
        <v>0</v>
      </c>
      <c r="L2925" s="3" t="n">
        <v>646.47</v>
      </c>
      <c r="M2925" s="3" t="n">
        <v>380.85</v>
      </c>
      <c r="N2925" s="3" t="n">
        <v>265.62</v>
      </c>
      <c r="O2925">
        <f>TEXT(A2925,"yyyy-mm")</f>
        <v/>
      </c>
    </row>
    <row r="2926">
      <c r="A2926" s="2" t="n">
        <v>45983</v>
      </c>
      <c r="B2926" t="n">
        <v>2025</v>
      </c>
      <c r="C2926" t="inlineStr">
        <is>
          <t>November</t>
        </is>
      </c>
      <c r="D2926" t="inlineStr">
        <is>
          <t>Wireless Honey</t>
        </is>
      </c>
      <c r="E2926" t="inlineStr">
        <is>
          <t>Grocery</t>
        </is>
      </c>
      <c r="F2926" t="inlineStr">
        <is>
          <t>Maria Smith</t>
        </is>
      </c>
      <c r="G2926" t="inlineStr">
        <is>
          <t>Poland</t>
        </is>
      </c>
      <c r="H2926" t="inlineStr">
        <is>
          <t>Marketplace</t>
        </is>
      </c>
      <c r="I2926" t="n">
        <v>2</v>
      </c>
      <c r="J2926" s="3" t="n">
        <v>270.6</v>
      </c>
      <c r="K2926" s="3" t="n">
        <v>27.06</v>
      </c>
      <c r="L2926" s="3" t="n">
        <v>243.54</v>
      </c>
      <c r="M2926" s="3" t="n">
        <v>188.14</v>
      </c>
      <c r="N2926" s="3" t="n">
        <v>55.4</v>
      </c>
      <c r="O2926">
        <f>TEXT(A2926,"yyyy-mm")</f>
        <v/>
      </c>
    </row>
    <row r="2927">
      <c r="A2927" s="2" t="n">
        <v>45983</v>
      </c>
      <c r="B2927" t="n">
        <v>2025</v>
      </c>
      <c r="C2927" t="inlineStr">
        <is>
          <t>November</t>
        </is>
      </c>
      <c r="D2927" t="inlineStr">
        <is>
          <t>Eco Tent</t>
        </is>
      </c>
      <c r="E2927" t="inlineStr">
        <is>
          <t>Sports &amp; Outdoors</t>
        </is>
      </c>
      <c r="F2927" t="inlineStr">
        <is>
          <t>Maria Smith</t>
        </is>
      </c>
      <c r="G2927" t="inlineStr">
        <is>
          <t>Poland</t>
        </is>
      </c>
      <c r="H2927" t="inlineStr">
        <is>
          <t>Marketplace</t>
        </is>
      </c>
      <c r="I2927" t="n">
        <v>1</v>
      </c>
      <c r="J2927" s="3" t="n">
        <v>67.62</v>
      </c>
      <c r="K2927" s="3" t="n">
        <v>13.52</v>
      </c>
      <c r="L2927" s="3" t="n">
        <v>54.1</v>
      </c>
      <c r="M2927" s="3" t="n">
        <v>43.85</v>
      </c>
      <c r="N2927" s="3" t="n">
        <v>10.25</v>
      </c>
      <c r="O2927">
        <f>TEXT(A2927,"yyyy-mm")</f>
        <v/>
      </c>
    </row>
    <row r="2928">
      <c r="A2928" s="2" t="n">
        <v>45983</v>
      </c>
      <c r="B2928" t="n">
        <v>2025</v>
      </c>
      <c r="C2928" t="inlineStr">
        <is>
          <t>November</t>
        </is>
      </c>
      <c r="D2928" t="inlineStr">
        <is>
          <t>Essential Pasta</t>
        </is>
      </c>
      <c r="E2928" t="inlineStr">
        <is>
          <t>Grocery</t>
        </is>
      </c>
      <c r="F2928" t="inlineStr">
        <is>
          <t>Emily Johnson</t>
        </is>
      </c>
      <c r="G2928" t="inlineStr">
        <is>
          <t>Italy</t>
        </is>
      </c>
      <c r="H2928" t="inlineStr">
        <is>
          <t>Web Store</t>
        </is>
      </c>
      <c r="I2928" t="n">
        <v>1</v>
      </c>
      <c r="J2928" s="3" t="n">
        <v>55.03</v>
      </c>
      <c r="K2928" s="3" t="n">
        <v>11.01</v>
      </c>
      <c r="L2928" s="3" t="n">
        <v>44.02</v>
      </c>
      <c r="M2928" s="3" t="n">
        <v>35.81</v>
      </c>
      <c r="N2928" s="3" t="n">
        <v>8.210000000000001</v>
      </c>
      <c r="O2928">
        <f>TEXT(A2928,"yyyy-mm")</f>
        <v/>
      </c>
    </row>
    <row r="2929">
      <c r="A2929" s="2" t="n">
        <v>45984</v>
      </c>
      <c r="B2929" t="n">
        <v>2025</v>
      </c>
      <c r="C2929" t="inlineStr">
        <is>
          <t>November</t>
        </is>
      </c>
      <c r="D2929" t="inlineStr">
        <is>
          <t>Smart Camera</t>
        </is>
      </c>
      <c r="E2929" t="inlineStr">
        <is>
          <t>Electronics</t>
        </is>
      </c>
      <c r="F2929" t="inlineStr">
        <is>
          <t>Daniel Conti</t>
        </is>
      </c>
      <c r="G2929" t="inlineStr">
        <is>
          <t>United Kingdom</t>
        </is>
      </c>
      <c r="H2929" t="inlineStr">
        <is>
          <t>Web Store</t>
        </is>
      </c>
      <c r="I2929" t="n">
        <v>4</v>
      </c>
      <c r="J2929" s="3" t="n">
        <v>1256.92</v>
      </c>
      <c r="K2929" s="3" t="n">
        <v>0</v>
      </c>
      <c r="L2929" s="3" t="n">
        <v>1256.92</v>
      </c>
      <c r="M2929" s="3" t="n">
        <v>669.6</v>
      </c>
      <c r="N2929" s="3" t="n">
        <v>587.3200000000001</v>
      </c>
      <c r="O2929">
        <f>TEXT(A2929,"yyyy-mm")</f>
        <v/>
      </c>
    </row>
    <row r="2930">
      <c r="A2930" s="2" t="n">
        <v>45984</v>
      </c>
      <c r="B2930" t="n">
        <v>2025</v>
      </c>
      <c r="C2930" t="inlineStr">
        <is>
          <t>November</t>
        </is>
      </c>
      <c r="D2930" t="inlineStr">
        <is>
          <t>Eco Tent</t>
        </is>
      </c>
      <c r="E2930" t="inlineStr">
        <is>
          <t>Sports &amp; Outdoors</t>
        </is>
      </c>
      <c r="F2930" t="inlineStr">
        <is>
          <t>Daniel Conti</t>
        </is>
      </c>
      <c r="G2930" t="inlineStr">
        <is>
          <t>United Kingdom</t>
        </is>
      </c>
      <c r="H2930" t="inlineStr">
        <is>
          <t>Web Store</t>
        </is>
      </c>
      <c r="I2930" t="n">
        <v>5</v>
      </c>
      <c r="J2930" s="3" t="n">
        <v>1212.9</v>
      </c>
      <c r="K2930" s="3" t="n">
        <v>0</v>
      </c>
      <c r="L2930" s="3" t="n">
        <v>1212.9</v>
      </c>
      <c r="M2930" s="3" t="n">
        <v>675.15</v>
      </c>
      <c r="N2930" s="3" t="n">
        <v>537.75</v>
      </c>
      <c r="O2930">
        <f>TEXT(A2930,"yyyy-mm")</f>
        <v/>
      </c>
    </row>
    <row r="2931">
      <c r="A2931" s="2" t="n">
        <v>45984</v>
      </c>
      <c r="B2931" t="n">
        <v>2025</v>
      </c>
      <c r="C2931" t="inlineStr">
        <is>
          <t>November</t>
        </is>
      </c>
      <c r="D2931" t="inlineStr">
        <is>
          <t>Premium Water Bottle</t>
        </is>
      </c>
      <c r="E2931" t="inlineStr">
        <is>
          <t>Sports &amp; Outdoors</t>
        </is>
      </c>
      <c r="F2931" t="inlineStr">
        <is>
          <t>Daniel Conti</t>
        </is>
      </c>
      <c r="G2931" t="inlineStr">
        <is>
          <t>United Kingdom</t>
        </is>
      </c>
      <c r="H2931" t="inlineStr">
        <is>
          <t>Web Store</t>
        </is>
      </c>
      <c r="I2931" t="n">
        <v>4</v>
      </c>
      <c r="J2931" s="3" t="n">
        <v>466.68</v>
      </c>
      <c r="K2931" s="3" t="n">
        <v>46.67</v>
      </c>
      <c r="L2931" s="3" t="n">
        <v>420.01</v>
      </c>
      <c r="M2931" s="3" t="n">
        <v>358.48</v>
      </c>
      <c r="N2931" s="3" t="n">
        <v>61.53</v>
      </c>
      <c r="O2931">
        <f>TEXT(A2931,"yyyy-mm")</f>
        <v/>
      </c>
    </row>
    <row r="2932">
      <c r="A2932" s="2" t="n">
        <v>45984</v>
      </c>
      <c r="B2932" t="n">
        <v>2025</v>
      </c>
      <c r="C2932" t="inlineStr">
        <is>
          <t>November</t>
        </is>
      </c>
      <c r="D2932" t="inlineStr">
        <is>
          <t>Smart Drone</t>
        </is>
      </c>
      <c r="E2932" t="inlineStr">
        <is>
          <t>Toys &amp; Games</t>
        </is>
      </c>
      <c r="F2932" t="inlineStr">
        <is>
          <t>Daniel Conti</t>
        </is>
      </c>
      <c r="G2932" t="inlineStr">
        <is>
          <t>United Kingdom</t>
        </is>
      </c>
      <c r="H2932" t="inlineStr">
        <is>
          <t>Web Store</t>
        </is>
      </c>
      <c r="I2932" t="n">
        <v>2</v>
      </c>
      <c r="J2932" s="3" t="n">
        <v>447.86</v>
      </c>
      <c r="K2932" s="3" t="n">
        <v>0</v>
      </c>
      <c r="L2932" s="3" t="n">
        <v>447.86</v>
      </c>
      <c r="M2932" s="3" t="n">
        <v>253.9</v>
      </c>
      <c r="N2932" s="3" t="n">
        <v>193.96</v>
      </c>
      <c r="O2932">
        <f>TEXT(A2932,"yyyy-mm")</f>
        <v/>
      </c>
    </row>
    <row r="2933">
      <c r="A2933" s="2" t="n">
        <v>45984</v>
      </c>
      <c r="B2933" t="n">
        <v>2025</v>
      </c>
      <c r="C2933" t="inlineStr">
        <is>
          <t>November</t>
        </is>
      </c>
      <c r="D2933" t="inlineStr">
        <is>
          <t>Ultra Vitamins</t>
        </is>
      </c>
      <c r="E2933" t="inlineStr">
        <is>
          <t>Beauty &amp; Health</t>
        </is>
      </c>
      <c r="F2933" t="inlineStr">
        <is>
          <t>Emily Weber</t>
        </is>
      </c>
      <c r="G2933" t="inlineStr">
        <is>
          <t>United Kingdom</t>
        </is>
      </c>
      <c r="H2933" t="inlineStr">
        <is>
          <t>Mobile App</t>
        </is>
      </c>
      <c r="I2933" t="n">
        <v>5</v>
      </c>
      <c r="J2933" s="3" t="n">
        <v>1075.15</v>
      </c>
      <c r="K2933" s="3" t="n">
        <v>215.03</v>
      </c>
      <c r="L2933" s="3" t="n">
        <v>860.12</v>
      </c>
      <c r="M2933" s="3" t="n">
        <v>630.5</v>
      </c>
      <c r="N2933" s="3" t="n">
        <v>229.62</v>
      </c>
      <c r="O2933">
        <f>TEXT(A2933,"yyyy-mm")</f>
        <v/>
      </c>
    </row>
    <row r="2934">
      <c r="A2934" s="2" t="n">
        <v>45984</v>
      </c>
      <c r="B2934" t="n">
        <v>2025</v>
      </c>
      <c r="C2934" t="inlineStr">
        <is>
          <t>November</t>
        </is>
      </c>
      <c r="D2934" t="inlineStr">
        <is>
          <t>Wireless Cookbook</t>
        </is>
      </c>
      <c r="E2934" t="inlineStr">
        <is>
          <t>Books</t>
        </is>
      </c>
      <c r="F2934" t="inlineStr">
        <is>
          <t>Emily Weber</t>
        </is>
      </c>
      <c r="G2934" t="inlineStr">
        <is>
          <t>United Kingdom</t>
        </is>
      </c>
      <c r="H2934" t="inlineStr">
        <is>
          <t>Mobile App</t>
        </is>
      </c>
      <c r="I2934" t="n">
        <v>5</v>
      </c>
      <c r="J2934" s="3" t="n">
        <v>398.3</v>
      </c>
      <c r="K2934" s="3" t="n">
        <v>79.66</v>
      </c>
      <c r="L2934" s="3" t="n">
        <v>318.64</v>
      </c>
      <c r="M2934" s="3" t="n">
        <v>283.05</v>
      </c>
      <c r="N2934" s="3" t="n">
        <v>35.59</v>
      </c>
      <c r="O2934">
        <f>TEXT(A2934,"yyyy-mm")</f>
        <v/>
      </c>
    </row>
    <row r="2935">
      <c r="A2935" s="2" t="n">
        <v>45984</v>
      </c>
      <c r="B2935" t="n">
        <v>2025</v>
      </c>
      <c r="C2935" t="inlineStr">
        <is>
          <t>November</t>
        </is>
      </c>
      <c r="D2935" t="inlineStr">
        <is>
          <t>Eco Drone</t>
        </is>
      </c>
      <c r="E2935" t="inlineStr">
        <is>
          <t>Toys &amp; Games</t>
        </is>
      </c>
      <c r="F2935" t="inlineStr">
        <is>
          <t>Emily Weber</t>
        </is>
      </c>
      <c r="G2935" t="inlineStr">
        <is>
          <t>United Kingdom</t>
        </is>
      </c>
      <c r="H2935" t="inlineStr">
        <is>
          <t>Mobile App</t>
        </is>
      </c>
      <c r="I2935" t="n">
        <v>2</v>
      </c>
      <c r="J2935" s="3" t="n">
        <v>398.62</v>
      </c>
      <c r="K2935" s="3" t="n">
        <v>59.79</v>
      </c>
      <c r="L2935" s="3" t="n">
        <v>338.83</v>
      </c>
      <c r="M2935" s="3" t="n">
        <v>259.18</v>
      </c>
      <c r="N2935" s="3" t="n">
        <v>79.65000000000001</v>
      </c>
      <c r="O2935">
        <f>TEXT(A2935,"yyyy-mm")</f>
        <v/>
      </c>
    </row>
    <row r="2936">
      <c r="A2936" s="2" t="n">
        <v>45984</v>
      </c>
      <c r="B2936" t="n">
        <v>2025</v>
      </c>
      <c r="C2936" t="inlineStr">
        <is>
          <t>November</t>
        </is>
      </c>
      <c r="D2936" t="inlineStr">
        <is>
          <t>Eco Planter</t>
        </is>
      </c>
      <c r="E2936" t="inlineStr">
        <is>
          <t>Home &amp; Garden</t>
        </is>
      </c>
      <c r="F2936" t="inlineStr">
        <is>
          <t>Michael Smith</t>
        </is>
      </c>
      <c r="G2936" t="inlineStr">
        <is>
          <t>Spain</t>
        </is>
      </c>
      <c r="H2936" t="inlineStr">
        <is>
          <t>Mobile App</t>
        </is>
      </c>
      <c r="I2936" t="n">
        <v>5</v>
      </c>
      <c r="J2936" s="3" t="n">
        <v>925.6</v>
      </c>
      <c r="K2936" s="3" t="n">
        <v>92.56</v>
      </c>
      <c r="L2936" s="3" t="n">
        <v>833.04</v>
      </c>
      <c r="M2936" s="3" t="n">
        <v>562.05</v>
      </c>
      <c r="N2936" s="3" t="n">
        <v>270.99</v>
      </c>
      <c r="O2936">
        <f>TEXT(A2936,"yyyy-mm")</f>
        <v/>
      </c>
    </row>
    <row r="2937">
      <c r="A2937" s="2" t="n">
        <v>45984</v>
      </c>
      <c r="B2937" t="n">
        <v>2025</v>
      </c>
      <c r="C2937" t="inlineStr">
        <is>
          <t>November</t>
        </is>
      </c>
      <c r="D2937" t="inlineStr">
        <is>
          <t>Essential Charger</t>
        </is>
      </c>
      <c r="E2937" t="inlineStr">
        <is>
          <t>Electronics</t>
        </is>
      </c>
      <c r="F2937" t="inlineStr">
        <is>
          <t>Michael Smith</t>
        </is>
      </c>
      <c r="G2937" t="inlineStr">
        <is>
          <t>Spain</t>
        </is>
      </c>
      <c r="H2937" t="inlineStr">
        <is>
          <t>Mobile App</t>
        </is>
      </c>
      <c r="I2937" t="n">
        <v>5</v>
      </c>
      <c r="J2937" s="3" t="n">
        <v>230.45</v>
      </c>
      <c r="K2937" s="3" t="n">
        <v>23.04</v>
      </c>
      <c r="L2937" s="3" t="n">
        <v>207.41</v>
      </c>
      <c r="M2937" s="3" t="n">
        <v>145.5</v>
      </c>
      <c r="N2937" s="3" t="n">
        <v>61.91</v>
      </c>
      <c r="O2937">
        <f>TEXT(A2937,"yyyy-mm")</f>
        <v/>
      </c>
    </row>
    <row r="2938">
      <c r="A2938" s="2" t="n">
        <v>45985</v>
      </c>
      <c r="B2938" t="n">
        <v>2025</v>
      </c>
      <c r="C2938" t="inlineStr">
        <is>
          <t>November</t>
        </is>
      </c>
      <c r="D2938" t="inlineStr">
        <is>
          <t>Smart Sweater</t>
        </is>
      </c>
      <c r="E2938" t="inlineStr">
        <is>
          <t>Clothing</t>
        </is>
      </c>
      <c r="F2938" t="inlineStr">
        <is>
          <t>Thomas Zielinski</t>
        </is>
      </c>
      <c r="G2938" t="inlineStr">
        <is>
          <t>Netherlands</t>
        </is>
      </c>
      <c r="H2938" t="inlineStr">
        <is>
          <t>Web Store</t>
        </is>
      </c>
      <c r="I2938" t="n">
        <v>3</v>
      </c>
      <c r="J2938" s="3" t="n">
        <v>421.14</v>
      </c>
      <c r="K2938" s="3" t="n">
        <v>0</v>
      </c>
      <c r="L2938" s="3" t="n">
        <v>421.14</v>
      </c>
      <c r="M2938" s="3" t="n">
        <v>232.05</v>
      </c>
      <c r="N2938" s="3" t="n">
        <v>189.09</v>
      </c>
      <c r="O2938">
        <f>TEXT(A2938,"yyyy-mm")</f>
        <v/>
      </c>
    </row>
    <row r="2939">
      <c r="A2939" s="2" t="n">
        <v>45985</v>
      </c>
      <c r="B2939" t="n">
        <v>2025</v>
      </c>
      <c r="C2939" t="inlineStr">
        <is>
          <t>November</t>
        </is>
      </c>
      <c r="D2939" t="inlineStr">
        <is>
          <t>Eco Tent</t>
        </is>
      </c>
      <c r="E2939" t="inlineStr">
        <is>
          <t>Sports &amp; Outdoors</t>
        </is>
      </c>
      <c r="F2939" t="inlineStr">
        <is>
          <t>Thomas Zielinski</t>
        </is>
      </c>
      <c r="G2939" t="inlineStr">
        <is>
          <t>Netherlands</t>
        </is>
      </c>
      <c r="H2939" t="inlineStr">
        <is>
          <t>Web Store</t>
        </is>
      </c>
      <c r="I2939" t="n">
        <v>2</v>
      </c>
      <c r="J2939" s="3" t="n">
        <v>500.32</v>
      </c>
      <c r="K2939" s="3" t="n">
        <v>50.03</v>
      </c>
      <c r="L2939" s="3" t="n">
        <v>450.29</v>
      </c>
      <c r="M2939" s="3" t="n">
        <v>270.06</v>
      </c>
      <c r="N2939" s="3" t="n">
        <v>180.23</v>
      </c>
      <c r="O2939">
        <f>TEXT(A2939,"yyyy-mm")</f>
        <v/>
      </c>
    </row>
    <row r="2940">
      <c r="A2940" s="2" t="n">
        <v>45985</v>
      </c>
      <c r="B2940" t="n">
        <v>2025</v>
      </c>
      <c r="C2940" t="inlineStr">
        <is>
          <t>November</t>
        </is>
      </c>
      <c r="D2940" t="inlineStr">
        <is>
          <t>Eco Drone</t>
        </is>
      </c>
      <c r="E2940" t="inlineStr">
        <is>
          <t>Toys &amp; Games</t>
        </is>
      </c>
      <c r="F2940" t="inlineStr">
        <is>
          <t>Thomas Zielinski</t>
        </is>
      </c>
      <c r="G2940" t="inlineStr">
        <is>
          <t>Netherlands</t>
        </is>
      </c>
      <c r="H2940" t="inlineStr">
        <is>
          <t>Web Store</t>
        </is>
      </c>
      <c r="I2940" t="n">
        <v>1</v>
      </c>
      <c r="J2940" s="3" t="n">
        <v>209.1</v>
      </c>
      <c r="K2940" s="3" t="n">
        <v>41.82</v>
      </c>
      <c r="L2940" s="3" t="n">
        <v>167.28</v>
      </c>
      <c r="M2940" s="3" t="n">
        <v>129.59</v>
      </c>
      <c r="N2940" s="3" t="n">
        <v>37.69</v>
      </c>
      <c r="O2940">
        <f>TEXT(A2940,"yyyy-mm")</f>
        <v/>
      </c>
    </row>
    <row r="2941">
      <c r="A2941" s="2" t="n">
        <v>45985</v>
      </c>
      <c r="B2941" t="n">
        <v>2025</v>
      </c>
      <c r="C2941" t="inlineStr">
        <is>
          <t>November</t>
        </is>
      </c>
      <c r="D2941" t="inlineStr">
        <is>
          <t>Wireless Coffee Beans</t>
        </is>
      </c>
      <c r="E2941" t="inlineStr">
        <is>
          <t>Grocery</t>
        </is>
      </c>
      <c r="F2941" t="inlineStr">
        <is>
          <t>Thomas Zielinski</t>
        </is>
      </c>
      <c r="G2941" t="inlineStr">
        <is>
          <t>Netherlands</t>
        </is>
      </c>
      <c r="H2941" t="inlineStr">
        <is>
          <t>Web Store</t>
        </is>
      </c>
      <c r="I2941" t="n">
        <v>5</v>
      </c>
      <c r="J2941" s="3" t="n">
        <v>1074.15</v>
      </c>
      <c r="K2941" s="3" t="n">
        <v>161.12</v>
      </c>
      <c r="L2941" s="3" t="n">
        <v>913.03</v>
      </c>
      <c r="M2941" s="3" t="n">
        <v>650.65</v>
      </c>
      <c r="N2941" s="3" t="n">
        <v>262.38</v>
      </c>
      <c r="O2941">
        <f>TEXT(A2941,"yyyy-mm")</f>
        <v/>
      </c>
    </row>
    <row r="2942">
      <c r="A2942" s="2" t="n">
        <v>45985</v>
      </c>
      <c r="B2942" t="n">
        <v>2025</v>
      </c>
      <c r="C2942" t="inlineStr">
        <is>
          <t>November</t>
        </is>
      </c>
      <c r="D2942" t="inlineStr">
        <is>
          <t>Smart Honey</t>
        </is>
      </c>
      <c r="E2942" t="inlineStr">
        <is>
          <t>Grocery</t>
        </is>
      </c>
      <c r="F2942" t="inlineStr">
        <is>
          <t>Robert Moreau</t>
        </is>
      </c>
      <c r="G2942" t="inlineStr">
        <is>
          <t>Spain</t>
        </is>
      </c>
      <c r="H2942" t="inlineStr">
        <is>
          <t>Marketplace</t>
        </is>
      </c>
      <c r="I2942" t="n">
        <v>3</v>
      </c>
      <c r="J2942" s="3" t="n">
        <v>390.54</v>
      </c>
      <c r="K2942" s="3" t="n">
        <v>19.53</v>
      </c>
      <c r="L2942" s="3" t="n">
        <v>371.01</v>
      </c>
      <c r="M2942" s="3" t="n">
        <v>214.32</v>
      </c>
      <c r="N2942" s="3" t="n">
        <v>156.69</v>
      </c>
      <c r="O2942">
        <f>TEXT(A2942,"yyyy-mm")</f>
        <v/>
      </c>
    </row>
    <row r="2943">
      <c r="A2943" s="2" t="n">
        <v>45985</v>
      </c>
      <c r="B2943" t="n">
        <v>2025</v>
      </c>
      <c r="C2943" t="inlineStr">
        <is>
          <t>November</t>
        </is>
      </c>
      <c r="D2943" t="inlineStr">
        <is>
          <t>Eco Tent</t>
        </is>
      </c>
      <c r="E2943" t="inlineStr">
        <is>
          <t>Sports &amp; Outdoors</t>
        </is>
      </c>
      <c r="F2943" t="inlineStr">
        <is>
          <t>Emma Zielinski</t>
        </is>
      </c>
      <c r="G2943" t="inlineStr">
        <is>
          <t>France</t>
        </is>
      </c>
      <c r="H2943" t="inlineStr">
        <is>
          <t>Web Store</t>
        </is>
      </c>
      <c r="I2943" t="n">
        <v>4</v>
      </c>
      <c r="J2943" s="3" t="n">
        <v>1000.72</v>
      </c>
      <c r="K2943" s="3" t="n">
        <v>150.11</v>
      </c>
      <c r="L2943" s="3" t="n">
        <v>850.61</v>
      </c>
      <c r="M2943" s="3" t="n">
        <v>540.12</v>
      </c>
      <c r="N2943" s="3" t="n">
        <v>310.49</v>
      </c>
      <c r="O2943">
        <f>TEXT(A2943,"yyyy-mm")</f>
        <v/>
      </c>
    </row>
    <row r="2944">
      <c r="A2944" s="2" t="n">
        <v>45985</v>
      </c>
      <c r="B2944" t="n">
        <v>2025</v>
      </c>
      <c r="C2944" t="inlineStr">
        <is>
          <t>November</t>
        </is>
      </c>
      <c r="D2944" t="inlineStr">
        <is>
          <t>Ultra Rug</t>
        </is>
      </c>
      <c r="E2944" t="inlineStr">
        <is>
          <t>Home &amp; Garden</t>
        </is>
      </c>
      <c r="F2944" t="inlineStr">
        <is>
          <t>Anna Bianchi</t>
        </is>
      </c>
      <c r="G2944" t="inlineStr">
        <is>
          <t>Germany</t>
        </is>
      </c>
      <c r="H2944" t="inlineStr">
        <is>
          <t>Marketplace</t>
        </is>
      </c>
      <c r="I2944" t="n">
        <v>5</v>
      </c>
      <c r="J2944" s="3" t="n">
        <v>255.95</v>
      </c>
      <c r="K2944" s="3" t="n">
        <v>0</v>
      </c>
      <c r="L2944" s="3" t="n">
        <v>255.95</v>
      </c>
      <c r="M2944" s="3" t="n">
        <v>164.55</v>
      </c>
      <c r="N2944" s="3" t="n">
        <v>91.40000000000001</v>
      </c>
      <c r="O2944">
        <f>TEXT(A2944,"yyyy-mm")</f>
        <v/>
      </c>
    </row>
    <row r="2945">
      <c r="A2945" s="2" t="n">
        <v>45985</v>
      </c>
      <c r="B2945" t="n">
        <v>2025</v>
      </c>
      <c r="C2945" t="inlineStr">
        <is>
          <t>November</t>
        </is>
      </c>
      <c r="D2945" t="inlineStr">
        <is>
          <t>Essential Notebook</t>
        </is>
      </c>
      <c r="E2945" t="inlineStr">
        <is>
          <t>Books</t>
        </is>
      </c>
      <c r="F2945" t="inlineStr">
        <is>
          <t>Anna Bianchi</t>
        </is>
      </c>
      <c r="G2945" t="inlineStr">
        <is>
          <t>Germany</t>
        </is>
      </c>
      <c r="H2945" t="inlineStr">
        <is>
          <t>Marketplace</t>
        </is>
      </c>
      <c r="I2945" t="n">
        <v>3</v>
      </c>
      <c r="J2945" s="3" t="n">
        <v>361.68</v>
      </c>
      <c r="K2945" s="3" t="n">
        <v>0</v>
      </c>
      <c r="L2945" s="3" t="n">
        <v>361.68</v>
      </c>
      <c r="M2945" s="3" t="n">
        <v>237.3</v>
      </c>
      <c r="N2945" s="3" t="n">
        <v>124.38</v>
      </c>
      <c r="O2945">
        <f>TEXT(A2945,"yyyy-mm")</f>
        <v/>
      </c>
    </row>
    <row r="2946">
      <c r="A2946" s="2" t="n">
        <v>45986</v>
      </c>
      <c r="B2946" t="n">
        <v>2025</v>
      </c>
      <c r="C2946" t="inlineStr">
        <is>
          <t>November</t>
        </is>
      </c>
      <c r="D2946" t="inlineStr">
        <is>
          <t>Essential Charger</t>
        </is>
      </c>
      <c r="E2946" t="inlineStr">
        <is>
          <t>Electronics</t>
        </is>
      </c>
      <c r="F2946" t="inlineStr">
        <is>
          <t>Daniel Rossi</t>
        </is>
      </c>
      <c r="G2946" t="inlineStr">
        <is>
          <t>Poland</t>
        </is>
      </c>
      <c r="H2946" t="inlineStr">
        <is>
          <t>Retail Store</t>
        </is>
      </c>
      <c r="I2946" t="n">
        <v>3</v>
      </c>
      <c r="J2946" s="3" t="n">
        <v>138.72</v>
      </c>
      <c r="K2946" s="3" t="n">
        <v>0</v>
      </c>
      <c r="L2946" s="3" t="n">
        <v>138.72</v>
      </c>
      <c r="M2946" s="3" t="n">
        <v>87.3</v>
      </c>
      <c r="N2946" s="3" t="n">
        <v>51.42</v>
      </c>
      <c r="O2946">
        <f>TEXT(A2946,"yyyy-mm")</f>
        <v/>
      </c>
    </row>
    <row r="2947">
      <c r="A2947" s="2" t="n">
        <v>45986</v>
      </c>
      <c r="B2947" t="n">
        <v>2025</v>
      </c>
      <c r="C2947" t="inlineStr">
        <is>
          <t>November</t>
        </is>
      </c>
      <c r="D2947" t="inlineStr">
        <is>
          <t>Deluxe Puzzle</t>
        </is>
      </c>
      <c r="E2947" t="inlineStr">
        <is>
          <t>Toys &amp; Games</t>
        </is>
      </c>
      <c r="F2947" t="inlineStr">
        <is>
          <t>Daniel Rossi</t>
        </is>
      </c>
      <c r="G2947" t="inlineStr">
        <is>
          <t>Poland</t>
        </is>
      </c>
      <c r="H2947" t="inlineStr">
        <is>
          <t>Retail Store</t>
        </is>
      </c>
      <c r="I2947" t="n">
        <v>2</v>
      </c>
      <c r="J2947" s="3" t="n">
        <v>411</v>
      </c>
      <c r="K2947" s="3" t="n">
        <v>0</v>
      </c>
      <c r="L2947" s="3" t="n">
        <v>411</v>
      </c>
      <c r="M2947" s="3" t="n">
        <v>222.34</v>
      </c>
      <c r="N2947" s="3" t="n">
        <v>188.66</v>
      </c>
      <c r="O2947">
        <f>TEXT(A2947,"yyyy-mm")</f>
        <v/>
      </c>
    </row>
    <row r="2948">
      <c r="A2948" s="2" t="n">
        <v>45986</v>
      </c>
      <c r="B2948" t="n">
        <v>2025</v>
      </c>
      <c r="C2948" t="inlineStr">
        <is>
          <t>November</t>
        </is>
      </c>
      <c r="D2948" t="inlineStr">
        <is>
          <t>Deluxe Notebook</t>
        </is>
      </c>
      <c r="E2948" t="inlineStr">
        <is>
          <t>Books</t>
        </is>
      </c>
      <c r="F2948" t="inlineStr">
        <is>
          <t>Olivia Conti</t>
        </is>
      </c>
      <c r="G2948" t="inlineStr">
        <is>
          <t>Poland</t>
        </is>
      </c>
      <c r="H2948" t="inlineStr">
        <is>
          <t>Mobile App</t>
        </is>
      </c>
      <c r="I2948" t="n">
        <v>2</v>
      </c>
      <c r="J2948" s="3" t="n">
        <v>419.16</v>
      </c>
      <c r="K2948" s="3" t="n">
        <v>0</v>
      </c>
      <c r="L2948" s="3" t="n">
        <v>419.16</v>
      </c>
      <c r="M2948" s="3" t="n">
        <v>301.52</v>
      </c>
      <c r="N2948" s="3" t="n">
        <v>117.64</v>
      </c>
      <c r="O2948">
        <f>TEXT(A2948,"yyyy-mm")</f>
        <v/>
      </c>
    </row>
    <row r="2949">
      <c r="A2949" s="2" t="n">
        <v>45986</v>
      </c>
      <c r="B2949" t="n">
        <v>2025</v>
      </c>
      <c r="C2949" t="inlineStr">
        <is>
          <t>November</t>
        </is>
      </c>
      <c r="D2949" t="inlineStr">
        <is>
          <t>Premium Tent</t>
        </is>
      </c>
      <c r="E2949" t="inlineStr">
        <is>
          <t>Sports &amp; Outdoors</t>
        </is>
      </c>
      <c r="F2949" t="inlineStr">
        <is>
          <t>Olivia Conti</t>
        </is>
      </c>
      <c r="G2949" t="inlineStr">
        <is>
          <t>Poland</t>
        </is>
      </c>
      <c r="H2949" t="inlineStr">
        <is>
          <t>Mobile App</t>
        </is>
      </c>
      <c r="I2949" t="n">
        <v>3</v>
      </c>
      <c r="J2949" s="3" t="n">
        <v>737.34</v>
      </c>
      <c r="K2949" s="3" t="n">
        <v>110.6</v>
      </c>
      <c r="L2949" s="3" t="n">
        <v>626.74</v>
      </c>
      <c r="M2949" s="3" t="n">
        <v>417.12</v>
      </c>
      <c r="N2949" s="3" t="n">
        <v>209.62</v>
      </c>
      <c r="O2949">
        <f>TEXT(A2949,"yyyy-mm")</f>
        <v/>
      </c>
    </row>
    <row r="2950">
      <c r="A2950" s="2" t="n">
        <v>45986</v>
      </c>
      <c r="B2950" t="n">
        <v>2025</v>
      </c>
      <c r="C2950" t="inlineStr">
        <is>
          <t>November</t>
        </is>
      </c>
      <c r="D2950" t="inlineStr">
        <is>
          <t>Wireless Backpack</t>
        </is>
      </c>
      <c r="E2950" t="inlineStr">
        <is>
          <t>Sports &amp; Outdoors</t>
        </is>
      </c>
      <c r="F2950" t="inlineStr">
        <is>
          <t>Thomas Schmidt</t>
        </is>
      </c>
      <c r="G2950" t="inlineStr">
        <is>
          <t>United Kingdom</t>
        </is>
      </c>
      <c r="H2950" t="inlineStr">
        <is>
          <t>Marketplace</t>
        </is>
      </c>
      <c r="I2950" t="n">
        <v>3</v>
      </c>
      <c r="J2950" s="3" t="n">
        <v>145.68</v>
      </c>
      <c r="K2950" s="3" t="n">
        <v>14.57</v>
      </c>
      <c r="L2950" s="3" t="n">
        <v>131.11</v>
      </c>
      <c r="M2950" s="3" t="n">
        <v>84.3</v>
      </c>
      <c r="N2950" s="3" t="n">
        <v>46.81</v>
      </c>
      <c r="O2950">
        <f>TEXT(A2950,"yyyy-mm")</f>
        <v/>
      </c>
    </row>
    <row r="2951">
      <c r="A2951" s="2" t="n">
        <v>45986</v>
      </c>
      <c r="B2951" t="n">
        <v>2025</v>
      </c>
      <c r="C2951" t="inlineStr">
        <is>
          <t>November</t>
        </is>
      </c>
      <c r="D2951" t="inlineStr">
        <is>
          <t>Deluxe Cookbook</t>
        </is>
      </c>
      <c r="E2951" t="inlineStr">
        <is>
          <t>Books</t>
        </is>
      </c>
      <c r="F2951" t="inlineStr">
        <is>
          <t>Paul Schmidt</t>
        </is>
      </c>
      <c r="G2951" t="inlineStr">
        <is>
          <t>Poland</t>
        </is>
      </c>
      <c r="H2951" t="inlineStr">
        <is>
          <t>Mobile App</t>
        </is>
      </c>
      <c r="I2951" t="n">
        <v>2</v>
      </c>
      <c r="J2951" s="3" t="n">
        <v>270.8</v>
      </c>
      <c r="K2951" s="3" t="n">
        <v>27.08</v>
      </c>
      <c r="L2951" s="3" t="n">
        <v>243.72</v>
      </c>
      <c r="M2951" s="3" t="n">
        <v>170.54</v>
      </c>
      <c r="N2951" s="3" t="n">
        <v>73.18000000000001</v>
      </c>
      <c r="O2951">
        <f>TEXT(A2951,"yyyy-mm")</f>
        <v/>
      </c>
    </row>
    <row r="2952">
      <c r="A2952" s="2" t="n">
        <v>45986</v>
      </c>
      <c r="B2952" t="n">
        <v>2025</v>
      </c>
      <c r="C2952" t="inlineStr">
        <is>
          <t>November</t>
        </is>
      </c>
      <c r="D2952" t="inlineStr">
        <is>
          <t>Deluxe Smartwatch</t>
        </is>
      </c>
      <c r="E2952" t="inlineStr">
        <is>
          <t>Electronics</t>
        </is>
      </c>
      <c r="F2952" t="inlineStr">
        <is>
          <t>Sophie Garcia</t>
        </is>
      </c>
      <c r="G2952" t="inlineStr">
        <is>
          <t>France</t>
        </is>
      </c>
      <c r="H2952" t="inlineStr">
        <is>
          <t>Web Store</t>
        </is>
      </c>
      <c r="I2952" t="n">
        <v>4</v>
      </c>
      <c r="J2952" s="3" t="n">
        <v>671.04</v>
      </c>
      <c r="K2952" s="3" t="n">
        <v>0</v>
      </c>
      <c r="L2952" s="3" t="n">
        <v>671.04</v>
      </c>
      <c r="M2952" s="3" t="n">
        <v>490.88</v>
      </c>
      <c r="N2952" s="3" t="n">
        <v>180.16</v>
      </c>
      <c r="O2952">
        <f>TEXT(A2952,"yyyy-mm")</f>
        <v/>
      </c>
    </row>
    <row r="2953">
      <c r="A2953" s="2" t="n">
        <v>45986</v>
      </c>
      <c r="B2953" t="n">
        <v>2025</v>
      </c>
      <c r="C2953" t="inlineStr">
        <is>
          <t>November</t>
        </is>
      </c>
      <c r="D2953" t="inlineStr">
        <is>
          <t>Deluxe Smartwatch</t>
        </is>
      </c>
      <c r="E2953" t="inlineStr">
        <is>
          <t>Electronics</t>
        </is>
      </c>
      <c r="F2953" t="inlineStr">
        <is>
          <t>Paul Schmidt</t>
        </is>
      </c>
      <c r="G2953" t="inlineStr">
        <is>
          <t>Poland</t>
        </is>
      </c>
      <c r="H2953" t="inlineStr">
        <is>
          <t>Mobile App</t>
        </is>
      </c>
      <c r="I2953" t="n">
        <v>3</v>
      </c>
      <c r="J2953" s="3" t="n">
        <v>470.7</v>
      </c>
      <c r="K2953" s="3" t="n">
        <v>0</v>
      </c>
      <c r="L2953" s="3" t="n">
        <v>470.7</v>
      </c>
      <c r="M2953" s="3" t="n">
        <v>368.16</v>
      </c>
      <c r="N2953" s="3" t="n">
        <v>102.54</v>
      </c>
      <c r="O2953">
        <f>TEXT(A2953,"yyyy-mm")</f>
        <v/>
      </c>
    </row>
    <row r="2954">
      <c r="A2954" s="2" t="n">
        <v>45986</v>
      </c>
      <c r="B2954" t="n">
        <v>2025</v>
      </c>
      <c r="C2954" t="inlineStr">
        <is>
          <t>November</t>
        </is>
      </c>
      <c r="D2954" t="inlineStr">
        <is>
          <t>Portable Pasta</t>
        </is>
      </c>
      <c r="E2954" t="inlineStr">
        <is>
          <t>Grocery</t>
        </is>
      </c>
      <c r="F2954" t="inlineStr">
        <is>
          <t>Sophie Garcia</t>
        </is>
      </c>
      <c r="G2954" t="inlineStr">
        <is>
          <t>France</t>
        </is>
      </c>
      <c r="H2954" t="inlineStr">
        <is>
          <t>Web Store</t>
        </is>
      </c>
      <c r="I2954" t="n">
        <v>3</v>
      </c>
      <c r="J2954" s="3" t="n">
        <v>112.83</v>
      </c>
      <c r="K2954" s="3" t="n">
        <v>16.92</v>
      </c>
      <c r="L2954" s="3" t="n">
        <v>95.91</v>
      </c>
      <c r="M2954" s="3" t="n">
        <v>83.25</v>
      </c>
      <c r="N2954" s="3" t="n">
        <v>12.66</v>
      </c>
      <c r="O2954">
        <f>TEXT(A2954,"yyyy-mm")</f>
        <v/>
      </c>
    </row>
    <row r="2955">
      <c r="A2955" s="2" t="n">
        <v>45987</v>
      </c>
      <c r="B2955" t="n">
        <v>2025</v>
      </c>
      <c r="C2955" t="inlineStr">
        <is>
          <t>November</t>
        </is>
      </c>
      <c r="D2955" t="inlineStr">
        <is>
          <t>Wireless Cookbook</t>
        </is>
      </c>
      <c r="E2955" t="inlineStr">
        <is>
          <t>Books</t>
        </is>
      </c>
      <c r="F2955" t="inlineStr">
        <is>
          <t>Thomas Schmidt</t>
        </is>
      </c>
      <c r="G2955" t="inlineStr">
        <is>
          <t>France</t>
        </is>
      </c>
      <c r="H2955" t="inlineStr">
        <is>
          <t>Mobile App</t>
        </is>
      </c>
      <c r="I2955" t="n">
        <v>4</v>
      </c>
      <c r="J2955" s="3" t="n">
        <v>304.24</v>
      </c>
      <c r="K2955" s="3" t="n">
        <v>15.21</v>
      </c>
      <c r="L2955" s="3" t="n">
        <v>289.03</v>
      </c>
      <c r="M2955" s="3" t="n">
        <v>226.44</v>
      </c>
      <c r="N2955" s="3" t="n">
        <v>62.59</v>
      </c>
      <c r="O2955">
        <f>TEXT(A2955,"yyyy-mm")</f>
        <v/>
      </c>
    </row>
    <row r="2956">
      <c r="A2956" s="2" t="n">
        <v>45987</v>
      </c>
      <c r="B2956" t="n">
        <v>2025</v>
      </c>
      <c r="C2956" t="inlineStr">
        <is>
          <t>November</t>
        </is>
      </c>
      <c r="D2956" t="inlineStr">
        <is>
          <t>Premium Tent</t>
        </is>
      </c>
      <c r="E2956" t="inlineStr">
        <is>
          <t>Sports &amp; Outdoors</t>
        </is>
      </c>
      <c r="F2956" t="inlineStr">
        <is>
          <t>Michael Weber</t>
        </is>
      </c>
      <c r="G2956" t="inlineStr">
        <is>
          <t>France</t>
        </is>
      </c>
      <c r="H2956" t="inlineStr">
        <is>
          <t>Marketplace</t>
        </is>
      </c>
      <c r="I2956" t="n">
        <v>3</v>
      </c>
      <c r="J2956" s="3" t="n">
        <v>775.41</v>
      </c>
      <c r="K2956" s="3" t="n">
        <v>77.54000000000001</v>
      </c>
      <c r="L2956" s="3" t="n">
        <v>697.87</v>
      </c>
      <c r="M2956" s="3" t="n">
        <v>495.93</v>
      </c>
      <c r="N2956" s="3" t="n">
        <v>201.94</v>
      </c>
      <c r="O2956">
        <f>TEXT(A2956,"yyyy-mm")</f>
        <v/>
      </c>
    </row>
    <row r="2957">
      <c r="A2957" s="2" t="n">
        <v>45987</v>
      </c>
      <c r="B2957" t="n">
        <v>2025</v>
      </c>
      <c r="C2957" t="inlineStr">
        <is>
          <t>November</t>
        </is>
      </c>
      <c r="D2957" t="inlineStr">
        <is>
          <t>Essential Notebook</t>
        </is>
      </c>
      <c r="E2957" t="inlineStr">
        <is>
          <t>Books</t>
        </is>
      </c>
      <c r="F2957" t="inlineStr">
        <is>
          <t>Michael Weber</t>
        </is>
      </c>
      <c r="G2957" t="inlineStr">
        <is>
          <t>France</t>
        </is>
      </c>
      <c r="H2957" t="inlineStr">
        <is>
          <t>Marketplace</t>
        </is>
      </c>
      <c r="I2957" t="n">
        <v>5</v>
      </c>
      <c r="J2957" s="3" t="n">
        <v>567.5</v>
      </c>
      <c r="K2957" s="3" t="n">
        <v>0</v>
      </c>
      <c r="L2957" s="3" t="n">
        <v>567.5</v>
      </c>
      <c r="M2957" s="3" t="n">
        <v>395.5</v>
      </c>
      <c r="N2957" s="3" t="n">
        <v>172</v>
      </c>
      <c r="O2957">
        <f>TEXT(A2957,"yyyy-mm")</f>
        <v/>
      </c>
    </row>
    <row r="2958">
      <c r="A2958" s="2" t="n">
        <v>45987</v>
      </c>
      <c r="B2958" t="n">
        <v>2025</v>
      </c>
      <c r="C2958" t="inlineStr">
        <is>
          <t>November</t>
        </is>
      </c>
      <c r="D2958" t="inlineStr">
        <is>
          <t>Premium Water Bottle</t>
        </is>
      </c>
      <c r="E2958" t="inlineStr">
        <is>
          <t>Sports &amp; Outdoors</t>
        </is>
      </c>
      <c r="F2958" t="inlineStr">
        <is>
          <t>Thomas Schmidt</t>
        </is>
      </c>
      <c r="G2958" t="inlineStr">
        <is>
          <t>France</t>
        </is>
      </c>
      <c r="H2958" t="inlineStr">
        <is>
          <t>Mobile App</t>
        </is>
      </c>
      <c r="I2958" t="n">
        <v>2</v>
      </c>
      <c r="J2958" s="3" t="n">
        <v>61.06</v>
      </c>
      <c r="K2958" s="3" t="n">
        <v>3.05</v>
      </c>
      <c r="L2958" s="3" t="n">
        <v>58.01</v>
      </c>
      <c r="M2958" s="3" t="n">
        <v>33.26</v>
      </c>
      <c r="N2958" s="3" t="n">
        <v>24.75</v>
      </c>
      <c r="O2958">
        <f>TEXT(A2958,"yyyy-mm")</f>
        <v/>
      </c>
    </row>
    <row r="2959">
      <c r="A2959" s="2" t="n">
        <v>45987</v>
      </c>
      <c r="B2959" t="n">
        <v>2025</v>
      </c>
      <c r="C2959" t="inlineStr">
        <is>
          <t>November</t>
        </is>
      </c>
      <c r="D2959" t="inlineStr">
        <is>
          <t>Wireless Honey</t>
        </is>
      </c>
      <c r="E2959" t="inlineStr">
        <is>
          <t>Grocery</t>
        </is>
      </c>
      <c r="F2959" t="inlineStr">
        <is>
          <t>Michael Weber</t>
        </is>
      </c>
      <c r="G2959" t="inlineStr">
        <is>
          <t>France</t>
        </is>
      </c>
      <c r="H2959" t="inlineStr">
        <is>
          <t>Marketplace</t>
        </is>
      </c>
      <c r="I2959" t="n">
        <v>3</v>
      </c>
      <c r="J2959" s="3" t="n">
        <v>393.39</v>
      </c>
      <c r="K2959" s="3" t="n">
        <v>0</v>
      </c>
      <c r="L2959" s="3" t="n">
        <v>393.39</v>
      </c>
      <c r="M2959" s="3" t="n">
        <v>282.21</v>
      </c>
      <c r="N2959" s="3" t="n">
        <v>111.18</v>
      </c>
      <c r="O2959">
        <f>TEXT(A2959,"yyyy-mm")</f>
        <v/>
      </c>
    </row>
    <row r="2960">
      <c r="A2960" s="2" t="n">
        <v>45987</v>
      </c>
      <c r="B2960" t="n">
        <v>2025</v>
      </c>
      <c r="C2960" t="inlineStr">
        <is>
          <t>November</t>
        </is>
      </c>
      <c r="D2960" t="inlineStr">
        <is>
          <t>Classic Charger</t>
        </is>
      </c>
      <c r="E2960" t="inlineStr">
        <is>
          <t>Electronics</t>
        </is>
      </c>
      <c r="F2960" t="inlineStr">
        <is>
          <t>Michael Weber</t>
        </is>
      </c>
      <c r="G2960" t="inlineStr">
        <is>
          <t>France</t>
        </is>
      </c>
      <c r="H2960" t="inlineStr">
        <is>
          <t>Marketplace</t>
        </is>
      </c>
      <c r="I2960" t="n">
        <v>1</v>
      </c>
      <c r="J2960" s="3" t="n">
        <v>97.51000000000001</v>
      </c>
      <c r="K2960" s="3" t="n">
        <v>0</v>
      </c>
      <c r="L2960" s="3" t="n">
        <v>97.51000000000001</v>
      </c>
      <c r="M2960" s="3" t="n">
        <v>62.21</v>
      </c>
      <c r="N2960" s="3" t="n">
        <v>35.3</v>
      </c>
      <c r="O2960">
        <f>TEXT(A2960,"yyyy-mm")</f>
        <v/>
      </c>
    </row>
    <row r="2961">
      <c r="A2961" s="2" t="n">
        <v>45987</v>
      </c>
      <c r="B2961" t="n">
        <v>2025</v>
      </c>
      <c r="C2961" t="inlineStr">
        <is>
          <t>November</t>
        </is>
      </c>
      <c r="D2961" t="inlineStr">
        <is>
          <t>Ultra Rug</t>
        </is>
      </c>
      <c r="E2961" t="inlineStr">
        <is>
          <t>Home &amp; Garden</t>
        </is>
      </c>
      <c r="F2961" t="inlineStr">
        <is>
          <t>Julia Johnson</t>
        </is>
      </c>
      <c r="G2961" t="inlineStr">
        <is>
          <t>Spain</t>
        </is>
      </c>
      <c r="H2961" t="inlineStr">
        <is>
          <t>Web Store</t>
        </is>
      </c>
      <c r="I2961" t="n">
        <v>1</v>
      </c>
      <c r="J2961" s="3" t="n">
        <v>51.6</v>
      </c>
      <c r="K2961" s="3" t="n">
        <v>7.74</v>
      </c>
      <c r="L2961" s="3" t="n">
        <v>43.86</v>
      </c>
      <c r="M2961" s="3" t="n">
        <v>32.91</v>
      </c>
      <c r="N2961" s="3" t="n">
        <v>10.95</v>
      </c>
      <c r="O2961">
        <f>TEXT(A2961,"yyyy-mm")</f>
        <v/>
      </c>
    </row>
    <row r="2962">
      <c r="A2962" s="2" t="n">
        <v>45987</v>
      </c>
      <c r="B2962" t="n">
        <v>2025</v>
      </c>
      <c r="C2962" t="inlineStr">
        <is>
          <t>November</t>
        </is>
      </c>
      <c r="D2962" t="inlineStr">
        <is>
          <t>Deluxe Toolset</t>
        </is>
      </c>
      <c r="E2962" t="inlineStr">
        <is>
          <t>Home &amp; Garden</t>
        </is>
      </c>
      <c r="F2962" t="inlineStr">
        <is>
          <t>Thomas Schmidt</t>
        </is>
      </c>
      <c r="G2962" t="inlineStr">
        <is>
          <t>France</t>
        </is>
      </c>
      <c r="H2962" t="inlineStr">
        <is>
          <t>Mobile App</t>
        </is>
      </c>
      <c r="I2962" t="n">
        <v>2</v>
      </c>
      <c r="J2962" s="3" t="n">
        <v>137.3</v>
      </c>
      <c r="K2962" s="3" t="n">
        <v>0</v>
      </c>
      <c r="L2962" s="3" t="n">
        <v>137.3</v>
      </c>
      <c r="M2962" s="3" t="n">
        <v>95.42</v>
      </c>
      <c r="N2962" s="3" t="n">
        <v>41.88</v>
      </c>
      <c r="O2962">
        <f>TEXT(A2962,"yyyy-mm")</f>
        <v/>
      </c>
    </row>
    <row r="2963">
      <c r="A2963" s="2" t="n">
        <v>45987</v>
      </c>
      <c r="B2963" t="n">
        <v>2025</v>
      </c>
      <c r="C2963" t="inlineStr">
        <is>
          <t>November</t>
        </is>
      </c>
      <c r="D2963" t="inlineStr">
        <is>
          <t>Deluxe Scarf</t>
        </is>
      </c>
      <c r="E2963" t="inlineStr">
        <is>
          <t>Clothing</t>
        </is>
      </c>
      <c r="F2963" t="inlineStr">
        <is>
          <t>Thomas Schmidt</t>
        </is>
      </c>
      <c r="G2963" t="inlineStr">
        <is>
          <t>France</t>
        </is>
      </c>
      <c r="H2963" t="inlineStr">
        <is>
          <t>Mobile App</t>
        </is>
      </c>
      <c r="I2963" t="n">
        <v>3</v>
      </c>
      <c r="J2963" s="3" t="n">
        <v>588.42</v>
      </c>
      <c r="K2963" s="3" t="n">
        <v>0</v>
      </c>
      <c r="L2963" s="3" t="n">
        <v>588.42</v>
      </c>
      <c r="M2963" s="3" t="n">
        <v>325.56</v>
      </c>
      <c r="N2963" s="3" t="n">
        <v>262.86</v>
      </c>
      <c r="O2963">
        <f>TEXT(A2963,"yyyy-mm")</f>
        <v/>
      </c>
    </row>
    <row r="2964">
      <c r="A2964" s="2" t="n">
        <v>45988</v>
      </c>
      <c r="B2964" t="n">
        <v>2025</v>
      </c>
      <c r="C2964" t="inlineStr">
        <is>
          <t>November</t>
        </is>
      </c>
      <c r="D2964" t="inlineStr">
        <is>
          <t>Compact Sunscreen</t>
        </is>
      </c>
      <c r="E2964" t="inlineStr">
        <is>
          <t>Beauty &amp; Health</t>
        </is>
      </c>
      <c r="F2964" t="inlineStr">
        <is>
          <t>Maria Dubois</t>
        </is>
      </c>
      <c r="G2964" t="inlineStr">
        <is>
          <t>Spain</t>
        </is>
      </c>
      <c r="H2964" t="inlineStr">
        <is>
          <t>Marketplace</t>
        </is>
      </c>
      <c r="I2964" t="n">
        <v>2</v>
      </c>
      <c r="J2964" s="3" t="n">
        <v>583.48</v>
      </c>
      <c r="K2964" s="3" t="n">
        <v>0</v>
      </c>
      <c r="L2964" s="3" t="n">
        <v>583.48</v>
      </c>
      <c r="M2964" s="3" t="n">
        <v>355.32</v>
      </c>
      <c r="N2964" s="3" t="n">
        <v>228.16</v>
      </c>
      <c r="O2964">
        <f>TEXT(A2964,"yyyy-mm")</f>
        <v/>
      </c>
    </row>
    <row r="2965">
      <c r="A2965" s="2" t="n">
        <v>45988</v>
      </c>
      <c r="B2965" t="n">
        <v>2025</v>
      </c>
      <c r="C2965" t="inlineStr">
        <is>
          <t>November</t>
        </is>
      </c>
      <c r="D2965" t="inlineStr">
        <is>
          <t>Deluxe Notebook</t>
        </is>
      </c>
      <c r="E2965" t="inlineStr">
        <is>
          <t>Books</t>
        </is>
      </c>
      <c r="F2965" t="inlineStr">
        <is>
          <t>David Wilson</t>
        </is>
      </c>
      <c r="G2965" t="inlineStr">
        <is>
          <t>Italy</t>
        </is>
      </c>
      <c r="H2965" t="inlineStr">
        <is>
          <t>Web Store</t>
        </is>
      </c>
      <c r="I2965" t="n">
        <v>5</v>
      </c>
      <c r="J2965" s="3" t="n">
        <v>1020.05</v>
      </c>
      <c r="K2965" s="3" t="n">
        <v>102</v>
      </c>
      <c r="L2965" s="3" t="n">
        <v>918.04</v>
      </c>
      <c r="M2965" s="3" t="n">
        <v>753.8</v>
      </c>
      <c r="N2965" s="3" t="n">
        <v>164.24</v>
      </c>
      <c r="O2965">
        <f>TEXT(A2965,"yyyy-mm")</f>
        <v/>
      </c>
    </row>
    <row r="2966">
      <c r="A2966" s="2" t="n">
        <v>45988</v>
      </c>
      <c r="B2966" t="n">
        <v>2025</v>
      </c>
      <c r="C2966" t="inlineStr">
        <is>
          <t>November</t>
        </is>
      </c>
      <c r="D2966" t="inlineStr">
        <is>
          <t>Ultra Backpack</t>
        </is>
      </c>
      <c r="E2966" t="inlineStr">
        <is>
          <t>Sports &amp; Outdoors</t>
        </is>
      </c>
      <c r="F2966" t="inlineStr">
        <is>
          <t>David Wilson</t>
        </is>
      </c>
      <c r="G2966" t="inlineStr">
        <is>
          <t>Italy</t>
        </is>
      </c>
      <c r="H2966" t="inlineStr">
        <is>
          <t>Web Store</t>
        </is>
      </c>
      <c r="I2966" t="n">
        <v>4</v>
      </c>
      <c r="J2966" s="3" t="n">
        <v>1203</v>
      </c>
      <c r="K2966" s="3" t="n">
        <v>180.45</v>
      </c>
      <c r="L2966" s="3" t="n">
        <v>1022.55</v>
      </c>
      <c r="M2966" s="3" t="n">
        <v>694.76</v>
      </c>
      <c r="N2966" s="3" t="n">
        <v>327.79</v>
      </c>
      <c r="O2966">
        <f>TEXT(A2966,"yyyy-mm")</f>
        <v/>
      </c>
    </row>
    <row r="2967">
      <c r="A2967" s="2" t="n">
        <v>45988</v>
      </c>
      <c r="B2967" t="n">
        <v>2025</v>
      </c>
      <c r="C2967" t="inlineStr">
        <is>
          <t>November</t>
        </is>
      </c>
      <c r="D2967" t="inlineStr">
        <is>
          <t>Ultra Vitamins</t>
        </is>
      </c>
      <c r="E2967" t="inlineStr">
        <is>
          <t>Beauty &amp; Health</t>
        </is>
      </c>
      <c r="F2967" t="inlineStr">
        <is>
          <t>David Wilson</t>
        </is>
      </c>
      <c r="G2967" t="inlineStr">
        <is>
          <t>Italy</t>
        </is>
      </c>
      <c r="H2967" t="inlineStr">
        <is>
          <t>Web Store</t>
        </is>
      </c>
      <c r="I2967" t="n">
        <v>2</v>
      </c>
      <c r="J2967" s="3" t="n">
        <v>401.44</v>
      </c>
      <c r="K2967" s="3" t="n">
        <v>20.07</v>
      </c>
      <c r="L2967" s="3" t="n">
        <v>381.37</v>
      </c>
      <c r="M2967" s="3" t="n">
        <v>252.2</v>
      </c>
      <c r="N2967" s="3" t="n">
        <v>129.17</v>
      </c>
      <c r="O2967">
        <f>TEXT(A2967,"yyyy-mm")</f>
        <v/>
      </c>
    </row>
    <row r="2968">
      <c r="A2968" s="2" t="n">
        <v>45988</v>
      </c>
      <c r="B2968" t="n">
        <v>2025</v>
      </c>
      <c r="C2968" t="inlineStr">
        <is>
          <t>November</t>
        </is>
      </c>
      <c r="D2968" t="inlineStr">
        <is>
          <t>Ultra Rug</t>
        </is>
      </c>
      <c r="E2968" t="inlineStr">
        <is>
          <t>Home &amp; Garden</t>
        </is>
      </c>
      <c r="F2968" t="inlineStr">
        <is>
          <t>David Wilson</t>
        </is>
      </c>
      <c r="G2968" t="inlineStr">
        <is>
          <t>Italy</t>
        </is>
      </c>
      <c r="H2968" t="inlineStr">
        <is>
          <t>Web Store</t>
        </is>
      </c>
      <c r="I2968" t="n">
        <v>5</v>
      </c>
      <c r="J2968" s="3" t="n">
        <v>258.05</v>
      </c>
      <c r="K2968" s="3" t="n">
        <v>38.71</v>
      </c>
      <c r="L2968" s="3" t="n">
        <v>219.34</v>
      </c>
      <c r="M2968" s="3" t="n">
        <v>164.55</v>
      </c>
      <c r="N2968" s="3" t="n">
        <v>54.79</v>
      </c>
      <c r="O2968">
        <f>TEXT(A2968,"yyyy-mm")</f>
        <v/>
      </c>
    </row>
    <row r="2969">
      <c r="A2969" s="2" t="n">
        <v>45989</v>
      </c>
      <c r="B2969" t="n">
        <v>2025</v>
      </c>
      <c r="C2969" t="inlineStr">
        <is>
          <t>November</t>
        </is>
      </c>
      <c r="D2969" t="inlineStr">
        <is>
          <t>Essential Rug</t>
        </is>
      </c>
      <c r="E2969" t="inlineStr">
        <is>
          <t>Home &amp; Garden</t>
        </is>
      </c>
      <c r="F2969" t="inlineStr">
        <is>
          <t>James Nowak</t>
        </is>
      </c>
      <c r="G2969" t="inlineStr">
        <is>
          <t>France</t>
        </is>
      </c>
      <c r="H2969" t="inlineStr">
        <is>
          <t>Web Store</t>
        </is>
      </c>
      <c r="I2969" t="n">
        <v>5</v>
      </c>
      <c r="J2969" s="3" t="n">
        <v>655.05</v>
      </c>
      <c r="K2969" s="3" t="n">
        <v>0</v>
      </c>
      <c r="L2969" s="3" t="n">
        <v>655.05</v>
      </c>
      <c r="M2969" s="3" t="n">
        <v>381.65</v>
      </c>
      <c r="N2969" s="3" t="n">
        <v>273.4</v>
      </c>
      <c r="O2969">
        <f>TEXT(A2969,"yyyy-mm")</f>
        <v/>
      </c>
    </row>
    <row r="2970">
      <c r="A2970" s="2" t="n">
        <v>45989</v>
      </c>
      <c r="B2970" t="n">
        <v>2025</v>
      </c>
      <c r="C2970" t="inlineStr">
        <is>
          <t>November</t>
        </is>
      </c>
      <c r="D2970" t="inlineStr">
        <is>
          <t>Classic Yoga Mat</t>
        </is>
      </c>
      <c r="E2970" t="inlineStr">
        <is>
          <t>Sports &amp; Outdoors</t>
        </is>
      </c>
      <c r="F2970" t="inlineStr">
        <is>
          <t>Sophie Martin</t>
        </is>
      </c>
      <c r="G2970" t="inlineStr">
        <is>
          <t>Italy</t>
        </is>
      </c>
      <c r="H2970" t="inlineStr">
        <is>
          <t>Retail Store</t>
        </is>
      </c>
      <c r="I2970" t="n">
        <v>4</v>
      </c>
      <c r="J2970" s="3" t="n">
        <v>1308.28</v>
      </c>
      <c r="K2970" s="3" t="n">
        <v>0</v>
      </c>
      <c r="L2970" s="3" t="n">
        <v>1308.28</v>
      </c>
      <c r="M2970" s="3" t="n">
        <v>782.8</v>
      </c>
      <c r="N2970" s="3" t="n">
        <v>525.48</v>
      </c>
      <c r="O2970">
        <f>TEXT(A2970,"yyyy-mm")</f>
        <v/>
      </c>
    </row>
    <row r="2971">
      <c r="A2971" s="2" t="n">
        <v>45989</v>
      </c>
      <c r="B2971" t="n">
        <v>2025</v>
      </c>
      <c r="C2971" t="inlineStr">
        <is>
          <t>November</t>
        </is>
      </c>
      <c r="D2971" t="inlineStr">
        <is>
          <t>Smart Puzzle</t>
        </is>
      </c>
      <c r="E2971" t="inlineStr">
        <is>
          <t>Toys &amp; Games</t>
        </is>
      </c>
      <c r="F2971" t="inlineStr">
        <is>
          <t>James Nowak</t>
        </is>
      </c>
      <c r="G2971" t="inlineStr">
        <is>
          <t>France</t>
        </is>
      </c>
      <c r="H2971" t="inlineStr">
        <is>
          <t>Web Store</t>
        </is>
      </c>
      <c r="I2971" t="n">
        <v>2</v>
      </c>
      <c r="J2971" s="3" t="n">
        <v>89.18000000000001</v>
      </c>
      <c r="K2971" s="3" t="n">
        <v>0</v>
      </c>
      <c r="L2971" s="3" t="n">
        <v>89.18000000000001</v>
      </c>
      <c r="M2971" s="3" t="n">
        <v>48.88</v>
      </c>
      <c r="N2971" s="3" t="n">
        <v>40.3</v>
      </c>
      <c r="O2971">
        <f>TEXT(A2971,"yyyy-mm")</f>
        <v/>
      </c>
    </row>
    <row r="2972">
      <c r="A2972" s="2" t="n">
        <v>45989</v>
      </c>
      <c r="B2972" t="n">
        <v>2025</v>
      </c>
      <c r="C2972" t="inlineStr">
        <is>
          <t>November</t>
        </is>
      </c>
      <c r="D2972" t="inlineStr">
        <is>
          <t>Wireless Coffee Beans</t>
        </is>
      </c>
      <c r="E2972" t="inlineStr">
        <is>
          <t>Grocery</t>
        </is>
      </c>
      <c r="F2972" t="inlineStr">
        <is>
          <t>Paul Smith</t>
        </is>
      </c>
      <c r="G2972" t="inlineStr">
        <is>
          <t>Italy</t>
        </is>
      </c>
      <c r="H2972" t="inlineStr">
        <is>
          <t>Web Store</t>
        </is>
      </c>
      <c r="I2972" t="n">
        <v>3</v>
      </c>
      <c r="J2972" s="3" t="n">
        <v>621.96</v>
      </c>
      <c r="K2972" s="3" t="n">
        <v>31.1</v>
      </c>
      <c r="L2972" s="3" t="n">
        <v>590.86</v>
      </c>
      <c r="M2972" s="3" t="n">
        <v>390.39</v>
      </c>
      <c r="N2972" s="3" t="n">
        <v>200.47</v>
      </c>
      <c r="O2972">
        <f>TEXT(A2972,"yyyy-mm")</f>
        <v/>
      </c>
    </row>
    <row r="2973">
      <c r="A2973" s="2" t="n">
        <v>45989</v>
      </c>
      <c r="B2973" t="n">
        <v>2025</v>
      </c>
      <c r="C2973" t="inlineStr">
        <is>
          <t>November</t>
        </is>
      </c>
      <c r="D2973" t="inlineStr">
        <is>
          <t>Wireless Backpack</t>
        </is>
      </c>
      <c r="E2973" t="inlineStr">
        <is>
          <t>Sports &amp; Outdoors</t>
        </is>
      </c>
      <c r="F2973" t="inlineStr">
        <is>
          <t>Paul Smith</t>
        </is>
      </c>
      <c r="G2973" t="inlineStr">
        <is>
          <t>Italy</t>
        </is>
      </c>
      <c r="H2973" t="inlineStr">
        <is>
          <t>Web Store</t>
        </is>
      </c>
      <c r="I2973" t="n">
        <v>4</v>
      </c>
      <c r="J2973" s="3" t="n">
        <v>190.44</v>
      </c>
      <c r="K2973" s="3" t="n">
        <v>28.57</v>
      </c>
      <c r="L2973" s="3" t="n">
        <v>161.87</v>
      </c>
      <c r="M2973" s="3" t="n">
        <v>112.4</v>
      </c>
      <c r="N2973" s="3" t="n">
        <v>49.47</v>
      </c>
      <c r="O2973">
        <f>TEXT(A2973,"yyyy-mm")</f>
        <v/>
      </c>
    </row>
    <row r="2974">
      <c r="A2974" s="2" t="n">
        <v>45989</v>
      </c>
      <c r="B2974" t="n">
        <v>2025</v>
      </c>
      <c r="C2974" t="inlineStr">
        <is>
          <t>November</t>
        </is>
      </c>
      <c r="D2974" t="inlineStr">
        <is>
          <t>Smart Camera</t>
        </is>
      </c>
      <c r="E2974" t="inlineStr">
        <is>
          <t>Electronics</t>
        </is>
      </c>
      <c r="F2974" t="inlineStr">
        <is>
          <t>Paul Smith</t>
        </is>
      </c>
      <c r="G2974" t="inlineStr">
        <is>
          <t>Italy</t>
        </is>
      </c>
      <c r="H2974" t="inlineStr">
        <is>
          <t>Web Store</t>
        </is>
      </c>
      <c r="I2974" t="n">
        <v>5</v>
      </c>
      <c r="J2974" s="3" t="n">
        <v>607.85</v>
      </c>
      <c r="K2974" s="3" t="n">
        <v>0</v>
      </c>
      <c r="L2974" s="3" t="n">
        <v>607.85</v>
      </c>
      <c r="M2974" s="3" t="n">
        <v>427.9</v>
      </c>
      <c r="N2974" s="3" t="n">
        <v>179.95</v>
      </c>
      <c r="O2974">
        <f>TEXT(A2974,"yyyy-mm")</f>
        <v/>
      </c>
    </row>
    <row r="2975">
      <c r="A2975" s="2" t="n">
        <v>45989</v>
      </c>
      <c r="B2975" t="n">
        <v>2025</v>
      </c>
      <c r="C2975" t="inlineStr">
        <is>
          <t>November</t>
        </is>
      </c>
      <c r="D2975" t="inlineStr">
        <is>
          <t>Premium Tent</t>
        </is>
      </c>
      <c r="E2975" t="inlineStr">
        <is>
          <t>Sports &amp; Outdoors</t>
        </is>
      </c>
      <c r="F2975" t="inlineStr">
        <is>
          <t>James Nowak</t>
        </is>
      </c>
      <c r="G2975" t="inlineStr">
        <is>
          <t>France</t>
        </is>
      </c>
      <c r="H2975" t="inlineStr">
        <is>
          <t>Web Store</t>
        </is>
      </c>
      <c r="I2975" t="n">
        <v>3</v>
      </c>
      <c r="J2975" s="3" t="n">
        <v>789.39</v>
      </c>
      <c r="K2975" s="3" t="n">
        <v>118.41</v>
      </c>
      <c r="L2975" s="3" t="n">
        <v>670.98</v>
      </c>
      <c r="M2975" s="3" t="n">
        <v>417.12</v>
      </c>
      <c r="N2975" s="3" t="n">
        <v>253.86</v>
      </c>
      <c r="O2975">
        <f>TEXT(A2975,"yyyy-mm")</f>
        <v/>
      </c>
    </row>
    <row r="2976">
      <c r="A2976" s="2" t="n">
        <v>45989</v>
      </c>
      <c r="B2976" t="n">
        <v>2025</v>
      </c>
      <c r="C2976" t="inlineStr">
        <is>
          <t>November</t>
        </is>
      </c>
      <c r="D2976" t="inlineStr">
        <is>
          <t>Deluxe Notebook</t>
        </is>
      </c>
      <c r="E2976" t="inlineStr">
        <is>
          <t>Books</t>
        </is>
      </c>
      <c r="F2976" t="inlineStr">
        <is>
          <t>Sophie Martin</t>
        </is>
      </c>
      <c r="G2976" t="inlineStr">
        <is>
          <t>Italy</t>
        </is>
      </c>
      <c r="H2976" t="inlineStr">
        <is>
          <t>Retail Store</t>
        </is>
      </c>
      <c r="I2976" t="n">
        <v>1</v>
      </c>
      <c r="J2976" s="3" t="n">
        <v>217.67</v>
      </c>
      <c r="K2976" s="3" t="n">
        <v>21.77</v>
      </c>
      <c r="L2976" s="3" t="n">
        <v>195.9</v>
      </c>
      <c r="M2976" s="3" t="n">
        <v>150.76</v>
      </c>
      <c r="N2976" s="3" t="n">
        <v>45.14</v>
      </c>
      <c r="O2976">
        <f>TEXT(A2976,"yyyy-mm")</f>
        <v/>
      </c>
    </row>
    <row r="2977">
      <c r="A2977" s="2" t="n">
        <v>45990</v>
      </c>
      <c r="B2977" t="n">
        <v>2025</v>
      </c>
      <c r="C2977" t="inlineStr">
        <is>
          <t>November</t>
        </is>
      </c>
      <c r="D2977" t="inlineStr">
        <is>
          <t>Classic Atlas</t>
        </is>
      </c>
      <c r="E2977" t="inlineStr">
        <is>
          <t>Books</t>
        </is>
      </c>
      <c r="F2977" t="inlineStr">
        <is>
          <t>Peter Schmidt</t>
        </is>
      </c>
      <c r="G2977" t="inlineStr">
        <is>
          <t>United Kingdom</t>
        </is>
      </c>
      <c r="H2977" t="inlineStr">
        <is>
          <t>Retail Store</t>
        </is>
      </c>
      <c r="I2977" t="n">
        <v>4</v>
      </c>
      <c r="J2977" s="3" t="n">
        <v>240.36</v>
      </c>
      <c r="K2977" s="3" t="n">
        <v>48.07</v>
      </c>
      <c r="L2977" s="3" t="n">
        <v>192.29</v>
      </c>
      <c r="M2977" s="3" t="n">
        <v>138.36</v>
      </c>
      <c r="N2977" s="3" t="n">
        <v>53.93</v>
      </c>
      <c r="O2977">
        <f>TEXT(A2977,"yyyy-mm")</f>
        <v/>
      </c>
    </row>
    <row r="2978">
      <c r="A2978" s="2" t="n">
        <v>45990</v>
      </c>
      <c r="B2978" t="n">
        <v>2025</v>
      </c>
      <c r="C2978" t="inlineStr">
        <is>
          <t>November</t>
        </is>
      </c>
      <c r="D2978" t="inlineStr">
        <is>
          <t>Classic Coffee Beans</t>
        </is>
      </c>
      <c r="E2978" t="inlineStr">
        <is>
          <t>Grocery</t>
        </is>
      </c>
      <c r="F2978" t="inlineStr">
        <is>
          <t>Peter Schmidt</t>
        </is>
      </c>
      <c r="G2978" t="inlineStr">
        <is>
          <t>United Kingdom</t>
        </is>
      </c>
      <c r="H2978" t="inlineStr">
        <is>
          <t>Retail Store</t>
        </is>
      </c>
      <c r="I2978" t="n">
        <v>3</v>
      </c>
      <c r="J2978" s="3" t="n">
        <v>973.35</v>
      </c>
      <c r="K2978" s="3" t="n">
        <v>48.67</v>
      </c>
      <c r="L2978" s="3" t="n">
        <v>924.6799999999999</v>
      </c>
      <c r="M2978" s="3" t="n">
        <v>584.28</v>
      </c>
      <c r="N2978" s="3" t="n">
        <v>340.4</v>
      </c>
      <c r="O2978">
        <f>TEXT(A2978,"yyyy-mm")</f>
        <v/>
      </c>
    </row>
    <row r="2979">
      <c r="A2979" s="2" t="n">
        <v>45992</v>
      </c>
      <c r="B2979" t="n">
        <v>2025</v>
      </c>
      <c r="C2979" t="inlineStr">
        <is>
          <t>December</t>
        </is>
      </c>
      <c r="D2979" t="inlineStr">
        <is>
          <t>Eco Sweater</t>
        </is>
      </c>
      <c r="E2979" t="inlineStr">
        <is>
          <t>Clothing</t>
        </is>
      </c>
      <c r="F2979" t="inlineStr">
        <is>
          <t>Maria Muller</t>
        </is>
      </c>
      <c r="G2979" t="inlineStr">
        <is>
          <t>Netherlands</t>
        </is>
      </c>
      <c r="H2979" t="inlineStr">
        <is>
          <t>Web Store</t>
        </is>
      </c>
      <c r="I2979" t="n">
        <v>3</v>
      </c>
      <c r="J2979" s="3" t="n">
        <v>462.18</v>
      </c>
      <c r="K2979" s="3" t="n">
        <v>92.44</v>
      </c>
      <c r="L2979" s="3" t="n">
        <v>369.74</v>
      </c>
      <c r="M2979" s="3" t="n">
        <v>312.69</v>
      </c>
      <c r="N2979" s="3" t="n">
        <v>57.05</v>
      </c>
      <c r="O2979">
        <f>TEXT(A2979,"yyyy-mm")</f>
        <v/>
      </c>
    </row>
    <row r="2980">
      <c r="A2980" s="2" t="n">
        <v>45992</v>
      </c>
      <c r="B2980" t="n">
        <v>2025</v>
      </c>
      <c r="C2980" t="inlineStr">
        <is>
          <t>December</t>
        </is>
      </c>
      <c r="D2980" t="inlineStr">
        <is>
          <t>Smart Board Game</t>
        </is>
      </c>
      <c r="E2980" t="inlineStr">
        <is>
          <t>Toys &amp; Games</t>
        </is>
      </c>
      <c r="F2980" t="inlineStr">
        <is>
          <t>Daniel Conti</t>
        </is>
      </c>
      <c r="G2980" t="inlineStr">
        <is>
          <t>United Kingdom</t>
        </is>
      </c>
      <c r="H2980" t="inlineStr">
        <is>
          <t>Retail Store</t>
        </is>
      </c>
      <c r="I2980" t="n">
        <v>4</v>
      </c>
      <c r="J2980" s="3" t="n">
        <v>510.04</v>
      </c>
      <c r="K2980" s="3" t="n">
        <v>51</v>
      </c>
      <c r="L2980" s="3" t="n">
        <v>459.04</v>
      </c>
      <c r="M2980" s="3" t="n">
        <v>366.88</v>
      </c>
      <c r="N2980" s="3" t="n">
        <v>92.16</v>
      </c>
      <c r="O2980">
        <f>TEXT(A2980,"yyyy-mm")</f>
        <v/>
      </c>
    </row>
    <row r="2981">
      <c r="A2981" s="2" t="n">
        <v>45992</v>
      </c>
      <c r="B2981" t="n">
        <v>2025</v>
      </c>
      <c r="C2981" t="inlineStr">
        <is>
          <t>December</t>
        </is>
      </c>
      <c r="D2981" t="inlineStr">
        <is>
          <t>Wireless Coffee Beans</t>
        </is>
      </c>
      <c r="E2981" t="inlineStr">
        <is>
          <t>Grocery</t>
        </is>
      </c>
      <c r="F2981" t="inlineStr">
        <is>
          <t>Daniel Conti</t>
        </is>
      </c>
      <c r="G2981" t="inlineStr">
        <is>
          <t>United Kingdom</t>
        </is>
      </c>
      <c r="H2981" t="inlineStr">
        <is>
          <t>Retail Store</t>
        </is>
      </c>
      <c r="I2981" t="n">
        <v>4</v>
      </c>
      <c r="J2981" s="3" t="n">
        <v>856.52</v>
      </c>
      <c r="K2981" s="3" t="n">
        <v>0</v>
      </c>
      <c r="L2981" s="3" t="n">
        <v>856.52</v>
      </c>
      <c r="M2981" s="3" t="n">
        <v>520.52</v>
      </c>
      <c r="N2981" s="3" t="n">
        <v>336</v>
      </c>
      <c r="O2981">
        <f>TEXT(A2981,"yyyy-mm")</f>
        <v/>
      </c>
    </row>
    <row r="2982">
      <c r="A2982" s="2" t="n">
        <v>45992</v>
      </c>
      <c r="B2982" t="n">
        <v>2025</v>
      </c>
      <c r="C2982" t="inlineStr">
        <is>
          <t>December</t>
        </is>
      </c>
      <c r="D2982" t="inlineStr">
        <is>
          <t>Wireless Cookbook</t>
        </is>
      </c>
      <c r="E2982" t="inlineStr">
        <is>
          <t>Books</t>
        </is>
      </c>
      <c r="F2982" t="inlineStr">
        <is>
          <t>Olivia Fischer</t>
        </is>
      </c>
      <c r="G2982" t="inlineStr">
        <is>
          <t>France</t>
        </is>
      </c>
      <c r="H2982" t="inlineStr">
        <is>
          <t>Mobile App</t>
        </is>
      </c>
      <c r="I2982" t="n">
        <v>4</v>
      </c>
      <c r="J2982" s="3" t="n">
        <v>308</v>
      </c>
      <c r="K2982" s="3" t="n">
        <v>0</v>
      </c>
      <c r="L2982" s="3" t="n">
        <v>308</v>
      </c>
      <c r="M2982" s="3" t="n">
        <v>226.44</v>
      </c>
      <c r="N2982" s="3" t="n">
        <v>81.56</v>
      </c>
      <c r="O2982">
        <f>TEXT(A2982,"yyyy-mm")</f>
        <v/>
      </c>
    </row>
    <row r="2983">
      <c r="A2983" s="2" t="n">
        <v>45992</v>
      </c>
      <c r="B2983" t="n">
        <v>2025</v>
      </c>
      <c r="C2983" t="inlineStr">
        <is>
          <t>December</t>
        </is>
      </c>
      <c r="D2983" t="inlineStr">
        <is>
          <t>Compact Pasta</t>
        </is>
      </c>
      <c r="E2983" t="inlineStr">
        <is>
          <t>Grocery</t>
        </is>
      </c>
      <c r="F2983" t="inlineStr">
        <is>
          <t>Daniel Conti</t>
        </is>
      </c>
      <c r="G2983" t="inlineStr">
        <is>
          <t>United Kingdom</t>
        </is>
      </c>
      <c r="H2983" t="inlineStr">
        <is>
          <t>Retail Store</t>
        </is>
      </c>
      <c r="I2983" t="n">
        <v>1</v>
      </c>
      <c r="J2983" s="3" t="n">
        <v>309.66</v>
      </c>
      <c r="K2983" s="3" t="n">
        <v>46.45</v>
      </c>
      <c r="L2983" s="3" t="n">
        <v>263.21</v>
      </c>
      <c r="M2983" s="3" t="n">
        <v>199.4</v>
      </c>
      <c r="N2983" s="3" t="n">
        <v>63.81</v>
      </c>
      <c r="O2983">
        <f>TEXT(A2983,"yyyy-mm")</f>
        <v/>
      </c>
    </row>
    <row r="2984">
      <c r="A2984" s="2" t="n">
        <v>45992</v>
      </c>
      <c r="B2984" t="n">
        <v>2025</v>
      </c>
      <c r="C2984" t="inlineStr">
        <is>
          <t>December</t>
        </is>
      </c>
      <c r="D2984" t="inlineStr">
        <is>
          <t>Deluxe Scarf</t>
        </is>
      </c>
      <c r="E2984" t="inlineStr">
        <is>
          <t>Clothing</t>
        </is>
      </c>
      <c r="F2984" t="inlineStr">
        <is>
          <t>Maria Muller</t>
        </is>
      </c>
      <c r="G2984" t="inlineStr">
        <is>
          <t>Netherlands</t>
        </is>
      </c>
      <c r="H2984" t="inlineStr">
        <is>
          <t>Web Store</t>
        </is>
      </c>
      <c r="I2984" t="n">
        <v>2</v>
      </c>
      <c r="J2984" s="3" t="n">
        <v>413.76</v>
      </c>
      <c r="K2984" s="3" t="n">
        <v>0</v>
      </c>
      <c r="L2984" s="3" t="n">
        <v>413.76</v>
      </c>
      <c r="M2984" s="3" t="n">
        <v>217.04</v>
      </c>
      <c r="N2984" s="3" t="n">
        <v>196.72</v>
      </c>
      <c r="O2984">
        <f>TEXT(A2984,"yyyy-mm")</f>
        <v/>
      </c>
    </row>
    <row r="2985">
      <c r="A2985" s="2" t="n">
        <v>45992</v>
      </c>
      <c r="B2985" t="n">
        <v>2025</v>
      </c>
      <c r="C2985" t="inlineStr">
        <is>
          <t>December</t>
        </is>
      </c>
      <c r="D2985" t="inlineStr">
        <is>
          <t>Eco Biography</t>
        </is>
      </c>
      <c r="E2985" t="inlineStr">
        <is>
          <t>Books</t>
        </is>
      </c>
      <c r="F2985" t="inlineStr">
        <is>
          <t>Maria Muller</t>
        </is>
      </c>
      <c r="G2985" t="inlineStr">
        <is>
          <t>Netherlands</t>
        </is>
      </c>
      <c r="H2985" t="inlineStr">
        <is>
          <t>Web Store</t>
        </is>
      </c>
      <c r="I2985" t="n">
        <v>4</v>
      </c>
      <c r="J2985" s="3" t="n">
        <v>488.72</v>
      </c>
      <c r="K2985" s="3" t="n">
        <v>0</v>
      </c>
      <c r="L2985" s="3" t="n">
        <v>488.72</v>
      </c>
      <c r="M2985" s="3" t="n">
        <v>284.08</v>
      </c>
      <c r="N2985" s="3" t="n">
        <v>204.64</v>
      </c>
      <c r="O2985">
        <f>TEXT(A2985,"yyyy-mm")</f>
        <v/>
      </c>
    </row>
    <row r="2986">
      <c r="A2986" s="2" t="n">
        <v>45992</v>
      </c>
      <c r="B2986" t="n">
        <v>2025</v>
      </c>
      <c r="C2986" t="inlineStr">
        <is>
          <t>December</t>
        </is>
      </c>
      <c r="D2986" t="inlineStr">
        <is>
          <t>Portable Tea Set</t>
        </is>
      </c>
      <c r="E2986" t="inlineStr">
        <is>
          <t>Grocery</t>
        </is>
      </c>
      <c r="F2986" t="inlineStr">
        <is>
          <t>Maria Muller</t>
        </is>
      </c>
      <c r="G2986" t="inlineStr">
        <is>
          <t>Netherlands</t>
        </is>
      </c>
      <c r="H2986" t="inlineStr">
        <is>
          <t>Web Store</t>
        </is>
      </c>
      <c r="I2986" t="n">
        <v>1</v>
      </c>
      <c r="J2986" s="3" t="n">
        <v>274.54</v>
      </c>
      <c r="K2986" s="3" t="n">
        <v>27.45</v>
      </c>
      <c r="L2986" s="3" t="n">
        <v>247.09</v>
      </c>
      <c r="M2986" s="3" t="n">
        <v>188.12</v>
      </c>
      <c r="N2986" s="3" t="n">
        <v>58.97</v>
      </c>
      <c r="O2986">
        <f>TEXT(A2986,"yyyy-mm")</f>
        <v/>
      </c>
    </row>
    <row r="2987">
      <c r="A2987" s="2" t="n">
        <v>45992</v>
      </c>
      <c r="B2987" t="n">
        <v>2025</v>
      </c>
      <c r="C2987" t="inlineStr">
        <is>
          <t>December</t>
        </is>
      </c>
      <c r="D2987" t="inlineStr">
        <is>
          <t>Compact Jacket</t>
        </is>
      </c>
      <c r="E2987" t="inlineStr">
        <is>
          <t>Clothing</t>
        </is>
      </c>
      <c r="F2987" t="inlineStr">
        <is>
          <t>Olivia Fischer</t>
        </is>
      </c>
      <c r="G2987" t="inlineStr">
        <is>
          <t>France</t>
        </is>
      </c>
      <c r="H2987" t="inlineStr">
        <is>
          <t>Mobile App</t>
        </is>
      </c>
      <c r="I2987" t="n">
        <v>3</v>
      </c>
      <c r="J2987" s="3" t="n">
        <v>106.95</v>
      </c>
      <c r="K2987" s="3" t="n">
        <v>21.39</v>
      </c>
      <c r="L2987" s="3" t="n">
        <v>85.56</v>
      </c>
      <c r="M2987" s="3" t="n">
        <v>61.2</v>
      </c>
      <c r="N2987" s="3" t="n">
        <v>24.36</v>
      </c>
      <c r="O2987">
        <f>TEXT(A2987,"yyyy-mm")</f>
        <v/>
      </c>
    </row>
    <row r="2988">
      <c r="A2988" s="2" t="n">
        <v>45992</v>
      </c>
      <c r="B2988" t="n">
        <v>2025</v>
      </c>
      <c r="C2988" t="inlineStr">
        <is>
          <t>December</t>
        </is>
      </c>
      <c r="D2988" t="inlineStr">
        <is>
          <t>Eco Biography</t>
        </is>
      </c>
      <c r="E2988" t="inlineStr">
        <is>
          <t>Books</t>
        </is>
      </c>
      <c r="F2988" t="inlineStr">
        <is>
          <t>Olivia Fischer</t>
        </is>
      </c>
      <c r="G2988" t="inlineStr">
        <is>
          <t>France</t>
        </is>
      </c>
      <c r="H2988" t="inlineStr">
        <is>
          <t>Mobile App</t>
        </is>
      </c>
      <c r="I2988" t="n">
        <v>3</v>
      </c>
      <c r="J2988" s="3" t="n">
        <v>374.46</v>
      </c>
      <c r="K2988" s="3" t="n">
        <v>37.45</v>
      </c>
      <c r="L2988" s="3" t="n">
        <v>337.01</v>
      </c>
      <c r="M2988" s="3" t="n">
        <v>213.06</v>
      </c>
      <c r="N2988" s="3" t="n">
        <v>123.95</v>
      </c>
      <c r="O2988">
        <f>TEXT(A2988,"yyyy-mm")</f>
        <v/>
      </c>
    </row>
    <row r="2989">
      <c r="A2989" s="2" t="n">
        <v>45992</v>
      </c>
      <c r="B2989" t="n">
        <v>2025</v>
      </c>
      <c r="C2989" t="inlineStr">
        <is>
          <t>December</t>
        </is>
      </c>
      <c r="D2989" t="inlineStr">
        <is>
          <t>Portable Tea Set</t>
        </is>
      </c>
      <c r="E2989" t="inlineStr">
        <is>
          <t>Grocery</t>
        </is>
      </c>
      <c r="F2989" t="inlineStr">
        <is>
          <t>Olivia Fischer</t>
        </is>
      </c>
      <c r="G2989" t="inlineStr">
        <is>
          <t>France</t>
        </is>
      </c>
      <c r="H2989" t="inlineStr">
        <is>
          <t>Mobile App</t>
        </is>
      </c>
      <c r="I2989" t="n">
        <v>2</v>
      </c>
      <c r="J2989" s="3" t="n">
        <v>555.58</v>
      </c>
      <c r="K2989" s="3" t="n">
        <v>27.78</v>
      </c>
      <c r="L2989" s="3" t="n">
        <v>527.8</v>
      </c>
      <c r="M2989" s="3" t="n">
        <v>376.24</v>
      </c>
      <c r="N2989" s="3" t="n">
        <v>151.56</v>
      </c>
      <c r="O2989">
        <f>TEXT(A2989,"yyyy-mm")</f>
        <v/>
      </c>
    </row>
    <row r="2990">
      <c r="A2990" s="2" t="n">
        <v>45993</v>
      </c>
      <c r="B2990" t="n">
        <v>2025</v>
      </c>
      <c r="C2990" t="inlineStr">
        <is>
          <t>December</t>
        </is>
      </c>
      <c r="D2990" t="inlineStr">
        <is>
          <t>Deluxe Scarf</t>
        </is>
      </c>
      <c r="E2990" t="inlineStr">
        <is>
          <t>Clothing</t>
        </is>
      </c>
      <c r="F2990" t="inlineStr">
        <is>
          <t>Maria Brown</t>
        </is>
      </c>
      <c r="G2990" t="inlineStr">
        <is>
          <t>United Kingdom</t>
        </is>
      </c>
      <c r="H2990" t="inlineStr">
        <is>
          <t>Retail Store</t>
        </is>
      </c>
      <c r="I2990" t="n">
        <v>5</v>
      </c>
      <c r="J2990" s="3" t="n">
        <v>976.75</v>
      </c>
      <c r="K2990" s="3" t="n">
        <v>0</v>
      </c>
      <c r="L2990" s="3" t="n">
        <v>976.75</v>
      </c>
      <c r="M2990" s="3" t="n">
        <v>542.6</v>
      </c>
      <c r="N2990" s="3" t="n">
        <v>434.15</v>
      </c>
      <c r="O2990">
        <f>TEXT(A2990,"yyyy-mm")</f>
        <v/>
      </c>
    </row>
    <row r="2991">
      <c r="A2991" s="2" t="n">
        <v>45994</v>
      </c>
      <c r="B2991" t="n">
        <v>2025</v>
      </c>
      <c r="C2991" t="inlineStr">
        <is>
          <t>December</t>
        </is>
      </c>
      <c r="D2991" t="inlineStr">
        <is>
          <t>Ultra Rug</t>
        </is>
      </c>
      <c r="E2991" t="inlineStr">
        <is>
          <t>Home &amp; Garden</t>
        </is>
      </c>
      <c r="F2991" t="inlineStr">
        <is>
          <t>Mark Moreau</t>
        </is>
      </c>
      <c r="G2991" t="inlineStr">
        <is>
          <t>Italy</t>
        </is>
      </c>
      <c r="H2991" t="inlineStr">
        <is>
          <t>Retail Store</t>
        </is>
      </c>
      <c r="I2991" t="n">
        <v>2</v>
      </c>
      <c r="J2991" s="3" t="n">
        <v>99.84</v>
      </c>
      <c r="K2991" s="3" t="n">
        <v>4.99</v>
      </c>
      <c r="L2991" s="3" t="n">
        <v>94.84999999999999</v>
      </c>
      <c r="M2991" s="3" t="n">
        <v>65.81999999999999</v>
      </c>
      <c r="N2991" s="3" t="n">
        <v>29.03</v>
      </c>
      <c r="O2991">
        <f>TEXT(A2991,"yyyy-mm")</f>
        <v/>
      </c>
    </row>
    <row r="2992">
      <c r="A2992" s="2" t="n">
        <v>45994</v>
      </c>
      <c r="B2992" t="n">
        <v>2025</v>
      </c>
      <c r="C2992" t="inlineStr">
        <is>
          <t>December</t>
        </is>
      </c>
      <c r="D2992" t="inlineStr">
        <is>
          <t>Smart Charger</t>
        </is>
      </c>
      <c r="E2992" t="inlineStr">
        <is>
          <t>Electronics</t>
        </is>
      </c>
      <c r="F2992" t="inlineStr">
        <is>
          <t>Thomas Lopez</t>
        </is>
      </c>
      <c r="G2992" t="inlineStr">
        <is>
          <t>Spain</t>
        </is>
      </c>
      <c r="H2992" t="inlineStr">
        <is>
          <t>Mobile App</t>
        </is>
      </c>
      <c r="I2992" t="n">
        <v>2</v>
      </c>
      <c r="J2992" s="3" t="n">
        <v>80.36</v>
      </c>
      <c r="K2992" s="3" t="n">
        <v>0</v>
      </c>
      <c r="L2992" s="3" t="n">
        <v>80.36</v>
      </c>
      <c r="M2992" s="3" t="n">
        <v>55.28</v>
      </c>
      <c r="N2992" s="3" t="n">
        <v>25.08</v>
      </c>
      <c r="O2992">
        <f>TEXT(A2992,"yyyy-mm")</f>
        <v/>
      </c>
    </row>
    <row r="2993">
      <c r="A2993" s="2" t="n">
        <v>45994</v>
      </c>
      <c r="B2993" t="n">
        <v>2025</v>
      </c>
      <c r="C2993" t="inlineStr">
        <is>
          <t>December</t>
        </is>
      </c>
      <c r="D2993" t="inlineStr">
        <is>
          <t>Eco Tent</t>
        </is>
      </c>
      <c r="E2993" t="inlineStr">
        <is>
          <t>Sports &amp; Outdoors</t>
        </is>
      </c>
      <c r="F2993" t="inlineStr">
        <is>
          <t>Thomas Lopez</t>
        </is>
      </c>
      <c r="G2993" t="inlineStr">
        <is>
          <t>Spain</t>
        </is>
      </c>
      <c r="H2993" t="inlineStr">
        <is>
          <t>Mobile App</t>
        </is>
      </c>
      <c r="I2993" t="n">
        <v>2</v>
      </c>
      <c r="J2993" s="3" t="n">
        <v>136.22</v>
      </c>
      <c r="K2993" s="3" t="n">
        <v>0</v>
      </c>
      <c r="L2993" s="3" t="n">
        <v>136.22</v>
      </c>
      <c r="M2993" s="3" t="n">
        <v>87.7</v>
      </c>
      <c r="N2993" s="3" t="n">
        <v>48.52</v>
      </c>
      <c r="O2993">
        <f>TEXT(A2993,"yyyy-mm")</f>
        <v/>
      </c>
    </row>
    <row r="2994">
      <c r="A2994" s="2" t="n">
        <v>45994</v>
      </c>
      <c r="B2994" t="n">
        <v>2025</v>
      </c>
      <c r="C2994" t="inlineStr">
        <is>
          <t>December</t>
        </is>
      </c>
      <c r="D2994" t="inlineStr">
        <is>
          <t>Premium Cookbook</t>
        </is>
      </c>
      <c r="E2994" t="inlineStr">
        <is>
          <t>Books</t>
        </is>
      </c>
      <c r="F2994" t="inlineStr">
        <is>
          <t>Thomas Kowalski</t>
        </is>
      </c>
      <c r="G2994" t="inlineStr">
        <is>
          <t>United Kingdom</t>
        </is>
      </c>
      <c r="H2994" t="inlineStr">
        <is>
          <t>Mobile App</t>
        </is>
      </c>
      <c r="I2994" t="n">
        <v>1</v>
      </c>
      <c r="J2994" s="3" t="n">
        <v>126.54</v>
      </c>
      <c r="K2994" s="3" t="n">
        <v>0</v>
      </c>
      <c r="L2994" s="3" t="n">
        <v>126.54</v>
      </c>
      <c r="M2994" s="3" t="n">
        <v>94.98</v>
      </c>
      <c r="N2994" s="3" t="n">
        <v>31.56</v>
      </c>
      <c r="O2994">
        <f>TEXT(A2994,"yyyy-mm")</f>
        <v/>
      </c>
    </row>
    <row r="2995">
      <c r="A2995" s="2" t="n">
        <v>45994</v>
      </c>
      <c r="B2995" t="n">
        <v>2025</v>
      </c>
      <c r="C2995" t="inlineStr">
        <is>
          <t>December</t>
        </is>
      </c>
      <c r="D2995" t="inlineStr">
        <is>
          <t>Compact Sunscreen</t>
        </is>
      </c>
      <c r="E2995" t="inlineStr">
        <is>
          <t>Beauty &amp; Health</t>
        </is>
      </c>
      <c r="F2995" t="inlineStr">
        <is>
          <t>Thomas Kowalski</t>
        </is>
      </c>
      <c r="G2995" t="inlineStr">
        <is>
          <t>United Kingdom</t>
        </is>
      </c>
      <c r="H2995" t="inlineStr">
        <is>
          <t>Mobile App</t>
        </is>
      </c>
      <c r="I2995" t="n">
        <v>5</v>
      </c>
      <c r="J2995" s="3" t="n">
        <v>1445.15</v>
      </c>
      <c r="K2995" s="3" t="n">
        <v>72.26000000000001</v>
      </c>
      <c r="L2995" s="3" t="n">
        <v>1372.89</v>
      </c>
      <c r="M2995" s="3" t="n">
        <v>888.3</v>
      </c>
      <c r="N2995" s="3" t="n">
        <v>484.59</v>
      </c>
      <c r="O2995">
        <f>TEXT(A2995,"yyyy-mm")</f>
        <v/>
      </c>
    </row>
    <row r="2996">
      <c r="A2996" s="2" t="n">
        <v>45994</v>
      </c>
      <c r="B2996" t="n">
        <v>2025</v>
      </c>
      <c r="C2996" t="inlineStr">
        <is>
          <t>December</t>
        </is>
      </c>
      <c r="D2996" t="inlineStr">
        <is>
          <t>Smart Tea Set</t>
        </is>
      </c>
      <c r="E2996" t="inlineStr">
        <is>
          <t>Grocery</t>
        </is>
      </c>
      <c r="F2996" t="inlineStr">
        <is>
          <t>Thomas Kowalski</t>
        </is>
      </c>
      <c r="G2996" t="inlineStr">
        <is>
          <t>United Kingdom</t>
        </is>
      </c>
      <c r="H2996" t="inlineStr">
        <is>
          <t>Mobile App</t>
        </is>
      </c>
      <c r="I2996" t="n">
        <v>3</v>
      </c>
      <c r="J2996" s="3" t="n">
        <v>269.4</v>
      </c>
      <c r="K2996" s="3" t="n">
        <v>26.94</v>
      </c>
      <c r="L2996" s="3" t="n">
        <v>242.46</v>
      </c>
      <c r="M2996" s="3" t="n">
        <v>185.4</v>
      </c>
      <c r="N2996" s="3" t="n">
        <v>57.06</v>
      </c>
      <c r="O2996">
        <f>TEXT(A2996,"yyyy-mm")</f>
        <v/>
      </c>
    </row>
    <row r="2997">
      <c r="A2997" s="2" t="n">
        <v>45994</v>
      </c>
      <c r="B2997" t="n">
        <v>2025</v>
      </c>
      <c r="C2997" t="inlineStr">
        <is>
          <t>December</t>
        </is>
      </c>
      <c r="D2997" t="inlineStr">
        <is>
          <t>Smart Honey</t>
        </is>
      </c>
      <c r="E2997" t="inlineStr">
        <is>
          <t>Grocery</t>
        </is>
      </c>
      <c r="F2997" t="inlineStr">
        <is>
          <t>Anna Bianchi</t>
        </is>
      </c>
      <c r="G2997" t="inlineStr">
        <is>
          <t>Italy</t>
        </is>
      </c>
      <c r="H2997" t="inlineStr">
        <is>
          <t>Web Store</t>
        </is>
      </c>
      <c r="I2997" t="n">
        <v>4</v>
      </c>
      <c r="J2997" s="3" t="n">
        <v>513.96</v>
      </c>
      <c r="K2997" s="3" t="n">
        <v>0</v>
      </c>
      <c r="L2997" s="3" t="n">
        <v>513.96</v>
      </c>
      <c r="M2997" s="3" t="n">
        <v>285.76</v>
      </c>
      <c r="N2997" s="3" t="n">
        <v>228.2</v>
      </c>
      <c r="O2997">
        <f>TEXT(A2997,"yyyy-mm")</f>
        <v/>
      </c>
    </row>
    <row r="2998">
      <c r="A2998" s="2" t="n">
        <v>45994</v>
      </c>
      <c r="B2998" t="n">
        <v>2025</v>
      </c>
      <c r="C2998" t="inlineStr">
        <is>
          <t>December</t>
        </is>
      </c>
      <c r="D2998" t="inlineStr">
        <is>
          <t>Ultra Vitamins</t>
        </is>
      </c>
      <c r="E2998" t="inlineStr">
        <is>
          <t>Beauty &amp; Health</t>
        </is>
      </c>
      <c r="F2998" t="inlineStr">
        <is>
          <t>James Brown</t>
        </is>
      </c>
      <c r="G2998" t="inlineStr">
        <is>
          <t>France</t>
        </is>
      </c>
      <c r="H2998" t="inlineStr">
        <is>
          <t>Web Store</t>
        </is>
      </c>
      <c r="I2998" t="n">
        <v>2</v>
      </c>
      <c r="J2998" s="3" t="n">
        <v>417.72</v>
      </c>
      <c r="K2998" s="3" t="n">
        <v>0</v>
      </c>
      <c r="L2998" s="3" t="n">
        <v>417.72</v>
      </c>
      <c r="M2998" s="3" t="n">
        <v>252.2</v>
      </c>
      <c r="N2998" s="3" t="n">
        <v>165.52</v>
      </c>
      <c r="O2998">
        <f>TEXT(A2998,"yyyy-mm")</f>
        <v/>
      </c>
    </row>
    <row r="2999">
      <c r="A2999" s="2" t="n">
        <v>45994</v>
      </c>
      <c r="B2999" t="n">
        <v>2025</v>
      </c>
      <c r="C2999" t="inlineStr">
        <is>
          <t>December</t>
        </is>
      </c>
      <c r="D2999" t="inlineStr">
        <is>
          <t>Eco Planter</t>
        </is>
      </c>
      <c r="E2999" t="inlineStr">
        <is>
          <t>Home &amp; Garden</t>
        </is>
      </c>
      <c r="F2999" t="inlineStr">
        <is>
          <t>Mark Moreau</t>
        </is>
      </c>
      <c r="G2999" t="inlineStr">
        <is>
          <t>Italy</t>
        </is>
      </c>
      <c r="H2999" t="inlineStr">
        <is>
          <t>Retail Store</t>
        </is>
      </c>
      <c r="I2999" t="n">
        <v>5</v>
      </c>
      <c r="J2999" s="3" t="n">
        <v>882.2</v>
      </c>
      <c r="K2999" s="3" t="n">
        <v>176.44</v>
      </c>
      <c r="L2999" s="3" t="n">
        <v>705.76</v>
      </c>
      <c r="M2999" s="3" t="n">
        <v>562.05</v>
      </c>
      <c r="N2999" s="3" t="n">
        <v>143.71</v>
      </c>
      <c r="O2999">
        <f>TEXT(A2999,"yyyy-mm")</f>
        <v/>
      </c>
    </row>
    <row r="3000">
      <c r="A3000" s="2" t="n">
        <v>45994</v>
      </c>
      <c r="B3000" t="n">
        <v>2025</v>
      </c>
      <c r="C3000" t="inlineStr">
        <is>
          <t>December</t>
        </is>
      </c>
      <c r="D3000" t="inlineStr">
        <is>
          <t>Deluxe Cookbook</t>
        </is>
      </c>
      <c r="E3000" t="inlineStr">
        <is>
          <t>Books</t>
        </is>
      </c>
      <c r="F3000" t="inlineStr">
        <is>
          <t>James Brown</t>
        </is>
      </c>
      <c r="G3000" t="inlineStr">
        <is>
          <t>France</t>
        </is>
      </c>
      <c r="H3000" t="inlineStr">
        <is>
          <t>Web Store</t>
        </is>
      </c>
      <c r="I3000" t="n">
        <v>3</v>
      </c>
      <c r="J3000" s="3" t="n">
        <v>398.22</v>
      </c>
      <c r="K3000" s="3" t="n">
        <v>39.82</v>
      </c>
      <c r="L3000" s="3" t="n">
        <v>358.4</v>
      </c>
      <c r="M3000" s="3" t="n">
        <v>255.81</v>
      </c>
      <c r="N3000" s="3" t="n">
        <v>102.59</v>
      </c>
      <c r="O3000">
        <f>TEXT(A3000,"yyyy-mm")</f>
        <v/>
      </c>
    </row>
    <row r="3001">
      <c r="A3001" s="2" t="n">
        <v>45994</v>
      </c>
      <c r="B3001" t="n">
        <v>2025</v>
      </c>
      <c r="C3001" t="inlineStr">
        <is>
          <t>December</t>
        </is>
      </c>
      <c r="D3001" t="inlineStr">
        <is>
          <t>Essential Cushion</t>
        </is>
      </c>
      <c r="E3001" t="inlineStr">
        <is>
          <t>Home &amp; Garden</t>
        </is>
      </c>
      <c r="F3001" t="inlineStr">
        <is>
          <t>Thomas Kowalski</t>
        </is>
      </c>
      <c r="G3001" t="inlineStr">
        <is>
          <t>United Kingdom</t>
        </is>
      </c>
      <c r="H3001" t="inlineStr">
        <is>
          <t>Mobile App</t>
        </is>
      </c>
      <c r="I3001" t="n">
        <v>2</v>
      </c>
      <c r="J3001" s="3" t="n">
        <v>90.90000000000001</v>
      </c>
      <c r="K3001" s="3" t="n">
        <v>9.09</v>
      </c>
      <c r="L3001" s="3" t="n">
        <v>81.81</v>
      </c>
      <c r="M3001" s="3" t="n">
        <v>61.1</v>
      </c>
      <c r="N3001" s="3" t="n">
        <v>20.71</v>
      </c>
      <c r="O3001">
        <f>TEXT(A3001,"yyyy-mm")</f>
        <v/>
      </c>
    </row>
    <row r="3002">
      <c r="A3002" s="2" t="n">
        <v>45994</v>
      </c>
      <c r="B3002" t="n">
        <v>2025</v>
      </c>
      <c r="C3002" t="inlineStr">
        <is>
          <t>December</t>
        </is>
      </c>
      <c r="D3002" t="inlineStr">
        <is>
          <t>Portable Tea Set</t>
        </is>
      </c>
      <c r="E3002" t="inlineStr">
        <is>
          <t>Grocery</t>
        </is>
      </c>
      <c r="F3002" t="inlineStr">
        <is>
          <t>Anna Bianchi</t>
        </is>
      </c>
      <c r="G3002" t="inlineStr">
        <is>
          <t>Italy</t>
        </is>
      </c>
      <c r="H3002" t="inlineStr">
        <is>
          <t>Web Store</t>
        </is>
      </c>
      <c r="I3002" t="n">
        <v>4</v>
      </c>
      <c r="J3002" s="3" t="n">
        <v>1133.2</v>
      </c>
      <c r="K3002" s="3" t="n">
        <v>56.66</v>
      </c>
      <c r="L3002" s="3" t="n">
        <v>1076.54</v>
      </c>
      <c r="M3002" s="3" t="n">
        <v>752.48</v>
      </c>
      <c r="N3002" s="3" t="n">
        <v>324.06</v>
      </c>
      <c r="O3002">
        <f>TEXT(A3002,"yyyy-mm")</f>
        <v/>
      </c>
    </row>
    <row r="3003">
      <c r="A3003" s="2" t="n">
        <v>45994</v>
      </c>
      <c r="B3003" t="n">
        <v>2025</v>
      </c>
      <c r="C3003" t="inlineStr">
        <is>
          <t>December</t>
        </is>
      </c>
      <c r="D3003" t="inlineStr">
        <is>
          <t>Smart Camera</t>
        </is>
      </c>
      <c r="E3003" t="inlineStr">
        <is>
          <t>Electronics</t>
        </is>
      </c>
      <c r="F3003" t="inlineStr">
        <is>
          <t>Anna Bianchi</t>
        </is>
      </c>
      <c r="G3003" t="inlineStr">
        <is>
          <t>Italy</t>
        </is>
      </c>
      <c r="H3003" t="inlineStr">
        <is>
          <t>Web Store</t>
        </is>
      </c>
      <c r="I3003" t="n">
        <v>1</v>
      </c>
      <c r="J3003" s="3" t="n">
        <v>117.44</v>
      </c>
      <c r="K3003" s="3" t="n">
        <v>17.62</v>
      </c>
      <c r="L3003" s="3" t="n">
        <v>99.81999999999999</v>
      </c>
      <c r="M3003" s="3" t="n">
        <v>85.58</v>
      </c>
      <c r="N3003" s="3" t="n">
        <v>14.24</v>
      </c>
      <c r="O3003">
        <f>TEXT(A3003,"yyyy-mm")</f>
        <v/>
      </c>
    </row>
    <row r="3004">
      <c r="A3004" s="2" t="n">
        <v>45994</v>
      </c>
      <c r="B3004" t="n">
        <v>2025</v>
      </c>
      <c r="C3004" t="inlineStr">
        <is>
          <t>December</t>
        </is>
      </c>
      <c r="D3004" t="inlineStr">
        <is>
          <t>Classic Coffee Beans</t>
        </is>
      </c>
      <c r="E3004" t="inlineStr">
        <is>
          <t>Grocery</t>
        </is>
      </c>
      <c r="F3004" t="inlineStr">
        <is>
          <t>Mark Moreau</t>
        </is>
      </c>
      <c r="G3004" t="inlineStr">
        <is>
          <t>Italy</t>
        </is>
      </c>
      <c r="H3004" t="inlineStr">
        <is>
          <t>Retail Store</t>
        </is>
      </c>
      <c r="I3004" t="n">
        <v>2</v>
      </c>
      <c r="J3004" s="3" t="n">
        <v>649.12</v>
      </c>
      <c r="K3004" s="3" t="n">
        <v>64.91</v>
      </c>
      <c r="L3004" s="3" t="n">
        <v>584.21</v>
      </c>
      <c r="M3004" s="3" t="n">
        <v>389.52</v>
      </c>
      <c r="N3004" s="3" t="n">
        <v>194.69</v>
      </c>
      <c r="O3004">
        <f>TEXT(A3004,"yyyy-mm")</f>
        <v/>
      </c>
    </row>
    <row r="3005">
      <c r="A3005" s="2" t="n">
        <v>45994</v>
      </c>
      <c r="B3005" t="n">
        <v>2025</v>
      </c>
      <c r="C3005" t="inlineStr">
        <is>
          <t>December</t>
        </is>
      </c>
      <c r="D3005" t="inlineStr">
        <is>
          <t>Eco Drone</t>
        </is>
      </c>
      <c r="E3005" t="inlineStr">
        <is>
          <t>Toys &amp; Games</t>
        </is>
      </c>
      <c r="F3005" t="inlineStr">
        <is>
          <t>Mark Moreau</t>
        </is>
      </c>
      <c r="G3005" t="inlineStr">
        <is>
          <t>Italy</t>
        </is>
      </c>
      <c r="H3005" t="inlineStr">
        <is>
          <t>Retail Store</t>
        </is>
      </c>
      <c r="I3005" t="n">
        <v>5</v>
      </c>
      <c r="J3005" s="3" t="n">
        <v>1039</v>
      </c>
      <c r="K3005" s="3" t="n">
        <v>0</v>
      </c>
      <c r="L3005" s="3" t="n">
        <v>1039</v>
      </c>
      <c r="M3005" s="3" t="n">
        <v>647.95</v>
      </c>
      <c r="N3005" s="3" t="n">
        <v>391.05</v>
      </c>
      <c r="O3005">
        <f>TEXT(A3005,"yyyy-mm")</f>
        <v/>
      </c>
    </row>
    <row r="3006">
      <c r="A3006" s="2" t="n">
        <v>45994</v>
      </c>
      <c r="B3006" t="n">
        <v>2025</v>
      </c>
      <c r="C3006" t="inlineStr">
        <is>
          <t>December</t>
        </is>
      </c>
      <c r="D3006" t="inlineStr">
        <is>
          <t>Smart Drone</t>
        </is>
      </c>
      <c r="E3006" t="inlineStr">
        <is>
          <t>Toys &amp; Games</t>
        </is>
      </c>
      <c r="F3006" t="inlineStr">
        <is>
          <t>Anna Bianchi</t>
        </is>
      </c>
      <c r="G3006" t="inlineStr">
        <is>
          <t>Italy</t>
        </is>
      </c>
      <c r="H3006" t="inlineStr">
        <is>
          <t>Web Store</t>
        </is>
      </c>
      <c r="I3006" t="n">
        <v>3</v>
      </c>
      <c r="J3006" s="3" t="n">
        <v>651.8099999999999</v>
      </c>
      <c r="K3006" s="3" t="n">
        <v>65.18000000000001</v>
      </c>
      <c r="L3006" s="3" t="n">
        <v>586.63</v>
      </c>
      <c r="M3006" s="3" t="n">
        <v>380.85</v>
      </c>
      <c r="N3006" s="3" t="n">
        <v>205.78</v>
      </c>
      <c r="O3006">
        <f>TEXT(A3006,"yyyy-mm")</f>
        <v/>
      </c>
    </row>
    <row r="3007">
      <c r="A3007" s="2" t="n">
        <v>45995</v>
      </c>
      <c r="B3007" t="n">
        <v>2025</v>
      </c>
      <c r="C3007" t="inlineStr">
        <is>
          <t>December</t>
        </is>
      </c>
      <c r="D3007" t="inlineStr">
        <is>
          <t>Premium Cookbook</t>
        </is>
      </c>
      <c r="E3007" t="inlineStr">
        <is>
          <t>Books</t>
        </is>
      </c>
      <c r="F3007" t="inlineStr">
        <is>
          <t>Thomas Wojcik</t>
        </is>
      </c>
      <c r="G3007" t="inlineStr">
        <is>
          <t>Spain</t>
        </is>
      </c>
      <c r="H3007" t="inlineStr">
        <is>
          <t>Web Store</t>
        </is>
      </c>
      <c r="I3007" t="n">
        <v>5</v>
      </c>
      <c r="J3007" s="3" t="n">
        <v>678</v>
      </c>
      <c r="K3007" s="3" t="n">
        <v>101.7</v>
      </c>
      <c r="L3007" s="3" t="n">
        <v>576.3</v>
      </c>
      <c r="M3007" s="3" t="n">
        <v>474.9</v>
      </c>
      <c r="N3007" s="3" t="n">
        <v>101.4</v>
      </c>
      <c r="O3007">
        <f>TEXT(A3007,"yyyy-mm")</f>
        <v/>
      </c>
    </row>
    <row r="3008">
      <c r="A3008" s="2" t="n">
        <v>45995</v>
      </c>
      <c r="B3008" t="n">
        <v>2025</v>
      </c>
      <c r="C3008" t="inlineStr">
        <is>
          <t>December</t>
        </is>
      </c>
      <c r="D3008" t="inlineStr">
        <is>
          <t>Smart Charger</t>
        </is>
      </c>
      <c r="E3008" t="inlineStr">
        <is>
          <t>Electronics</t>
        </is>
      </c>
      <c r="F3008" t="inlineStr">
        <is>
          <t>Olivia Conti</t>
        </is>
      </c>
      <c r="G3008" t="inlineStr">
        <is>
          <t>France</t>
        </is>
      </c>
      <c r="H3008" t="inlineStr">
        <is>
          <t>Marketplace</t>
        </is>
      </c>
      <c r="I3008" t="n">
        <v>4</v>
      </c>
      <c r="J3008" s="3" t="n">
        <v>159.56</v>
      </c>
      <c r="K3008" s="3" t="n">
        <v>7.98</v>
      </c>
      <c r="L3008" s="3" t="n">
        <v>151.58</v>
      </c>
      <c r="M3008" s="3" t="n">
        <v>110.56</v>
      </c>
      <c r="N3008" s="3" t="n">
        <v>41.02</v>
      </c>
      <c r="O3008">
        <f>TEXT(A3008,"yyyy-mm")</f>
        <v/>
      </c>
    </row>
    <row r="3009">
      <c r="A3009" s="2" t="n">
        <v>45995</v>
      </c>
      <c r="B3009" t="n">
        <v>2025</v>
      </c>
      <c r="C3009" t="inlineStr">
        <is>
          <t>December</t>
        </is>
      </c>
      <c r="D3009" t="inlineStr">
        <is>
          <t>Ultra Toolset</t>
        </is>
      </c>
      <c r="E3009" t="inlineStr">
        <is>
          <t>Home &amp; Garden</t>
        </is>
      </c>
      <c r="F3009" t="inlineStr">
        <is>
          <t>Olivia Conti</t>
        </is>
      </c>
      <c r="G3009" t="inlineStr">
        <is>
          <t>France</t>
        </is>
      </c>
      <c r="H3009" t="inlineStr">
        <is>
          <t>Marketplace</t>
        </is>
      </c>
      <c r="I3009" t="n">
        <v>5</v>
      </c>
      <c r="J3009" s="3" t="n">
        <v>1763.3</v>
      </c>
      <c r="K3009" s="3" t="n">
        <v>264.5</v>
      </c>
      <c r="L3009" s="3" t="n">
        <v>1498.81</v>
      </c>
      <c r="M3009" s="3" t="n">
        <v>952</v>
      </c>
      <c r="N3009" s="3" t="n">
        <v>546.8099999999999</v>
      </c>
      <c r="O3009">
        <f>TEXT(A3009,"yyyy-mm")</f>
        <v/>
      </c>
    </row>
    <row r="3010">
      <c r="A3010" s="2" t="n">
        <v>45995</v>
      </c>
      <c r="B3010" t="n">
        <v>2025</v>
      </c>
      <c r="C3010" t="inlineStr">
        <is>
          <t>December</t>
        </is>
      </c>
      <c r="D3010" t="inlineStr">
        <is>
          <t>Compact Pasta</t>
        </is>
      </c>
      <c r="E3010" t="inlineStr">
        <is>
          <t>Grocery</t>
        </is>
      </c>
      <c r="F3010" t="inlineStr">
        <is>
          <t>Olivia Conti</t>
        </is>
      </c>
      <c r="G3010" t="inlineStr">
        <is>
          <t>France</t>
        </is>
      </c>
      <c r="H3010" t="inlineStr">
        <is>
          <t>Marketplace</t>
        </is>
      </c>
      <c r="I3010" t="n">
        <v>1</v>
      </c>
      <c r="J3010" s="3" t="n">
        <v>312.03</v>
      </c>
      <c r="K3010" s="3" t="n">
        <v>0</v>
      </c>
      <c r="L3010" s="3" t="n">
        <v>312.03</v>
      </c>
      <c r="M3010" s="3" t="n">
        <v>199.4</v>
      </c>
      <c r="N3010" s="3" t="n">
        <v>112.63</v>
      </c>
      <c r="O3010">
        <f>TEXT(A3010,"yyyy-mm")</f>
        <v/>
      </c>
    </row>
    <row r="3011">
      <c r="A3011" s="2" t="n">
        <v>45995</v>
      </c>
      <c r="B3011" t="n">
        <v>2025</v>
      </c>
      <c r="C3011" t="inlineStr">
        <is>
          <t>December</t>
        </is>
      </c>
      <c r="D3011" t="inlineStr">
        <is>
          <t>Smart Camera</t>
        </is>
      </c>
      <c r="E3011" t="inlineStr">
        <is>
          <t>Electronics</t>
        </is>
      </c>
      <c r="F3011" t="inlineStr">
        <is>
          <t>Thomas Wojcik</t>
        </is>
      </c>
      <c r="G3011" t="inlineStr">
        <is>
          <t>Spain</t>
        </is>
      </c>
      <c r="H3011" t="inlineStr">
        <is>
          <t>Web Store</t>
        </is>
      </c>
      <c r="I3011" t="n">
        <v>3</v>
      </c>
      <c r="J3011" s="3" t="n">
        <v>895.2</v>
      </c>
      <c r="K3011" s="3" t="n">
        <v>134.28</v>
      </c>
      <c r="L3011" s="3" t="n">
        <v>760.92</v>
      </c>
      <c r="M3011" s="3" t="n">
        <v>502.2</v>
      </c>
      <c r="N3011" s="3" t="n">
        <v>258.72</v>
      </c>
      <c r="O3011">
        <f>TEXT(A3011,"yyyy-mm")</f>
        <v/>
      </c>
    </row>
    <row r="3012">
      <c r="A3012" s="2" t="n">
        <v>45995</v>
      </c>
      <c r="B3012" t="n">
        <v>2025</v>
      </c>
      <c r="C3012" t="inlineStr">
        <is>
          <t>December</t>
        </is>
      </c>
      <c r="D3012" t="inlineStr">
        <is>
          <t>Ultra Backpack</t>
        </is>
      </c>
      <c r="E3012" t="inlineStr">
        <is>
          <t>Sports &amp; Outdoors</t>
        </is>
      </c>
      <c r="F3012" t="inlineStr">
        <is>
          <t>Thomas Wojcik</t>
        </is>
      </c>
      <c r="G3012" t="inlineStr">
        <is>
          <t>Spain</t>
        </is>
      </c>
      <c r="H3012" t="inlineStr">
        <is>
          <t>Web Store</t>
        </is>
      </c>
      <c r="I3012" t="n">
        <v>4</v>
      </c>
      <c r="J3012" s="3" t="n">
        <v>1185.56</v>
      </c>
      <c r="K3012" s="3" t="n">
        <v>177.83</v>
      </c>
      <c r="L3012" s="3" t="n">
        <v>1007.73</v>
      </c>
      <c r="M3012" s="3" t="n">
        <v>694.76</v>
      </c>
      <c r="N3012" s="3" t="n">
        <v>312.97</v>
      </c>
      <c r="O3012">
        <f>TEXT(A3012,"yyyy-mm")</f>
        <v/>
      </c>
    </row>
    <row r="3013">
      <c r="A3013" s="2" t="n">
        <v>45995</v>
      </c>
      <c r="B3013" t="n">
        <v>2025</v>
      </c>
      <c r="C3013" t="inlineStr">
        <is>
          <t>December</t>
        </is>
      </c>
      <c r="D3013" t="inlineStr">
        <is>
          <t>Essential Vitamins</t>
        </is>
      </c>
      <c r="E3013" t="inlineStr">
        <is>
          <t>Beauty &amp; Health</t>
        </is>
      </c>
      <c r="F3013" t="inlineStr">
        <is>
          <t>Thomas Wojcik</t>
        </is>
      </c>
      <c r="G3013" t="inlineStr">
        <is>
          <t>Spain</t>
        </is>
      </c>
      <c r="H3013" t="inlineStr">
        <is>
          <t>Web Store</t>
        </is>
      </c>
      <c r="I3013" t="n">
        <v>3</v>
      </c>
      <c r="J3013" s="3" t="n">
        <v>491.7</v>
      </c>
      <c r="K3013" s="3" t="n">
        <v>98.34</v>
      </c>
      <c r="L3013" s="3" t="n">
        <v>393.36</v>
      </c>
      <c r="M3013" s="3" t="n">
        <v>330.9</v>
      </c>
      <c r="N3013" s="3" t="n">
        <v>62.46</v>
      </c>
      <c r="O3013">
        <f>TEXT(A3013,"yyyy-mm")</f>
        <v/>
      </c>
    </row>
    <row r="3014">
      <c r="A3014" s="2" t="n">
        <v>45996</v>
      </c>
      <c r="B3014" t="n">
        <v>2025</v>
      </c>
      <c r="C3014" t="inlineStr">
        <is>
          <t>December</t>
        </is>
      </c>
      <c r="D3014" t="inlineStr">
        <is>
          <t>Premium Tent</t>
        </is>
      </c>
      <c r="E3014" t="inlineStr">
        <is>
          <t>Sports &amp; Outdoors</t>
        </is>
      </c>
      <c r="F3014" t="inlineStr">
        <is>
          <t>Thomas Schmidt</t>
        </is>
      </c>
      <c r="G3014" t="inlineStr">
        <is>
          <t>France</t>
        </is>
      </c>
      <c r="H3014" t="inlineStr">
        <is>
          <t>Mobile App</t>
        </is>
      </c>
      <c r="I3014" t="n">
        <v>2</v>
      </c>
      <c r="J3014" s="3" t="n">
        <v>527.78</v>
      </c>
      <c r="K3014" s="3" t="n">
        <v>0</v>
      </c>
      <c r="L3014" s="3" t="n">
        <v>527.78</v>
      </c>
      <c r="M3014" s="3" t="n">
        <v>278.08</v>
      </c>
      <c r="N3014" s="3" t="n">
        <v>249.7</v>
      </c>
      <c r="O3014">
        <f>TEXT(A3014,"yyyy-mm")</f>
        <v/>
      </c>
    </row>
    <row r="3015">
      <c r="A3015" s="2" t="n">
        <v>45996</v>
      </c>
      <c r="B3015" t="n">
        <v>2025</v>
      </c>
      <c r="C3015" t="inlineStr">
        <is>
          <t>December</t>
        </is>
      </c>
      <c r="D3015" t="inlineStr">
        <is>
          <t>Smart Drone</t>
        </is>
      </c>
      <c r="E3015" t="inlineStr">
        <is>
          <t>Toys &amp; Games</t>
        </is>
      </c>
      <c r="F3015" t="inlineStr">
        <is>
          <t>Thomas Schmidt</t>
        </is>
      </c>
      <c r="G3015" t="inlineStr">
        <is>
          <t>France</t>
        </is>
      </c>
      <c r="H3015" t="inlineStr">
        <is>
          <t>Mobile App</t>
        </is>
      </c>
      <c r="I3015" t="n">
        <v>4</v>
      </c>
      <c r="J3015" s="3" t="n">
        <v>850.72</v>
      </c>
      <c r="K3015" s="3" t="n">
        <v>0</v>
      </c>
      <c r="L3015" s="3" t="n">
        <v>850.72</v>
      </c>
      <c r="M3015" s="3" t="n">
        <v>507.8</v>
      </c>
      <c r="N3015" s="3" t="n">
        <v>342.92</v>
      </c>
      <c r="O3015">
        <f>TEXT(A3015,"yyyy-mm")</f>
        <v/>
      </c>
    </row>
    <row r="3016">
      <c r="A3016" s="2" t="n">
        <v>45996</v>
      </c>
      <c r="B3016" t="n">
        <v>2025</v>
      </c>
      <c r="C3016" t="inlineStr">
        <is>
          <t>December</t>
        </is>
      </c>
      <c r="D3016" t="inlineStr">
        <is>
          <t>Ultra Backpack</t>
        </is>
      </c>
      <c r="E3016" t="inlineStr">
        <is>
          <t>Sports &amp; Outdoors</t>
        </is>
      </c>
      <c r="F3016" t="inlineStr">
        <is>
          <t>Sophie Garcia</t>
        </is>
      </c>
      <c r="G3016" t="inlineStr">
        <is>
          <t>France</t>
        </is>
      </c>
      <c r="H3016" t="inlineStr">
        <is>
          <t>Marketplace</t>
        </is>
      </c>
      <c r="I3016" t="n">
        <v>1</v>
      </c>
      <c r="J3016" s="3" t="n">
        <v>306.38</v>
      </c>
      <c r="K3016" s="3" t="n">
        <v>30.64</v>
      </c>
      <c r="L3016" s="3" t="n">
        <v>275.74</v>
      </c>
      <c r="M3016" s="3" t="n">
        <v>173.69</v>
      </c>
      <c r="N3016" s="3" t="n">
        <v>102.05</v>
      </c>
      <c r="O3016">
        <f>TEXT(A3016,"yyyy-mm")</f>
        <v/>
      </c>
    </row>
    <row r="3017">
      <c r="A3017" s="2" t="n">
        <v>45996</v>
      </c>
      <c r="B3017" t="n">
        <v>2025</v>
      </c>
      <c r="C3017" t="inlineStr">
        <is>
          <t>December</t>
        </is>
      </c>
      <c r="D3017" t="inlineStr">
        <is>
          <t>Deluxe Cookbook</t>
        </is>
      </c>
      <c r="E3017" t="inlineStr">
        <is>
          <t>Books</t>
        </is>
      </c>
      <c r="F3017" t="inlineStr">
        <is>
          <t>Sophie Bianchi</t>
        </is>
      </c>
      <c r="G3017" t="inlineStr">
        <is>
          <t>United States</t>
        </is>
      </c>
      <c r="H3017" t="inlineStr">
        <is>
          <t>Mobile App</t>
        </is>
      </c>
      <c r="I3017" t="n">
        <v>3</v>
      </c>
      <c r="J3017" s="3" t="n">
        <v>419.64</v>
      </c>
      <c r="K3017" s="3" t="n">
        <v>62.95</v>
      </c>
      <c r="L3017" s="3" t="n">
        <v>356.69</v>
      </c>
      <c r="M3017" s="3" t="n">
        <v>255.81</v>
      </c>
      <c r="N3017" s="3" t="n">
        <v>100.88</v>
      </c>
      <c r="O3017">
        <f>TEXT(A3017,"yyyy-mm")</f>
        <v/>
      </c>
    </row>
    <row r="3018">
      <c r="A3018" s="2" t="n">
        <v>45996</v>
      </c>
      <c r="B3018" t="n">
        <v>2025</v>
      </c>
      <c r="C3018" t="inlineStr">
        <is>
          <t>December</t>
        </is>
      </c>
      <c r="D3018" t="inlineStr">
        <is>
          <t>Premium Tent</t>
        </is>
      </c>
      <c r="E3018" t="inlineStr">
        <is>
          <t>Sports &amp; Outdoors</t>
        </is>
      </c>
      <c r="F3018" t="inlineStr">
        <is>
          <t>Sophie Bianchi</t>
        </is>
      </c>
      <c r="G3018" t="inlineStr">
        <is>
          <t>United States</t>
        </is>
      </c>
      <c r="H3018" t="inlineStr">
        <is>
          <t>Mobile App</t>
        </is>
      </c>
      <c r="I3018" t="n">
        <v>3</v>
      </c>
      <c r="J3018" s="3" t="n">
        <v>779.61</v>
      </c>
      <c r="K3018" s="3" t="n">
        <v>116.94</v>
      </c>
      <c r="L3018" s="3" t="n">
        <v>662.67</v>
      </c>
      <c r="M3018" s="3" t="n">
        <v>417.12</v>
      </c>
      <c r="N3018" s="3" t="n">
        <v>245.55</v>
      </c>
      <c r="O3018">
        <f>TEXT(A3018,"yyyy-mm")</f>
        <v/>
      </c>
    </row>
    <row r="3019">
      <c r="A3019" s="2" t="n">
        <v>45996</v>
      </c>
      <c r="B3019" t="n">
        <v>2025</v>
      </c>
      <c r="C3019" t="inlineStr">
        <is>
          <t>December</t>
        </is>
      </c>
      <c r="D3019" t="inlineStr">
        <is>
          <t>Ultra Rug</t>
        </is>
      </c>
      <c r="E3019" t="inlineStr">
        <is>
          <t>Home &amp; Garden</t>
        </is>
      </c>
      <c r="F3019" t="inlineStr">
        <is>
          <t>Laura Johnson</t>
        </is>
      </c>
      <c r="G3019" t="inlineStr">
        <is>
          <t>Germany</t>
        </is>
      </c>
      <c r="H3019" t="inlineStr">
        <is>
          <t>Retail Store</t>
        </is>
      </c>
      <c r="I3019" t="n">
        <v>4</v>
      </c>
      <c r="J3019" s="3" t="n">
        <v>205.04</v>
      </c>
      <c r="K3019" s="3" t="n">
        <v>10.25</v>
      </c>
      <c r="L3019" s="3" t="n">
        <v>194.79</v>
      </c>
      <c r="M3019" s="3" t="n">
        <v>131.64</v>
      </c>
      <c r="N3019" s="3" t="n">
        <v>63.15</v>
      </c>
      <c r="O3019">
        <f>TEXT(A3019,"yyyy-mm")</f>
        <v/>
      </c>
    </row>
    <row r="3020">
      <c r="A3020" s="2" t="n">
        <v>45996</v>
      </c>
      <c r="B3020" t="n">
        <v>2025</v>
      </c>
      <c r="C3020" t="inlineStr">
        <is>
          <t>December</t>
        </is>
      </c>
      <c r="D3020" t="inlineStr">
        <is>
          <t>Essential Vitamins</t>
        </is>
      </c>
      <c r="E3020" t="inlineStr">
        <is>
          <t>Beauty &amp; Health</t>
        </is>
      </c>
      <c r="F3020" t="inlineStr">
        <is>
          <t>Laura Johnson</t>
        </is>
      </c>
      <c r="G3020" t="inlineStr">
        <is>
          <t>Germany</t>
        </is>
      </c>
      <c r="H3020" t="inlineStr">
        <is>
          <t>Retail Store</t>
        </is>
      </c>
      <c r="I3020" t="n">
        <v>1</v>
      </c>
      <c r="J3020" s="3" t="n">
        <v>172.25</v>
      </c>
      <c r="K3020" s="3" t="n">
        <v>25.84</v>
      </c>
      <c r="L3020" s="3" t="n">
        <v>146.41</v>
      </c>
      <c r="M3020" s="3" t="n">
        <v>110.3</v>
      </c>
      <c r="N3020" s="3" t="n">
        <v>36.11</v>
      </c>
      <c r="O3020">
        <f>TEXT(A3020,"yyyy-mm")</f>
        <v/>
      </c>
    </row>
    <row r="3021">
      <c r="A3021" s="2" t="n">
        <v>45996</v>
      </c>
      <c r="B3021" t="n">
        <v>2025</v>
      </c>
      <c r="C3021" t="inlineStr">
        <is>
          <t>December</t>
        </is>
      </c>
      <c r="D3021" t="inlineStr">
        <is>
          <t>Smart Cookbook</t>
        </is>
      </c>
      <c r="E3021" t="inlineStr">
        <is>
          <t>Books</t>
        </is>
      </c>
      <c r="F3021" t="inlineStr">
        <is>
          <t>Laura Johnson</t>
        </is>
      </c>
      <c r="G3021" t="inlineStr">
        <is>
          <t>Germany</t>
        </is>
      </c>
      <c r="H3021" t="inlineStr">
        <is>
          <t>Retail Store</t>
        </is>
      </c>
      <c r="I3021" t="n">
        <v>3</v>
      </c>
      <c r="J3021" s="3" t="n">
        <v>51.75</v>
      </c>
      <c r="K3021" s="3" t="n">
        <v>5.18</v>
      </c>
      <c r="L3021" s="3" t="n">
        <v>46.58</v>
      </c>
      <c r="M3021" s="3" t="n">
        <v>29.64</v>
      </c>
      <c r="N3021" s="3" t="n">
        <v>16.94</v>
      </c>
      <c r="O3021">
        <f>TEXT(A3021,"yyyy-mm")</f>
        <v/>
      </c>
    </row>
    <row r="3022">
      <c r="A3022" s="2" t="n">
        <v>45996</v>
      </c>
      <c r="B3022" t="n">
        <v>2025</v>
      </c>
      <c r="C3022" t="inlineStr">
        <is>
          <t>December</t>
        </is>
      </c>
      <c r="D3022" t="inlineStr">
        <is>
          <t>Wireless Coffee Beans</t>
        </is>
      </c>
      <c r="E3022" t="inlineStr">
        <is>
          <t>Grocery</t>
        </is>
      </c>
      <c r="F3022" t="inlineStr">
        <is>
          <t>Olivia Weber</t>
        </is>
      </c>
      <c r="G3022" t="inlineStr">
        <is>
          <t>United States</t>
        </is>
      </c>
      <c r="H3022" t="inlineStr">
        <is>
          <t>Marketplace</t>
        </is>
      </c>
      <c r="I3022" t="n">
        <v>4</v>
      </c>
      <c r="J3022" s="3" t="n">
        <v>485.76</v>
      </c>
      <c r="K3022" s="3" t="n">
        <v>48.58</v>
      </c>
      <c r="L3022" s="3" t="n">
        <v>437.18</v>
      </c>
      <c r="M3022" s="3" t="n">
        <v>317.48</v>
      </c>
      <c r="N3022" s="3" t="n">
        <v>119.7</v>
      </c>
      <c r="O3022">
        <f>TEXT(A3022,"yyyy-mm")</f>
        <v/>
      </c>
    </row>
    <row r="3023">
      <c r="A3023" s="2" t="n">
        <v>45996</v>
      </c>
      <c r="B3023" t="n">
        <v>2025</v>
      </c>
      <c r="C3023" t="inlineStr">
        <is>
          <t>December</t>
        </is>
      </c>
      <c r="D3023" t="inlineStr">
        <is>
          <t>Essential Vitamins</t>
        </is>
      </c>
      <c r="E3023" t="inlineStr">
        <is>
          <t>Beauty &amp; Health</t>
        </is>
      </c>
      <c r="F3023" t="inlineStr">
        <is>
          <t>Olivia Weber</t>
        </is>
      </c>
      <c r="G3023" t="inlineStr">
        <is>
          <t>United States</t>
        </is>
      </c>
      <c r="H3023" t="inlineStr">
        <is>
          <t>Marketplace</t>
        </is>
      </c>
      <c r="I3023" t="n">
        <v>4</v>
      </c>
      <c r="J3023" s="3" t="n">
        <v>670</v>
      </c>
      <c r="K3023" s="3" t="n">
        <v>67</v>
      </c>
      <c r="L3023" s="3" t="n">
        <v>603</v>
      </c>
      <c r="M3023" s="3" t="n">
        <v>441.2</v>
      </c>
      <c r="N3023" s="3" t="n">
        <v>161.8</v>
      </c>
      <c r="O3023">
        <f>TEXT(A3023,"yyyy-mm")</f>
        <v/>
      </c>
    </row>
    <row r="3024">
      <c r="A3024" s="2" t="n">
        <v>45997</v>
      </c>
      <c r="B3024" t="n">
        <v>2025</v>
      </c>
      <c r="C3024" t="inlineStr">
        <is>
          <t>December</t>
        </is>
      </c>
      <c r="D3024" t="inlineStr">
        <is>
          <t>Portable Toolset</t>
        </is>
      </c>
      <c r="E3024" t="inlineStr">
        <is>
          <t>Home &amp; Garden</t>
        </is>
      </c>
      <c r="F3024" t="inlineStr">
        <is>
          <t>Clara Muller</t>
        </is>
      </c>
      <c r="G3024" t="inlineStr">
        <is>
          <t>Germany</t>
        </is>
      </c>
      <c r="H3024" t="inlineStr">
        <is>
          <t>Mobile App</t>
        </is>
      </c>
      <c r="I3024" t="n">
        <v>4</v>
      </c>
      <c r="J3024" s="3" t="n">
        <v>357.48</v>
      </c>
      <c r="K3024" s="3" t="n">
        <v>35.75</v>
      </c>
      <c r="L3024" s="3" t="n">
        <v>321.73</v>
      </c>
      <c r="M3024" s="3" t="n">
        <v>202.16</v>
      </c>
      <c r="N3024" s="3" t="n">
        <v>119.57</v>
      </c>
      <c r="O3024">
        <f>TEXT(A3024,"yyyy-mm")</f>
        <v/>
      </c>
    </row>
    <row r="3025">
      <c r="A3025" s="2" t="n">
        <v>45997</v>
      </c>
      <c r="B3025" t="n">
        <v>2025</v>
      </c>
      <c r="C3025" t="inlineStr">
        <is>
          <t>December</t>
        </is>
      </c>
      <c r="D3025" t="inlineStr">
        <is>
          <t>Eco Backpack</t>
        </is>
      </c>
      <c r="E3025" t="inlineStr">
        <is>
          <t>Sports &amp; Outdoors</t>
        </is>
      </c>
      <c r="F3025" t="inlineStr">
        <is>
          <t>Thomas Bianchi</t>
        </is>
      </c>
      <c r="G3025" t="inlineStr">
        <is>
          <t>Germany</t>
        </is>
      </c>
      <c r="H3025" t="inlineStr">
        <is>
          <t>Web Store</t>
        </is>
      </c>
      <c r="I3025" t="n">
        <v>2</v>
      </c>
      <c r="J3025" s="3" t="n">
        <v>503.92</v>
      </c>
      <c r="K3025" s="3" t="n">
        <v>0</v>
      </c>
      <c r="L3025" s="3" t="n">
        <v>503.92</v>
      </c>
      <c r="M3025" s="3" t="n">
        <v>293.16</v>
      </c>
      <c r="N3025" s="3" t="n">
        <v>210.76</v>
      </c>
      <c r="O3025">
        <f>TEXT(A3025,"yyyy-mm")</f>
        <v/>
      </c>
    </row>
    <row r="3026">
      <c r="A3026" s="2" t="n">
        <v>45997</v>
      </c>
      <c r="B3026" t="n">
        <v>2025</v>
      </c>
      <c r="C3026" t="inlineStr">
        <is>
          <t>December</t>
        </is>
      </c>
      <c r="D3026" t="inlineStr">
        <is>
          <t>Smart Puzzle</t>
        </is>
      </c>
      <c r="E3026" t="inlineStr">
        <is>
          <t>Toys &amp; Games</t>
        </is>
      </c>
      <c r="F3026" t="inlineStr">
        <is>
          <t>Michael Nowak</t>
        </is>
      </c>
      <c r="G3026" t="inlineStr">
        <is>
          <t>Spain</t>
        </is>
      </c>
      <c r="H3026" t="inlineStr">
        <is>
          <t>Retail Store</t>
        </is>
      </c>
      <c r="I3026" t="n">
        <v>2</v>
      </c>
      <c r="J3026" s="3" t="n">
        <v>87.02</v>
      </c>
      <c r="K3026" s="3" t="n">
        <v>0</v>
      </c>
      <c r="L3026" s="3" t="n">
        <v>87.02</v>
      </c>
      <c r="M3026" s="3" t="n">
        <v>48.88</v>
      </c>
      <c r="N3026" s="3" t="n">
        <v>38.14</v>
      </c>
      <c r="O3026">
        <f>TEXT(A3026,"yyyy-mm")</f>
        <v/>
      </c>
    </row>
    <row r="3027">
      <c r="A3027" s="2" t="n">
        <v>45997</v>
      </c>
      <c r="B3027" t="n">
        <v>2025</v>
      </c>
      <c r="C3027" t="inlineStr">
        <is>
          <t>December</t>
        </is>
      </c>
      <c r="D3027" t="inlineStr">
        <is>
          <t>Essential Pasta</t>
        </is>
      </c>
      <c r="E3027" t="inlineStr">
        <is>
          <t>Grocery</t>
        </is>
      </c>
      <c r="F3027" t="inlineStr">
        <is>
          <t>Michael Nowak</t>
        </is>
      </c>
      <c r="G3027" t="inlineStr">
        <is>
          <t>Spain</t>
        </is>
      </c>
      <c r="H3027" t="inlineStr">
        <is>
          <t>Retail Store</t>
        </is>
      </c>
      <c r="I3027" t="n">
        <v>4</v>
      </c>
      <c r="J3027" s="3" t="n">
        <v>218.64</v>
      </c>
      <c r="K3027" s="3" t="n">
        <v>10.93</v>
      </c>
      <c r="L3027" s="3" t="n">
        <v>207.71</v>
      </c>
      <c r="M3027" s="3" t="n">
        <v>143.24</v>
      </c>
      <c r="N3027" s="3" t="n">
        <v>64.47</v>
      </c>
      <c r="O3027">
        <f>TEXT(A3027,"yyyy-mm")</f>
        <v/>
      </c>
    </row>
    <row r="3028">
      <c r="A3028" s="2" t="n">
        <v>45997</v>
      </c>
      <c r="B3028" t="n">
        <v>2025</v>
      </c>
      <c r="C3028" t="inlineStr">
        <is>
          <t>December</t>
        </is>
      </c>
      <c r="D3028" t="inlineStr">
        <is>
          <t>Classic Sunscreen</t>
        </is>
      </c>
      <c r="E3028" t="inlineStr">
        <is>
          <t>Beauty &amp; Health</t>
        </is>
      </c>
      <c r="F3028" t="inlineStr">
        <is>
          <t>Clara Muller</t>
        </is>
      </c>
      <c r="G3028" t="inlineStr">
        <is>
          <t>Germany</t>
        </is>
      </c>
      <c r="H3028" t="inlineStr">
        <is>
          <t>Mobile App</t>
        </is>
      </c>
      <c r="I3028" t="n">
        <v>5</v>
      </c>
      <c r="J3028" s="3" t="n">
        <v>664.65</v>
      </c>
      <c r="K3028" s="3" t="n">
        <v>99.7</v>
      </c>
      <c r="L3028" s="3" t="n">
        <v>564.95</v>
      </c>
      <c r="M3028" s="3" t="n">
        <v>468.45</v>
      </c>
      <c r="N3028" s="3" t="n">
        <v>96.5</v>
      </c>
      <c r="O3028">
        <f>TEXT(A3028,"yyyy-mm")</f>
        <v/>
      </c>
    </row>
    <row r="3029">
      <c r="A3029" s="2" t="n">
        <v>45997</v>
      </c>
      <c r="B3029" t="n">
        <v>2025</v>
      </c>
      <c r="C3029" t="inlineStr">
        <is>
          <t>December</t>
        </is>
      </c>
      <c r="D3029" t="inlineStr">
        <is>
          <t>Smart Jeans</t>
        </is>
      </c>
      <c r="E3029" t="inlineStr">
        <is>
          <t>Clothing</t>
        </is>
      </c>
      <c r="F3029" t="inlineStr">
        <is>
          <t>Clara Muller</t>
        </is>
      </c>
      <c r="G3029" t="inlineStr">
        <is>
          <t>Germany</t>
        </is>
      </c>
      <c r="H3029" t="inlineStr">
        <is>
          <t>Mobile App</t>
        </is>
      </c>
      <c r="I3029" t="n">
        <v>3</v>
      </c>
      <c r="J3029" s="3" t="n">
        <v>853.59</v>
      </c>
      <c r="K3029" s="3" t="n">
        <v>0</v>
      </c>
      <c r="L3029" s="3" t="n">
        <v>853.59</v>
      </c>
      <c r="M3029" s="3" t="n">
        <v>580.92</v>
      </c>
      <c r="N3029" s="3" t="n">
        <v>272.67</v>
      </c>
      <c r="O3029">
        <f>TEXT(A3029,"yyyy-mm")</f>
        <v/>
      </c>
    </row>
    <row r="3030">
      <c r="A3030" s="2" t="n">
        <v>45997</v>
      </c>
      <c r="B3030" t="n">
        <v>2025</v>
      </c>
      <c r="C3030" t="inlineStr">
        <is>
          <t>December</t>
        </is>
      </c>
      <c r="D3030" t="inlineStr">
        <is>
          <t>Premium Water Bottle</t>
        </is>
      </c>
      <c r="E3030" t="inlineStr">
        <is>
          <t>Sports &amp; Outdoors</t>
        </is>
      </c>
      <c r="F3030" t="inlineStr">
        <is>
          <t>Clara Muller</t>
        </is>
      </c>
      <c r="G3030" t="inlineStr">
        <is>
          <t>Germany</t>
        </is>
      </c>
      <c r="H3030" t="inlineStr">
        <is>
          <t>Mobile App</t>
        </is>
      </c>
      <c r="I3030" t="n">
        <v>1</v>
      </c>
      <c r="J3030" s="3" t="n">
        <v>29.58</v>
      </c>
      <c r="K3030" s="3" t="n">
        <v>5.92</v>
      </c>
      <c r="L3030" s="3" t="n">
        <v>23.66</v>
      </c>
      <c r="M3030" s="3" t="n">
        <v>16.63</v>
      </c>
      <c r="N3030" s="3" t="n">
        <v>7.03</v>
      </c>
      <c r="O3030">
        <f>TEXT(A3030,"yyyy-mm")</f>
        <v/>
      </c>
    </row>
    <row r="3031">
      <c r="A3031" s="2" t="n">
        <v>45997</v>
      </c>
      <c r="B3031" t="n">
        <v>2025</v>
      </c>
      <c r="C3031" t="inlineStr">
        <is>
          <t>December</t>
        </is>
      </c>
      <c r="D3031" t="inlineStr">
        <is>
          <t>Ultra Rug</t>
        </is>
      </c>
      <c r="E3031" t="inlineStr">
        <is>
          <t>Home &amp; Garden</t>
        </is>
      </c>
      <c r="F3031" t="inlineStr">
        <is>
          <t>Thomas Bianchi</t>
        </is>
      </c>
      <c r="G3031" t="inlineStr">
        <is>
          <t>Germany</t>
        </is>
      </c>
      <c r="H3031" t="inlineStr">
        <is>
          <t>Web Store</t>
        </is>
      </c>
      <c r="I3031" t="n">
        <v>5</v>
      </c>
      <c r="J3031" s="3" t="n">
        <v>260.5</v>
      </c>
      <c r="K3031" s="3" t="n">
        <v>13.02</v>
      </c>
      <c r="L3031" s="3" t="n">
        <v>247.48</v>
      </c>
      <c r="M3031" s="3" t="n">
        <v>164.55</v>
      </c>
      <c r="N3031" s="3" t="n">
        <v>82.93000000000001</v>
      </c>
      <c r="O3031">
        <f>TEXT(A3031,"yyyy-mm")</f>
        <v/>
      </c>
    </row>
    <row r="3032">
      <c r="A3032" s="2" t="n">
        <v>45998</v>
      </c>
      <c r="B3032" t="n">
        <v>2025</v>
      </c>
      <c r="C3032" t="inlineStr">
        <is>
          <t>December</t>
        </is>
      </c>
      <c r="D3032" t="inlineStr">
        <is>
          <t>Smart Sweater</t>
        </is>
      </c>
      <c r="E3032" t="inlineStr">
        <is>
          <t>Clothing</t>
        </is>
      </c>
      <c r="F3032" t="inlineStr">
        <is>
          <t>Nina Fischer</t>
        </is>
      </c>
      <c r="G3032" t="inlineStr">
        <is>
          <t>Netherlands</t>
        </is>
      </c>
      <c r="H3032" t="inlineStr">
        <is>
          <t>Retail Store</t>
        </is>
      </c>
      <c r="I3032" t="n">
        <v>3</v>
      </c>
      <c r="J3032" s="3" t="n">
        <v>455.43</v>
      </c>
      <c r="K3032" s="3" t="n">
        <v>22.77</v>
      </c>
      <c r="L3032" s="3" t="n">
        <v>432.66</v>
      </c>
      <c r="M3032" s="3" t="n">
        <v>232.05</v>
      </c>
      <c r="N3032" s="3" t="n">
        <v>200.61</v>
      </c>
      <c r="O3032">
        <f>TEXT(A3032,"yyyy-mm")</f>
        <v/>
      </c>
    </row>
    <row r="3033">
      <c r="A3033" s="2" t="n">
        <v>45998</v>
      </c>
      <c r="B3033" t="n">
        <v>2025</v>
      </c>
      <c r="C3033" t="inlineStr">
        <is>
          <t>December</t>
        </is>
      </c>
      <c r="D3033" t="inlineStr">
        <is>
          <t>Portable Bike Helmet</t>
        </is>
      </c>
      <c r="E3033" t="inlineStr">
        <is>
          <t>Sports &amp; Outdoors</t>
        </is>
      </c>
      <c r="F3033" t="inlineStr">
        <is>
          <t>Nina Fischer</t>
        </is>
      </c>
      <c r="G3033" t="inlineStr">
        <is>
          <t>Netherlands</t>
        </is>
      </c>
      <c r="H3033" t="inlineStr">
        <is>
          <t>Retail Store</t>
        </is>
      </c>
      <c r="I3033" t="n">
        <v>4</v>
      </c>
      <c r="J3033" s="3" t="n">
        <v>1224.32</v>
      </c>
      <c r="K3033" s="3" t="n">
        <v>0</v>
      </c>
      <c r="L3033" s="3" t="n">
        <v>1224.32</v>
      </c>
      <c r="M3033" s="3" t="n">
        <v>661.48</v>
      </c>
      <c r="N3033" s="3" t="n">
        <v>562.84</v>
      </c>
      <c r="O3033">
        <f>TEXT(A3033,"yyyy-mm")</f>
        <v/>
      </c>
    </row>
    <row r="3034">
      <c r="A3034" s="2" t="n">
        <v>45998</v>
      </c>
      <c r="B3034" t="n">
        <v>2025</v>
      </c>
      <c r="C3034" t="inlineStr">
        <is>
          <t>December</t>
        </is>
      </c>
      <c r="D3034" t="inlineStr">
        <is>
          <t>Wireless Drone</t>
        </is>
      </c>
      <c r="E3034" t="inlineStr">
        <is>
          <t>Toys &amp; Games</t>
        </is>
      </c>
      <c r="F3034" t="inlineStr">
        <is>
          <t>Anna Dubois</t>
        </is>
      </c>
      <c r="G3034" t="inlineStr">
        <is>
          <t>Poland</t>
        </is>
      </c>
      <c r="H3034" t="inlineStr">
        <is>
          <t>Web Store</t>
        </is>
      </c>
      <c r="I3034" t="n">
        <v>4</v>
      </c>
      <c r="J3034" s="3" t="n">
        <v>921.2</v>
      </c>
      <c r="K3034" s="3" t="n">
        <v>184.24</v>
      </c>
      <c r="L3034" s="3" t="n">
        <v>736.96</v>
      </c>
      <c r="M3034" s="3" t="n">
        <v>525.16</v>
      </c>
      <c r="N3034" s="3" t="n">
        <v>211.8</v>
      </c>
      <c r="O3034">
        <f>TEXT(A3034,"yyyy-mm")</f>
        <v/>
      </c>
    </row>
    <row r="3035">
      <c r="A3035" s="2" t="n">
        <v>45998</v>
      </c>
      <c r="B3035" t="n">
        <v>2025</v>
      </c>
      <c r="C3035" t="inlineStr">
        <is>
          <t>December</t>
        </is>
      </c>
      <c r="D3035" t="inlineStr">
        <is>
          <t>Ultra Backpack</t>
        </is>
      </c>
      <c r="E3035" t="inlineStr">
        <is>
          <t>Sports &amp; Outdoors</t>
        </is>
      </c>
      <c r="F3035" t="inlineStr">
        <is>
          <t>Anna Dubois</t>
        </is>
      </c>
      <c r="G3035" t="inlineStr">
        <is>
          <t>Poland</t>
        </is>
      </c>
      <c r="H3035" t="inlineStr">
        <is>
          <t>Web Store</t>
        </is>
      </c>
      <c r="I3035" t="n">
        <v>2</v>
      </c>
      <c r="J3035" s="3" t="n">
        <v>594.02</v>
      </c>
      <c r="K3035" s="3" t="n">
        <v>59.4</v>
      </c>
      <c r="L3035" s="3" t="n">
        <v>534.62</v>
      </c>
      <c r="M3035" s="3" t="n">
        <v>347.38</v>
      </c>
      <c r="N3035" s="3" t="n">
        <v>187.24</v>
      </c>
      <c r="O3035">
        <f>TEXT(A3035,"yyyy-mm")</f>
        <v/>
      </c>
    </row>
    <row r="3036">
      <c r="A3036" s="2" t="n">
        <v>45998</v>
      </c>
      <c r="B3036" t="n">
        <v>2025</v>
      </c>
      <c r="C3036" t="inlineStr">
        <is>
          <t>December</t>
        </is>
      </c>
      <c r="D3036" t="inlineStr">
        <is>
          <t>Classic Sunscreen</t>
        </is>
      </c>
      <c r="E3036" t="inlineStr">
        <is>
          <t>Beauty &amp; Health</t>
        </is>
      </c>
      <c r="F3036" t="inlineStr">
        <is>
          <t>Anna Dubois</t>
        </is>
      </c>
      <c r="G3036" t="inlineStr">
        <is>
          <t>Poland</t>
        </is>
      </c>
      <c r="H3036" t="inlineStr">
        <is>
          <t>Web Store</t>
        </is>
      </c>
      <c r="I3036" t="n">
        <v>2</v>
      </c>
      <c r="J3036" s="3" t="n">
        <v>289.62</v>
      </c>
      <c r="K3036" s="3" t="n">
        <v>28.96</v>
      </c>
      <c r="L3036" s="3" t="n">
        <v>260.66</v>
      </c>
      <c r="M3036" s="3" t="n">
        <v>187.38</v>
      </c>
      <c r="N3036" s="3" t="n">
        <v>73.28</v>
      </c>
      <c r="O3036">
        <f>TEXT(A3036,"yyyy-mm")</f>
        <v/>
      </c>
    </row>
    <row r="3037">
      <c r="A3037" s="2" t="n">
        <v>45998</v>
      </c>
      <c r="B3037" t="n">
        <v>2025</v>
      </c>
      <c r="C3037" t="inlineStr">
        <is>
          <t>December</t>
        </is>
      </c>
      <c r="D3037" t="inlineStr">
        <is>
          <t>Premium Water Bottle</t>
        </is>
      </c>
      <c r="E3037" t="inlineStr">
        <is>
          <t>Sports &amp; Outdoors</t>
        </is>
      </c>
      <c r="F3037" t="inlineStr">
        <is>
          <t>Anna Dubois</t>
        </is>
      </c>
      <c r="G3037" t="inlineStr">
        <is>
          <t>Poland</t>
        </is>
      </c>
      <c r="H3037" t="inlineStr">
        <is>
          <t>Web Store</t>
        </is>
      </c>
      <c r="I3037" t="n">
        <v>5</v>
      </c>
      <c r="J3037" s="3" t="n">
        <v>1588.9</v>
      </c>
      <c r="K3037" s="3" t="n">
        <v>238.33</v>
      </c>
      <c r="L3037" s="3" t="n">
        <v>1350.56</v>
      </c>
      <c r="M3037" s="3" t="n">
        <v>905.8</v>
      </c>
      <c r="N3037" s="3" t="n">
        <v>444.76</v>
      </c>
      <c r="O3037">
        <f>TEXT(A3037,"yyyy-mm")</f>
        <v/>
      </c>
    </row>
    <row r="3038">
      <c r="A3038" s="2" t="n">
        <v>45999</v>
      </c>
      <c r="B3038" t="n">
        <v>2025</v>
      </c>
      <c r="C3038" t="inlineStr">
        <is>
          <t>December</t>
        </is>
      </c>
      <c r="D3038" t="inlineStr">
        <is>
          <t>Wireless Drone</t>
        </is>
      </c>
      <c r="E3038" t="inlineStr">
        <is>
          <t>Toys &amp; Games</t>
        </is>
      </c>
      <c r="F3038" t="inlineStr">
        <is>
          <t>David Weber</t>
        </is>
      </c>
      <c r="G3038" t="inlineStr">
        <is>
          <t>Germany</t>
        </is>
      </c>
      <c r="H3038" t="inlineStr">
        <is>
          <t>Mobile App</t>
        </is>
      </c>
      <c r="I3038" t="n">
        <v>3</v>
      </c>
      <c r="J3038" s="3" t="n">
        <v>681.33</v>
      </c>
      <c r="K3038" s="3" t="n">
        <v>0</v>
      </c>
      <c r="L3038" s="3" t="n">
        <v>681.33</v>
      </c>
      <c r="M3038" s="3" t="n">
        <v>393.87</v>
      </c>
      <c r="N3038" s="3" t="n">
        <v>287.46</v>
      </c>
      <c r="O3038">
        <f>TEXT(A3038,"yyyy-mm")</f>
        <v/>
      </c>
    </row>
    <row r="3039">
      <c r="A3039" s="2" t="n">
        <v>45999</v>
      </c>
      <c r="B3039" t="n">
        <v>2025</v>
      </c>
      <c r="C3039" t="inlineStr">
        <is>
          <t>December</t>
        </is>
      </c>
      <c r="D3039" t="inlineStr">
        <is>
          <t>Wireless Coffee Beans</t>
        </is>
      </c>
      <c r="E3039" t="inlineStr">
        <is>
          <t>Grocery</t>
        </is>
      </c>
      <c r="F3039" t="inlineStr">
        <is>
          <t>Clara Nowak</t>
        </is>
      </c>
      <c r="G3039" t="inlineStr">
        <is>
          <t>Italy</t>
        </is>
      </c>
      <c r="H3039" t="inlineStr">
        <is>
          <t>Web Store</t>
        </is>
      </c>
      <c r="I3039" t="n">
        <v>4</v>
      </c>
      <c r="J3039" s="3" t="n">
        <v>502.32</v>
      </c>
      <c r="K3039" s="3" t="n">
        <v>0</v>
      </c>
      <c r="L3039" s="3" t="n">
        <v>502.32</v>
      </c>
      <c r="M3039" s="3" t="n">
        <v>317.48</v>
      </c>
      <c r="N3039" s="3" t="n">
        <v>184.84</v>
      </c>
      <c r="O3039">
        <f>TEXT(A3039,"yyyy-mm")</f>
        <v/>
      </c>
    </row>
    <row r="3040">
      <c r="A3040" s="2" t="n">
        <v>45999</v>
      </c>
      <c r="B3040" t="n">
        <v>2025</v>
      </c>
      <c r="C3040" t="inlineStr">
        <is>
          <t>December</t>
        </is>
      </c>
      <c r="D3040" t="inlineStr">
        <is>
          <t>Ultra Toolset</t>
        </is>
      </c>
      <c r="E3040" t="inlineStr">
        <is>
          <t>Home &amp; Garden</t>
        </is>
      </c>
      <c r="F3040" t="inlineStr">
        <is>
          <t>David Weber</t>
        </is>
      </c>
      <c r="G3040" t="inlineStr">
        <is>
          <t>Germany</t>
        </is>
      </c>
      <c r="H3040" t="inlineStr">
        <is>
          <t>Mobile App</t>
        </is>
      </c>
      <c r="I3040" t="n">
        <v>4</v>
      </c>
      <c r="J3040" s="3" t="n">
        <v>1448.4</v>
      </c>
      <c r="K3040" s="3" t="n">
        <v>72.42</v>
      </c>
      <c r="L3040" s="3" t="n">
        <v>1375.98</v>
      </c>
      <c r="M3040" s="3" t="n">
        <v>761.6</v>
      </c>
      <c r="N3040" s="3" t="n">
        <v>614.38</v>
      </c>
      <c r="O3040">
        <f>TEXT(A3040,"yyyy-mm")</f>
        <v/>
      </c>
    </row>
    <row r="3041">
      <c r="A3041" s="2" t="n">
        <v>45999</v>
      </c>
      <c r="B3041" t="n">
        <v>2025</v>
      </c>
      <c r="C3041" t="inlineStr">
        <is>
          <t>December</t>
        </is>
      </c>
      <c r="D3041" t="inlineStr">
        <is>
          <t>Classic Tea Set</t>
        </is>
      </c>
      <c r="E3041" t="inlineStr">
        <is>
          <t>Grocery</t>
        </is>
      </c>
      <c r="F3041" t="inlineStr">
        <is>
          <t>Clara Nowak</t>
        </is>
      </c>
      <c r="G3041" t="inlineStr">
        <is>
          <t>Italy</t>
        </is>
      </c>
      <c r="H3041" t="inlineStr">
        <is>
          <t>Web Store</t>
        </is>
      </c>
      <c r="I3041" t="n">
        <v>1</v>
      </c>
      <c r="J3041" s="3" t="n">
        <v>173.31</v>
      </c>
      <c r="K3041" s="3" t="n">
        <v>0</v>
      </c>
      <c r="L3041" s="3" t="n">
        <v>173.31</v>
      </c>
      <c r="M3041" s="3" t="n">
        <v>125.4</v>
      </c>
      <c r="N3041" s="3" t="n">
        <v>47.91</v>
      </c>
      <c r="O3041">
        <f>TEXT(A3041,"yyyy-mm")</f>
        <v/>
      </c>
    </row>
    <row r="3042">
      <c r="A3042" s="2" t="n">
        <v>45999</v>
      </c>
      <c r="B3042" t="n">
        <v>2025</v>
      </c>
      <c r="C3042" t="inlineStr">
        <is>
          <t>December</t>
        </is>
      </c>
      <c r="D3042" t="inlineStr">
        <is>
          <t>Premium Water Bottle</t>
        </is>
      </c>
      <c r="E3042" t="inlineStr">
        <is>
          <t>Sports &amp; Outdoors</t>
        </is>
      </c>
      <c r="F3042" t="inlineStr">
        <is>
          <t>Clara Nowak</t>
        </is>
      </c>
      <c r="G3042" t="inlineStr">
        <is>
          <t>Italy</t>
        </is>
      </c>
      <c r="H3042" t="inlineStr">
        <is>
          <t>Web Store</t>
        </is>
      </c>
      <c r="I3042" t="n">
        <v>3</v>
      </c>
      <c r="J3042" s="3" t="n">
        <v>351.87</v>
      </c>
      <c r="K3042" s="3" t="n">
        <v>35.19</v>
      </c>
      <c r="L3042" s="3" t="n">
        <v>316.68</v>
      </c>
      <c r="M3042" s="3" t="n">
        <v>268.86</v>
      </c>
      <c r="N3042" s="3" t="n">
        <v>47.82</v>
      </c>
      <c r="O3042">
        <f>TEXT(A3042,"yyyy-mm")</f>
        <v/>
      </c>
    </row>
    <row r="3043">
      <c r="A3043" s="2" t="n">
        <v>45999</v>
      </c>
      <c r="B3043" t="n">
        <v>2025</v>
      </c>
      <c r="C3043" t="inlineStr">
        <is>
          <t>December</t>
        </is>
      </c>
      <c r="D3043" t="inlineStr">
        <is>
          <t>Essential Rug</t>
        </is>
      </c>
      <c r="E3043" t="inlineStr">
        <is>
          <t>Home &amp; Garden</t>
        </is>
      </c>
      <c r="F3043" t="inlineStr">
        <is>
          <t>David Weber</t>
        </is>
      </c>
      <c r="G3043" t="inlineStr">
        <is>
          <t>Germany</t>
        </is>
      </c>
      <c r="H3043" t="inlineStr">
        <is>
          <t>Mobile App</t>
        </is>
      </c>
      <c r="I3043" t="n">
        <v>5</v>
      </c>
      <c r="J3043" s="3" t="n">
        <v>662.2</v>
      </c>
      <c r="K3043" s="3" t="n">
        <v>0</v>
      </c>
      <c r="L3043" s="3" t="n">
        <v>662.2</v>
      </c>
      <c r="M3043" s="3" t="n">
        <v>381.65</v>
      </c>
      <c r="N3043" s="3" t="n">
        <v>280.55</v>
      </c>
      <c r="O3043">
        <f>TEXT(A3043,"yyyy-mm")</f>
        <v/>
      </c>
    </row>
    <row r="3044">
      <c r="A3044" s="2" t="n">
        <v>46000</v>
      </c>
      <c r="B3044" t="n">
        <v>2025</v>
      </c>
      <c r="C3044" t="inlineStr">
        <is>
          <t>December</t>
        </is>
      </c>
      <c r="D3044" t="inlineStr">
        <is>
          <t>Smart Camera</t>
        </is>
      </c>
      <c r="E3044" t="inlineStr">
        <is>
          <t>Electronics</t>
        </is>
      </c>
      <c r="F3044" t="inlineStr">
        <is>
          <t>John Johnson</t>
        </is>
      </c>
      <c r="G3044" t="inlineStr">
        <is>
          <t>Spain</t>
        </is>
      </c>
      <c r="H3044" t="inlineStr">
        <is>
          <t>Marketplace</t>
        </is>
      </c>
      <c r="I3044" t="n">
        <v>3</v>
      </c>
      <c r="J3044" s="3" t="n">
        <v>379.8</v>
      </c>
      <c r="K3044" s="3" t="n">
        <v>0</v>
      </c>
      <c r="L3044" s="3" t="n">
        <v>379.8</v>
      </c>
      <c r="M3044" s="3" t="n">
        <v>256.74</v>
      </c>
      <c r="N3044" s="3" t="n">
        <v>123.06</v>
      </c>
      <c r="O3044">
        <f>TEXT(A3044,"yyyy-mm")</f>
        <v/>
      </c>
    </row>
    <row r="3045">
      <c r="A3045" s="2" t="n">
        <v>46000</v>
      </c>
      <c r="B3045" t="n">
        <v>2025</v>
      </c>
      <c r="C3045" t="inlineStr">
        <is>
          <t>December</t>
        </is>
      </c>
      <c r="D3045" t="inlineStr">
        <is>
          <t>Classic Charger</t>
        </is>
      </c>
      <c r="E3045" t="inlineStr">
        <is>
          <t>Electronics</t>
        </is>
      </c>
      <c r="F3045" t="inlineStr">
        <is>
          <t>John Johnson</t>
        </is>
      </c>
      <c r="G3045" t="inlineStr">
        <is>
          <t>Spain</t>
        </is>
      </c>
      <c r="H3045" t="inlineStr">
        <is>
          <t>Marketplace</t>
        </is>
      </c>
      <c r="I3045" t="n">
        <v>5</v>
      </c>
      <c r="J3045" s="3" t="n">
        <v>475.8</v>
      </c>
      <c r="K3045" s="3" t="n">
        <v>95.16</v>
      </c>
      <c r="L3045" s="3" t="n">
        <v>380.64</v>
      </c>
      <c r="M3045" s="3" t="n">
        <v>311.05</v>
      </c>
      <c r="N3045" s="3" t="n">
        <v>69.59</v>
      </c>
      <c r="O3045">
        <f>TEXT(A3045,"yyyy-mm")</f>
        <v/>
      </c>
    </row>
    <row r="3046">
      <c r="A3046" s="2" t="n">
        <v>46000</v>
      </c>
      <c r="B3046" t="n">
        <v>2025</v>
      </c>
      <c r="C3046" t="inlineStr">
        <is>
          <t>December</t>
        </is>
      </c>
      <c r="D3046" t="inlineStr">
        <is>
          <t>Smart Camera</t>
        </is>
      </c>
      <c r="E3046" t="inlineStr">
        <is>
          <t>Electronics</t>
        </is>
      </c>
      <c r="F3046" t="inlineStr">
        <is>
          <t>John Johnson</t>
        </is>
      </c>
      <c r="G3046" t="inlineStr">
        <is>
          <t>Spain</t>
        </is>
      </c>
      <c r="H3046" t="inlineStr">
        <is>
          <t>Marketplace</t>
        </is>
      </c>
      <c r="I3046" t="n">
        <v>3</v>
      </c>
      <c r="J3046" s="3" t="n">
        <v>891.6</v>
      </c>
      <c r="K3046" s="3" t="n">
        <v>44.58</v>
      </c>
      <c r="L3046" s="3" t="n">
        <v>847.02</v>
      </c>
      <c r="M3046" s="3" t="n">
        <v>502.2</v>
      </c>
      <c r="N3046" s="3" t="n">
        <v>344.82</v>
      </c>
      <c r="O3046">
        <f>TEXT(A3046,"yyyy-mm")</f>
        <v/>
      </c>
    </row>
    <row r="3047">
      <c r="A3047" s="2" t="n">
        <v>46000</v>
      </c>
      <c r="B3047" t="n">
        <v>2025</v>
      </c>
      <c r="C3047" t="inlineStr">
        <is>
          <t>December</t>
        </is>
      </c>
      <c r="D3047" t="inlineStr">
        <is>
          <t>Smart Drone</t>
        </is>
      </c>
      <c r="E3047" t="inlineStr">
        <is>
          <t>Toys &amp; Games</t>
        </is>
      </c>
      <c r="F3047" t="inlineStr">
        <is>
          <t>James Nowak</t>
        </is>
      </c>
      <c r="G3047" t="inlineStr">
        <is>
          <t>United States</t>
        </is>
      </c>
      <c r="H3047" t="inlineStr">
        <is>
          <t>Web Store</t>
        </is>
      </c>
      <c r="I3047" t="n">
        <v>2</v>
      </c>
      <c r="J3047" s="3" t="n">
        <v>440.4</v>
      </c>
      <c r="K3047" s="3" t="n">
        <v>88.08</v>
      </c>
      <c r="L3047" s="3" t="n">
        <v>352.32</v>
      </c>
      <c r="M3047" s="3" t="n">
        <v>253.9</v>
      </c>
      <c r="N3047" s="3" t="n">
        <v>98.42</v>
      </c>
      <c r="O3047">
        <f>TEXT(A3047,"yyyy-mm")</f>
        <v/>
      </c>
    </row>
    <row r="3048">
      <c r="A3048" s="2" t="n">
        <v>46000</v>
      </c>
      <c r="B3048" t="n">
        <v>2025</v>
      </c>
      <c r="C3048" t="inlineStr">
        <is>
          <t>December</t>
        </is>
      </c>
      <c r="D3048" t="inlineStr">
        <is>
          <t>Deluxe Smartwatch</t>
        </is>
      </c>
      <c r="E3048" t="inlineStr">
        <is>
          <t>Electronics</t>
        </is>
      </c>
      <c r="F3048" t="inlineStr">
        <is>
          <t>James Nowak</t>
        </is>
      </c>
      <c r="G3048" t="inlineStr">
        <is>
          <t>United States</t>
        </is>
      </c>
      <c r="H3048" t="inlineStr">
        <is>
          <t>Web Store</t>
        </is>
      </c>
      <c r="I3048" t="n">
        <v>4</v>
      </c>
      <c r="J3048" s="3" t="n">
        <v>668.84</v>
      </c>
      <c r="K3048" s="3" t="n">
        <v>133.77</v>
      </c>
      <c r="L3048" s="3" t="n">
        <v>535.0700000000001</v>
      </c>
      <c r="M3048" s="3" t="n">
        <v>490.88</v>
      </c>
      <c r="N3048" s="3" t="n">
        <v>44.19</v>
      </c>
      <c r="O3048">
        <f>TEXT(A3048,"yyyy-mm")</f>
        <v/>
      </c>
    </row>
    <row r="3049">
      <c r="A3049" s="2" t="n">
        <v>46001</v>
      </c>
      <c r="B3049" t="n">
        <v>2025</v>
      </c>
      <c r="C3049" t="inlineStr">
        <is>
          <t>December</t>
        </is>
      </c>
      <c r="D3049" t="inlineStr">
        <is>
          <t>Smart Tea Set</t>
        </is>
      </c>
      <c r="E3049" t="inlineStr">
        <is>
          <t>Grocery</t>
        </is>
      </c>
      <c r="F3049" t="inlineStr">
        <is>
          <t>Maria Rossi</t>
        </is>
      </c>
      <c r="G3049" t="inlineStr">
        <is>
          <t>Spain</t>
        </is>
      </c>
      <c r="H3049" t="inlineStr">
        <is>
          <t>Retail Store</t>
        </is>
      </c>
      <c r="I3049" t="n">
        <v>4</v>
      </c>
      <c r="J3049" s="3" t="n">
        <v>355.8</v>
      </c>
      <c r="K3049" s="3" t="n">
        <v>0</v>
      </c>
      <c r="L3049" s="3" t="n">
        <v>355.8</v>
      </c>
      <c r="M3049" s="3" t="n">
        <v>247.2</v>
      </c>
      <c r="N3049" s="3" t="n">
        <v>108.6</v>
      </c>
      <c r="O3049">
        <f>TEXT(A3049,"yyyy-mm")</f>
        <v/>
      </c>
    </row>
    <row r="3050">
      <c r="A3050" s="2" t="n">
        <v>46001</v>
      </c>
      <c r="B3050" t="n">
        <v>2025</v>
      </c>
      <c r="C3050" t="inlineStr">
        <is>
          <t>December</t>
        </is>
      </c>
      <c r="D3050" t="inlineStr">
        <is>
          <t>Smart Coffee Beans</t>
        </is>
      </c>
      <c r="E3050" t="inlineStr">
        <is>
          <t>Grocery</t>
        </is>
      </c>
      <c r="F3050" t="inlineStr">
        <is>
          <t>Maria Rossi</t>
        </is>
      </c>
      <c r="G3050" t="inlineStr">
        <is>
          <t>Spain</t>
        </is>
      </c>
      <c r="H3050" t="inlineStr">
        <is>
          <t>Retail Store</t>
        </is>
      </c>
      <c r="I3050" t="n">
        <v>2</v>
      </c>
      <c r="J3050" s="3" t="n">
        <v>221.62</v>
      </c>
      <c r="K3050" s="3" t="n">
        <v>0</v>
      </c>
      <c r="L3050" s="3" t="n">
        <v>221.62</v>
      </c>
      <c r="M3050" s="3" t="n">
        <v>145.7</v>
      </c>
      <c r="N3050" s="3" t="n">
        <v>75.92</v>
      </c>
      <c r="O3050">
        <f>TEXT(A3050,"yyyy-mm")</f>
        <v/>
      </c>
    </row>
    <row r="3051">
      <c r="A3051" s="2" t="n">
        <v>46001</v>
      </c>
      <c r="B3051" t="n">
        <v>2025</v>
      </c>
      <c r="C3051" t="inlineStr">
        <is>
          <t>December</t>
        </is>
      </c>
      <c r="D3051" t="inlineStr">
        <is>
          <t>Essential Pasta</t>
        </is>
      </c>
      <c r="E3051" t="inlineStr">
        <is>
          <t>Grocery</t>
        </is>
      </c>
      <c r="F3051" t="inlineStr">
        <is>
          <t>Nina Fischer</t>
        </is>
      </c>
      <c r="G3051" t="inlineStr">
        <is>
          <t>Poland</t>
        </is>
      </c>
      <c r="H3051" t="inlineStr">
        <is>
          <t>Mobile App</t>
        </is>
      </c>
      <c r="I3051" t="n">
        <v>5</v>
      </c>
      <c r="J3051" s="3" t="n">
        <v>283.8</v>
      </c>
      <c r="K3051" s="3" t="n">
        <v>0</v>
      </c>
      <c r="L3051" s="3" t="n">
        <v>283.8</v>
      </c>
      <c r="M3051" s="3" t="n">
        <v>179.05</v>
      </c>
      <c r="N3051" s="3" t="n">
        <v>104.75</v>
      </c>
      <c r="O3051">
        <f>TEXT(A3051,"yyyy-mm")</f>
        <v/>
      </c>
    </row>
    <row r="3052">
      <c r="A3052" s="2" t="n">
        <v>46001</v>
      </c>
      <c r="B3052" t="n">
        <v>2025</v>
      </c>
      <c r="C3052" t="inlineStr">
        <is>
          <t>December</t>
        </is>
      </c>
      <c r="D3052" t="inlineStr">
        <is>
          <t>Classic Coffee Beans</t>
        </is>
      </c>
      <c r="E3052" t="inlineStr">
        <is>
          <t>Grocery</t>
        </is>
      </c>
      <c r="F3052" t="inlineStr">
        <is>
          <t>David Nowak</t>
        </is>
      </c>
      <c r="G3052" t="inlineStr">
        <is>
          <t>United Kingdom</t>
        </is>
      </c>
      <c r="H3052" t="inlineStr">
        <is>
          <t>Marketplace</t>
        </is>
      </c>
      <c r="I3052" t="n">
        <v>2</v>
      </c>
      <c r="J3052" s="3" t="n">
        <v>657.6</v>
      </c>
      <c r="K3052" s="3" t="n">
        <v>0</v>
      </c>
      <c r="L3052" s="3" t="n">
        <v>657.6</v>
      </c>
      <c r="M3052" s="3" t="n">
        <v>389.52</v>
      </c>
      <c r="N3052" s="3" t="n">
        <v>268.08</v>
      </c>
      <c r="O3052">
        <f>TEXT(A3052,"yyyy-mm")</f>
        <v/>
      </c>
    </row>
    <row r="3053">
      <c r="A3053" s="2" t="n">
        <v>46001</v>
      </c>
      <c r="B3053" t="n">
        <v>2025</v>
      </c>
      <c r="C3053" t="inlineStr">
        <is>
          <t>December</t>
        </is>
      </c>
      <c r="D3053" t="inlineStr">
        <is>
          <t>Smart Board Game</t>
        </is>
      </c>
      <c r="E3053" t="inlineStr">
        <is>
          <t>Toys &amp; Games</t>
        </is>
      </c>
      <c r="F3053" t="inlineStr">
        <is>
          <t>David Nowak</t>
        </is>
      </c>
      <c r="G3053" t="inlineStr">
        <is>
          <t>United Kingdom</t>
        </is>
      </c>
      <c r="H3053" t="inlineStr">
        <is>
          <t>Marketplace</t>
        </is>
      </c>
      <c r="I3053" t="n">
        <v>1</v>
      </c>
      <c r="J3053" s="3" t="n">
        <v>137.46</v>
      </c>
      <c r="K3053" s="3" t="n">
        <v>6.87</v>
      </c>
      <c r="L3053" s="3" t="n">
        <v>130.59</v>
      </c>
      <c r="M3053" s="3" t="n">
        <v>91.72</v>
      </c>
      <c r="N3053" s="3" t="n">
        <v>38.87</v>
      </c>
      <c r="O3053">
        <f>TEXT(A3053,"yyyy-mm")</f>
        <v/>
      </c>
    </row>
    <row r="3054">
      <c r="A3054" s="2" t="n">
        <v>46001</v>
      </c>
      <c r="B3054" t="n">
        <v>2025</v>
      </c>
      <c r="C3054" t="inlineStr">
        <is>
          <t>December</t>
        </is>
      </c>
      <c r="D3054" t="inlineStr">
        <is>
          <t>Premium Water Bottle</t>
        </is>
      </c>
      <c r="E3054" t="inlineStr">
        <is>
          <t>Sports &amp; Outdoors</t>
        </is>
      </c>
      <c r="F3054" t="inlineStr">
        <is>
          <t>Mark Bianchi</t>
        </is>
      </c>
      <c r="G3054" t="inlineStr">
        <is>
          <t>Spain</t>
        </is>
      </c>
      <c r="H3054" t="inlineStr">
        <is>
          <t>Web Store</t>
        </is>
      </c>
      <c r="I3054" t="n">
        <v>5</v>
      </c>
      <c r="J3054" s="3" t="n">
        <v>1492.5</v>
      </c>
      <c r="K3054" s="3" t="n">
        <v>0</v>
      </c>
      <c r="L3054" s="3" t="n">
        <v>1492.5</v>
      </c>
      <c r="M3054" s="3" t="n">
        <v>905.8</v>
      </c>
      <c r="N3054" s="3" t="n">
        <v>586.7</v>
      </c>
      <c r="O3054">
        <f>TEXT(A3054,"yyyy-mm")</f>
        <v/>
      </c>
    </row>
    <row r="3055">
      <c r="A3055" s="2" t="n">
        <v>46001</v>
      </c>
      <c r="B3055" t="n">
        <v>2025</v>
      </c>
      <c r="C3055" t="inlineStr">
        <is>
          <t>December</t>
        </is>
      </c>
      <c r="D3055" t="inlineStr">
        <is>
          <t>Essential Planter</t>
        </is>
      </c>
      <c r="E3055" t="inlineStr">
        <is>
          <t>Home &amp; Garden</t>
        </is>
      </c>
      <c r="F3055" t="inlineStr">
        <is>
          <t>Mark Brown</t>
        </is>
      </c>
      <c r="G3055" t="inlineStr">
        <is>
          <t>Spain</t>
        </is>
      </c>
      <c r="H3055" t="inlineStr">
        <is>
          <t>Retail Store</t>
        </is>
      </c>
      <c r="I3055" t="n">
        <v>4</v>
      </c>
      <c r="J3055" s="3" t="n">
        <v>102.44</v>
      </c>
      <c r="K3055" s="3" t="n">
        <v>20.49</v>
      </c>
      <c r="L3055" s="3" t="n">
        <v>81.95</v>
      </c>
      <c r="M3055" s="3" t="n">
        <v>78.56</v>
      </c>
      <c r="N3055" s="3" t="n">
        <v>3.39</v>
      </c>
      <c r="O3055">
        <f>TEXT(A3055,"yyyy-mm")</f>
        <v/>
      </c>
    </row>
    <row r="3056">
      <c r="A3056" s="2" t="n">
        <v>46001</v>
      </c>
      <c r="B3056" t="n">
        <v>2025</v>
      </c>
      <c r="C3056" t="inlineStr">
        <is>
          <t>December</t>
        </is>
      </c>
      <c r="D3056" t="inlineStr">
        <is>
          <t>Portable Bike Helmet</t>
        </is>
      </c>
      <c r="E3056" t="inlineStr">
        <is>
          <t>Sports &amp; Outdoors</t>
        </is>
      </c>
      <c r="F3056" t="inlineStr">
        <is>
          <t>David Nowak</t>
        </is>
      </c>
      <c r="G3056" t="inlineStr">
        <is>
          <t>United Kingdom</t>
        </is>
      </c>
      <c r="H3056" t="inlineStr">
        <is>
          <t>Marketplace</t>
        </is>
      </c>
      <c r="I3056" t="n">
        <v>2</v>
      </c>
      <c r="J3056" s="3" t="n">
        <v>588.84</v>
      </c>
      <c r="K3056" s="3" t="n">
        <v>0</v>
      </c>
      <c r="L3056" s="3" t="n">
        <v>588.84</v>
      </c>
      <c r="M3056" s="3" t="n">
        <v>330.74</v>
      </c>
      <c r="N3056" s="3" t="n">
        <v>258.1</v>
      </c>
      <c r="O3056">
        <f>TEXT(A3056,"yyyy-mm")</f>
        <v/>
      </c>
    </row>
    <row r="3057">
      <c r="A3057" s="2" t="n">
        <v>46001</v>
      </c>
      <c r="B3057" t="n">
        <v>2025</v>
      </c>
      <c r="C3057" t="inlineStr">
        <is>
          <t>December</t>
        </is>
      </c>
      <c r="D3057" t="inlineStr">
        <is>
          <t>Essential Toolset</t>
        </is>
      </c>
      <c r="E3057" t="inlineStr">
        <is>
          <t>Home &amp; Garden</t>
        </is>
      </c>
      <c r="F3057" t="inlineStr">
        <is>
          <t>Mark Brown</t>
        </is>
      </c>
      <c r="G3057" t="inlineStr">
        <is>
          <t>Spain</t>
        </is>
      </c>
      <c r="H3057" t="inlineStr">
        <is>
          <t>Retail Store</t>
        </is>
      </c>
      <c r="I3057" t="n">
        <v>5</v>
      </c>
      <c r="J3057" s="3" t="n">
        <v>1003.05</v>
      </c>
      <c r="K3057" s="3" t="n">
        <v>150.46</v>
      </c>
      <c r="L3057" s="3" t="n">
        <v>852.59</v>
      </c>
      <c r="M3057" s="3" t="n">
        <v>752.65</v>
      </c>
      <c r="N3057" s="3" t="n">
        <v>99.94</v>
      </c>
      <c r="O3057">
        <f>TEXT(A3057,"yyyy-mm")</f>
        <v/>
      </c>
    </row>
    <row r="3058">
      <c r="A3058" s="2" t="n">
        <v>46001</v>
      </c>
      <c r="B3058" t="n">
        <v>2025</v>
      </c>
      <c r="C3058" t="inlineStr">
        <is>
          <t>December</t>
        </is>
      </c>
      <c r="D3058" t="inlineStr">
        <is>
          <t>Smart Puzzle</t>
        </is>
      </c>
      <c r="E3058" t="inlineStr">
        <is>
          <t>Toys &amp; Games</t>
        </is>
      </c>
      <c r="F3058" t="inlineStr">
        <is>
          <t>Maria Rossi</t>
        </is>
      </c>
      <c r="G3058" t="inlineStr">
        <is>
          <t>Spain</t>
        </is>
      </c>
      <c r="H3058" t="inlineStr">
        <is>
          <t>Retail Store</t>
        </is>
      </c>
      <c r="I3058" t="n">
        <v>1</v>
      </c>
      <c r="J3058" s="3" t="n">
        <v>46.09</v>
      </c>
      <c r="K3058" s="3" t="n">
        <v>0</v>
      </c>
      <c r="L3058" s="3" t="n">
        <v>46.09</v>
      </c>
      <c r="M3058" s="3" t="n">
        <v>24.44</v>
      </c>
      <c r="N3058" s="3" t="n">
        <v>21.65</v>
      </c>
      <c r="O3058">
        <f>TEXT(A3058,"yyyy-mm")</f>
        <v/>
      </c>
    </row>
    <row r="3059">
      <c r="A3059" s="2" t="n">
        <v>46001</v>
      </c>
      <c r="B3059" t="n">
        <v>2025</v>
      </c>
      <c r="C3059" t="inlineStr">
        <is>
          <t>December</t>
        </is>
      </c>
      <c r="D3059" t="inlineStr">
        <is>
          <t>Smart Olive Oil</t>
        </is>
      </c>
      <c r="E3059" t="inlineStr">
        <is>
          <t>Grocery</t>
        </is>
      </c>
      <c r="F3059" t="inlineStr">
        <is>
          <t>Mark Bianchi</t>
        </is>
      </c>
      <c r="G3059" t="inlineStr">
        <is>
          <t>Spain</t>
        </is>
      </c>
      <c r="H3059" t="inlineStr">
        <is>
          <t>Web Store</t>
        </is>
      </c>
      <c r="I3059" t="n">
        <v>2</v>
      </c>
      <c r="J3059" s="3" t="n">
        <v>315.12</v>
      </c>
      <c r="K3059" s="3" t="n">
        <v>0</v>
      </c>
      <c r="L3059" s="3" t="n">
        <v>315.12</v>
      </c>
      <c r="M3059" s="3" t="n">
        <v>220.04</v>
      </c>
      <c r="N3059" s="3" t="n">
        <v>95.08</v>
      </c>
      <c r="O3059">
        <f>TEXT(A3059,"yyyy-mm")</f>
        <v/>
      </c>
    </row>
    <row r="3060">
      <c r="A3060" s="2" t="n">
        <v>46001</v>
      </c>
      <c r="B3060" t="n">
        <v>2025</v>
      </c>
      <c r="C3060" t="inlineStr">
        <is>
          <t>December</t>
        </is>
      </c>
      <c r="D3060" t="inlineStr">
        <is>
          <t>Portable Puzzle</t>
        </is>
      </c>
      <c r="E3060" t="inlineStr">
        <is>
          <t>Toys &amp; Games</t>
        </is>
      </c>
      <c r="F3060" t="inlineStr">
        <is>
          <t>Mark Bianchi</t>
        </is>
      </c>
      <c r="G3060" t="inlineStr">
        <is>
          <t>Spain</t>
        </is>
      </c>
      <c r="H3060" t="inlineStr">
        <is>
          <t>Web Store</t>
        </is>
      </c>
      <c r="I3060" t="n">
        <v>3</v>
      </c>
      <c r="J3060" s="3" t="n">
        <v>969.24</v>
      </c>
      <c r="K3060" s="3" t="n">
        <v>193.85</v>
      </c>
      <c r="L3060" s="3" t="n">
        <v>775.39</v>
      </c>
      <c r="M3060" s="3" t="n">
        <v>520.98</v>
      </c>
      <c r="N3060" s="3" t="n">
        <v>254.41</v>
      </c>
      <c r="O3060">
        <f>TEXT(A3060,"yyyy-mm")</f>
        <v/>
      </c>
    </row>
    <row r="3061">
      <c r="A3061" s="2" t="n">
        <v>46001</v>
      </c>
      <c r="B3061" t="n">
        <v>2025</v>
      </c>
      <c r="C3061" t="inlineStr">
        <is>
          <t>December</t>
        </is>
      </c>
      <c r="D3061" t="inlineStr">
        <is>
          <t>Portable Speaker</t>
        </is>
      </c>
      <c r="E3061" t="inlineStr">
        <is>
          <t>Electronics</t>
        </is>
      </c>
      <c r="F3061" t="inlineStr">
        <is>
          <t>Maria Rossi</t>
        </is>
      </c>
      <c r="G3061" t="inlineStr">
        <is>
          <t>Spain</t>
        </is>
      </c>
      <c r="H3061" t="inlineStr">
        <is>
          <t>Retail Store</t>
        </is>
      </c>
      <c r="I3061" t="n">
        <v>3</v>
      </c>
      <c r="J3061" s="3" t="n">
        <v>969.12</v>
      </c>
      <c r="K3061" s="3" t="n">
        <v>145.37</v>
      </c>
      <c r="L3061" s="3" t="n">
        <v>823.75</v>
      </c>
      <c r="M3061" s="3" t="n">
        <v>524.49</v>
      </c>
      <c r="N3061" s="3" t="n">
        <v>299.26</v>
      </c>
      <c r="O3061">
        <f>TEXT(A3061,"yyyy-mm")</f>
        <v/>
      </c>
    </row>
    <row r="3062">
      <c r="A3062" s="2" t="n">
        <v>46001</v>
      </c>
      <c r="B3062" t="n">
        <v>2025</v>
      </c>
      <c r="C3062" t="inlineStr">
        <is>
          <t>December</t>
        </is>
      </c>
      <c r="D3062" t="inlineStr">
        <is>
          <t>Premium Tent</t>
        </is>
      </c>
      <c r="E3062" t="inlineStr">
        <is>
          <t>Sports &amp; Outdoors</t>
        </is>
      </c>
      <c r="F3062" t="inlineStr">
        <is>
          <t>Nina Fischer</t>
        </is>
      </c>
      <c r="G3062" t="inlineStr">
        <is>
          <t>Poland</t>
        </is>
      </c>
      <c r="H3062" t="inlineStr">
        <is>
          <t>Mobile App</t>
        </is>
      </c>
      <c r="I3062" t="n">
        <v>3</v>
      </c>
      <c r="J3062" s="3" t="n">
        <v>742.26</v>
      </c>
      <c r="K3062" s="3" t="n">
        <v>0</v>
      </c>
      <c r="L3062" s="3" t="n">
        <v>742.26</v>
      </c>
      <c r="M3062" s="3" t="n">
        <v>417.12</v>
      </c>
      <c r="N3062" s="3" t="n">
        <v>325.14</v>
      </c>
      <c r="O3062">
        <f>TEXT(A3062,"yyyy-mm")</f>
        <v/>
      </c>
    </row>
    <row r="3063">
      <c r="A3063" s="2" t="n">
        <v>46001</v>
      </c>
      <c r="B3063" t="n">
        <v>2025</v>
      </c>
      <c r="C3063" t="inlineStr">
        <is>
          <t>December</t>
        </is>
      </c>
      <c r="D3063" t="inlineStr">
        <is>
          <t>Smart Puzzle</t>
        </is>
      </c>
      <c r="E3063" t="inlineStr">
        <is>
          <t>Toys &amp; Games</t>
        </is>
      </c>
      <c r="F3063" t="inlineStr">
        <is>
          <t>Mark Brown</t>
        </is>
      </c>
      <c r="G3063" t="inlineStr">
        <is>
          <t>Spain</t>
        </is>
      </c>
      <c r="H3063" t="inlineStr">
        <is>
          <t>Retail Store</t>
        </is>
      </c>
      <c r="I3063" t="n">
        <v>3</v>
      </c>
      <c r="J3063" s="3" t="n">
        <v>821.79</v>
      </c>
      <c r="K3063" s="3" t="n">
        <v>41.09</v>
      </c>
      <c r="L3063" s="3" t="n">
        <v>780.7</v>
      </c>
      <c r="M3063" s="3" t="n">
        <v>578.28</v>
      </c>
      <c r="N3063" s="3" t="n">
        <v>202.42</v>
      </c>
      <c r="O3063">
        <f>TEXT(A3063,"yyyy-mm")</f>
        <v/>
      </c>
    </row>
    <row r="3064">
      <c r="A3064" s="2" t="n">
        <v>46001</v>
      </c>
      <c r="B3064" t="n">
        <v>2025</v>
      </c>
      <c r="C3064" t="inlineStr">
        <is>
          <t>December</t>
        </is>
      </c>
      <c r="D3064" t="inlineStr">
        <is>
          <t>Smart Camera</t>
        </is>
      </c>
      <c r="E3064" t="inlineStr">
        <is>
          <t>Electronics</t>
        </is>
      </c>
      <c r="F3064" t="inlineStr">
        <is>
          <t>David Nowak</t>
        </is>
      </c>
      <c r="G3064" t="inlineStr">
        <is>
          <t>United Kingdom</t>
        </is>
      </c>
      <c r="H3064" t="inlineStr">
        <is>
          <t>Marketplace</t>
        </is>
      </c>
      <c r="I3064" t="n">
        <v>4</v>
      </c>
      <c r="J3064" s="3" t="n">
        <v>490.44</v>
      </c>
      <c r="K3064" s="3" t="n">
        <v>73.56999999999999</v>
      </c>
      <c r="L3064" s="3" t="n">
        <v>416.87</v>
      </c>
      <c r="M3064" s="3" t="n">
        <v>342.32</v>
      </c>
      <c r="N3064" s="3" t="n">
        <v>74.55</v>
      </c>
      <c r="O3064">
        <f>TEXT(A3064,"yyyy-mm")</f>
        <v/>
      </c>
    </row>
    <row r="3065">
      <c r="A3065" s="2" t="n">
        <v>46001</v>
      </c>
      <c r="B3065" t="n">
        <v>2025</v>
      </c>
      <c r="C3065" t="inlineStr">
        <is>
          <t>December</t>
        </is>
      </c>
      <c r="D3065" t="inlineStr">
        <is>
          <t>Eco Drone</t>
        </is>
      </c>
      <c r="E3065" t="inlineStr">
        <is>
          <t>Toys &amp; Games</t>
        </is>
      </c>
      <c r="F3065" t="inlineStr">
        <is>
          <t>Mark Brown</t>
        </is>
      </c>
      <c r="G3065" t="inlineStr">
        <is>
          <t>Spain</t>
        </is>
      </c>
      <c r="H3065" t="inlineStr">
        <is>
          <t>Retail Store</t>
        </is>
      </c>
      <c r="I3065" t="n">
        <v>2</v>
      </c>
      <c r="J3065" s="3" t="n">
        <v>417.42</v>
      </c>
      <c r="K3065" s="3" t="n">
        <v>0</v>
      </c>
      <c r="L3065" s="3" t="n">
        <v>417.42</v>
      </c>
      <c r="M3065" s="3" t="n">
        <v>259.18</v>
      </c>
      <c r="N3065" s="3" t="n">
        <v>158.24</v>
      </c>
      <c r="O3065">
        <f>TEXT(A3065,"yyyy-mm")</f>
        <v/>
      </c>
    </row>
    <row r="3066">
      <c r="A3066" s="2" t="n">
        <v>46002</v>
      </c>
      <c r="B3066" t="n">
        <v>2025</v>
      </c>
      <c r="C3066" t="inlineStr">
        <is>
          <t>December</t>
        </is>
      </c>
      <c r="D3066" t="inlineStr">
        <is>
          <t>Portable Puzzle</t>
        </is>
      </c>
      <c r="E3066" t="inlineStr">
        <is>
          <t>Toys &amp; Games</t>
        </is>
      </c>
      <c r="F3066" t="inlineStr">
        <is>
          <t>Laura Wojcik</t>
        </is>
      </c>
      <c r="G3066" t="inlineStr">
        <is>
          <t>Italy</t>
        </is>
      </c>
      <c r="H3066" t="inlineStr">
        <is>
          <t>Retail Store</t>
        </is>
      </c>
      <c r="I3066" t="n">
        <v>1</v>
      </c>
      <c r="J3066" s="3" t="n">
        <v>304.86</v>
      </c>
      <c r="K3066" s="3" t="n">
        <v>0</v>
      </c>
      <c r="L3066" s="3" t="n">
        <v>304.86</v>
      </c>
      <c r="M3066" s="3" t="n">
        <v>173.66</v>
      </c>
      <c r="N3066" s="3" t="n">
        <v>131.2</v>
      </c>
      <c r="O3066">
        <f>TEXT(A3066,"yyyy-mm")</f>
        <v/>
      </c>
    </row>
    <row r="3067">
      <c r="A3067" s="2" t="n">
        <v>46002</v>
      </c>
      <c r="B3067" t="n">
        <v>2025</v>
      </c>
      <c r="C3067" t="inlineStr">
        <is>
          <t>December</t>
        </is>
      </c>
      <c r="D3067" t="inlineStr">
        <is>
          <t>Smart Face Cream</t>
        </is>
      </c>
      <c r="E3067" t="inlineStr">
        <is>
          <t>Beauty &amp; Health</t>
        </is>
      </c>
      <c r="F3067" t="inlineStr">
        <is>
          <t>Laura Wojcik</t>
        </is>
      </c>
      <c r="G3067" t="inlineStr">
        <is>
          <t>Italy</t>
        </is>
      </c>
      <c r="H3067" t="inlineStr">
        <is>
          <t>Retail Store</t>
        </is>
      </c>
      <c r="I3067" t="n">
        <v>3</v>
      </c>
      <c r="J3067" s="3" t="n">
        <v>764.4</v>
      </c>
      <c r="K3067" s="3" t="n">
        <v>0</v>
      </c>
      <c r="L3067" s="3" t="n">
        <v>764.4</v>
      </c>
      <c r="M3067" s="3" t="n">
        <v>579.42</v>
      </c>
      <c r="N3067" s="3" t="n">
        <v>184.98</v>
      </c>
      <c r="O3067">
        <f>TEXT(A3067,"yyyy-mm")</f>
        <v/>
      </c>
    </row>
    <row r="3068">
      <c r="A3068" s="2" t="n">
        <v>46002</v>
      </c>
      <c r="B3068" t="n">
        <v>2025</v>
      </c>
      <c r="C3068" t="inlineStr">
        <is>
          <t>December</t>
        </is>
      </c>
      <c r="D3068" t="inlineStr">
        <is>
          <t>Portable Bike Helmet</t>
        </is>
      </c>
      <c r="E3068" t="inlineStr">
        <is>
          <t>Sports &amp; Outdoors</t>
        </is>
      </c>
      <c r="F3068" t="inlineStr">
        <is>
          <t>Daniel Johnson</t>
        </is>
      </c>
      <c r="G3068" t="inlineStr">
        <is>
          <t>Italy</t>
        </is>
      </c>
      <c r="H3068" t="inlineStr">
        <is>
          <t>Marketplace</t>
        </is>
      </c>
      <c r="I3068" t="n">
        <v>1</v>
      </c>
      <c r="J3068" s="3" t="n">
        <v>316.24</v>
      </c>
      <c r="K3068" s="3" t="n">
        <v>0</v>
      </c>
      <c r="L3068" s="3" t="n">
        <v>316.24</v>
      </c>
      <c r="M3068" s="3" t="n">
        <v>165.37</v>
      </c>
      <c r="N3068" s="3" t="n">
        <v>150.87</v>
      </c>
      <c r="O3068">
        <f>TEXT(A3068,"yyyy-mm")</f>
        <v/>
      </c>
    </row>
    <row r="3069">
      <c r="A3069" s="2" t="n">
        <v>46002</v>
      </c>
      <c r="B3069" t="n">
        <v>2025</v>
      </c>
      <c r="C3069" t="inlineStr">
        <is>
          <t>December</t>
        </is>
      </c>
      <c r="D3069" t="inlineStr">
        <is>
          <t>Portable Notebook</t>
        </is>
      </c>
      <c r="E3069" t="inlineStr">
        <is>
          <t>Books</t>
        </is>
      </c>
      <c r="F3069" t="inlineStr">
        <is>
          <t>Daniel Johnson</t>
        </is>
      </c>
      <c r="G3069" t="inlineStr">
        <is>
          <t>Italy</t>
        </is>
      </c>
      <c r="H3069" t="inlineStr">
        <is>
          <t>Marketplace</t>
        </is>
      </c>
      <c r="I3069" t="n">
        <v>5</v>
      </c>
      <c r="J3069" s="3" t="n">
        <v>660.15</v>
      </c>
      <c r="K3069" s="3" t="n">
        <v>99.02</v>
      </c>
      <c r="L3069" s="3" t="n">
        <v>561.13</v>
      </c>
      <c r="M3069" s="3" t="n">
        <v>356.4</v>
      </c>
      <c r="N3069" s="3" t="n">
        <v>204.73</v>
      </c>
      <c r="O3069">
        <f>TEXT(A3069,"yyyy-mm")</f>
        <v/>
      </c>
    </row>
    <row r="3070">
      <c r="A3070" s="2" t="n">
        <v>46002</v>
      </c>
      <c r="B3070" t="n">
        <v>2025</v>
      </c>
      <c r="C3070" t="inlineStr">
        <is>
          <t>December</t>
        </is>
      </c>
      <c r="D3070" t="inlineStr">
        <is>
          <t>Classic Sunscreen</t>
        </is>
      </c>
      <c r="E3070" t="inlineStr">
        <is>
          <t>Beauty &amp; Health</t>
        </is>
      </c>
      <c r="F3070" t="inlineStr">
        <is>
          <t>Laura Wojcik</t>
        </is>
      </c>
      <c r="G3070" t="inlineStr">
        <is>
          <t>Italy</t>
        </is>
      </c>
      <c r="H3070" t="inlineStr">
        <is>
          <t>Retail Store</t>
        </is>
      </c>
      <c r="I3070" t="n">
        <v>4</v>
      </c>
      <c r="J3070" s="3" t="n">
        <v>544.4</v>
      </c>
      <c r="K3070" s="3" t="n">
        <v>27.22</v>
      </c>
      <c r="L3070" s="3" t="n">
        <v>517.1799999999999</v>
      </c>
      <c r="M3070" s="3" t="n">
        <v>374.76</v>
      </c>
      <c r="N3070" s="3" t="n">
        <v>142.42</v>
      </c>
      <c r="O3070">
        <f>TEXT(A3070,"yyyy-mm")</f>
        <v/>
      </c>
    </row>
    <row r="3071">
      <c r="A3071" s="2" t="n">
        <v>46003</v>
      </c>
      <c r="B3071" t="n">
        <v>2025</v>
      </c>
      <c r="C3071" t="inlineStr">
        <is>
          <t>December</t>
        </is>
      </c>
      <c r="D3071" t="inlineStr">
        <is>
          <t>Portable Toolset</t>
        </is>
      </c>
      <c r="E3071" t="inlineStr">
        <is>
          <t>Home &amp; Garden</t>
        </is>
      </c>
      <c r="F3071" t="inlineStr">
        <is>
          <t>Thomas Zielinski</t>
        </is>
      </c>
      <c r="G3071" t="inlineStr">
        <is>
          <t>Netherlands</t>
        </is>
      </c>
      <c r="H3071" t="inlineStr">
        <is>
          <t>Web Store</t>
        </is>
      </c>
      <c r="I3071" t="n">
        <v>1</v>
      </c>
      <c r="J3071" s="3" t="n">
        <v>146.85</v>
      </c>
      <c r="K3071" s="3" t="n">
        <v>7.34</v>
      </c>
      <c r="L3071" s="3" t="n">
        <v>139.51</v>
      </c>
      <c r="M3071" s="3" t="n">
        <v>92.84999999999999</v>
      </c>
      <c r="N3071" s="3" t="n">
        <v>46.66</v>
      </c>
      <c r="O3071">
        <f>TEXT(A3071,"yyyy-mm")</f>
        <v/>
      </c>
    </row>
    <row r="3072">
      <c r="A3072" s="2" t="n">
        <v>46003</v>
      </c>
      <c r="B3072" t="n">
        <v>2025</v>
      </c>
      <c r="C3072" t="inlineStr">
        <is>
          <t>December</t>
        </is>
      </c>
      <c r="D3072" t="inlineStr">
        <is>
          <t>Classic Sunscreen</t>
        </is>
      </c>
      <c r="E3072" t="inlineStr">
        <is>
          <t>Beauty &amp; Health</t>
        </is>
      </c>
      <c r="F3072" t="inlineStr">
        <is>
          <t>Thomas Zielinski</t>
        </is>
      </c>
      <c r="G3072" t="inlineStr">
        <is>
          <t>Netherlands</t>
        </is>
      </c>
      <c r="H3072" t="inlineStr">
        <is>
          <t>Web Store</t>
        </is>
      </c>
      <c r="I3072" t="n">
        <v>1</v>
      </c>
      <c r="J3072" s="3" t="n">
        <v>134.19</v>
      </c>
      <c r="K3072" s="3" t="n">
        <v>13.42</v>
      </c>
      <c r="L3072" s="3" t="n">
        <v>120.77</v>
      </c>
      <c r="M3072" s="3" t="n">
        <v>93.69</v>
      </c>
      <c r="N3072" s="3" t="n">
        <v>27.08</v>
      </c>
      <c r="O3072">
        <f>TEXT(A3072,"yyyy-mm")</f>
        <v/>
      </c>
    </row>
    <row r="3073">
      <c r="A3073" s="2" t="n">
        <v>46003</v>
      </c>
      <c r="B3073" t="n">
        <v>2025</v>
      </c>
      <c r="C3073" t="inlineStr">
        <is>
          <t>December</t>
        </is>
      </c>
      <c r="D3073" t="inlineStr">
        <is>
          <t>Smart Sweater</t>
        </is>
      </c>
      <c r="E3073" t="inlineStr">
        <is>
          <t>Clothing</t>
        </is>
      </c>
      <c r="F3073" t="inlineStr">
        <is>
          <t>Thomas Zielinski</t>
        </is>
      </c>
      <c r="G3073" t="inlineStr">
        <is>
          <t>Netherlands</t>
        </is>
      </c>
      <c r="H3073" t="inlineStr">
        <is>
          <t>Web Store</t>
        </is>
      </c>
      <c r="I3073" t="n">
        <v>3</v>
      </c>
      <c r="J3073" s="3" t="n">
        <v>413.91</v>
      </c>
      <c r="K3073" s="3" t="n">
        <v>0</v>
      </c>
      <c r="L3073" s="3" t="n">
        <v>413.91</v>
      </c>
      <c r="M3073" s="3" t="n">
        <v>232.05</v>
      </c>
      <c r="N3073" s="3" t="n">
        <v>181.86</v>
      </c>
      <c r="O3073">
        <f>TEXT(A3073,"yyyy-mm")</f>
        <v/>
      </c>
    </row>
    <row r="3074">
      <c r="A3074" s="2" t="n">
        <v>46003</v>
      </c>
      <c r="B3074" t="n">
        <v>2025</v>
      </c>
      <c r="C3074" t="inlineStr">
        <is>
          <t>December</t>
        </is>
      </c>
      <c r="D3074" t="inlineStr">
        <is>
          <t>Compact Jacket</t>
        </is>
      </c>
      <c r="E3074" t="inlineStr">
        <is>
          <t>Clothing</t>
        </is>
      </c>
      <c r="F3074" t="inlineStr">
        <is>
          <t>Thomas Zielinski</t>
        </is>
      </c>
      <c r="G3074" t="inlineStr">
        <is>
          <t>Netherlands</t>
        </is>
      </c>
      <c r="H3074" t="inlineStr">
        <is>
          <t>Web Store</t>
        </is>
      </c>
      <c r="I3074" t="n">
        <v>1</v>
      </c>
      <c r="J3074" s="3" t="n">
        <v>36.7</v>
      </c>
      <c r="K3074" s="3" t="n">
        <v>0</v>
      </c>
      <c r="L3074" s="3" t="n">
        <v>36.7</v>
      </c>
      <c r="M3074" s="3" t="n">
        <v>20.4</v>
      </c>
      <c r="N3074" s="3" t="n">
        <v>16.3</v>
      </c>
      <c r="O3074">
        <f>TEXT(A3074,"yyyy-mm")</f>
        <v/>
      </c>
    </row>
    <row r="3075">
      <c r="A3075" s="2" t="n">
        <v>46003</v>
      </c>
      <c r="B3075" t="n">
        <v>2025</v>
      </c>
      <c r="C3075" t="inlineStr">
        <is>
          <t>December</t>
        </is>
      </c>
      <c r="D3075" t="inlineStr">
        <is>
          <t>Portable Bike Helmet</t>
        </is>
      </c>
      <c r="E3075" t="inlineStr">
        <is>
          <t>Sports &amp; Outdoors</t>
        </is>
      </c>
      <c r="F3075" t="inlineStr">
        <is>
          <t>Mark Moreau</t>
        </is>
      </c>
      <c r="G3075" t="inlineStr">
        <is>
          <t>Italy</t>
        </is>
      </c>
      <c r="H3075" t="inlineStr">
        <is>
          <t>Web Store</t>
        </is>
      </c>
      <c r="I3075" t="n">
        <v>3</v>
      </c>
      <c r="J3075" s="3" t="n">
        <v>894.9</v>
      </c>
      <c r="K3075" s="3" t="n">
        <v>0</v>
      </c>
      <c r="L3075" s="3" t="n">
        <v>894.9</v>
      </c>
      <c r="M3075" s="3" t="n">
        <v>496.11</v>
      </c>
      <c r="N3075" s="3" t="n">
        <v>398.79</v>
      </c>
      <c r="O3075">
        <f>TEXT(A3075,"yyyy-mm")</f>
        <v/>
      </c>
    </row>
    <row r="3076">
      <c r="A3076" s="2" t="n">
        <v>46003</v>
      </c>
      <c r="B3076" t="n">
        <v>2025</v>
      </c>
      <c r="C3076" t="inlineStr">
        <is>
          <t>December</t>
        </is>
      </c>
      <c r="D3076" t="inlineStr">
        <is>
          <t>Deluxe Cookbook</t>
        </is>
      </c>
      <c r="E3076" t="inlineStr">
        <is>
          <t>Books</t>
        </is>
      </c>
      <c r="F3076" t="inlineStr">
        <is>
          <t>Mark Moreau</t>
        </is>
      </c>
      <c r="G3076" t="inlineStr">
        <is>
          <t>Italy</t>
        </is>
      </c>
      <c r="H3076" t="inlineStr">
        <is>
          <t>Web Store</t>
        </is>
      </c>
      <c r="I3076" t="n">
        <v>4</v>
      </c>
      <c r="J3076" s="3" t="n">
        <v>551.64</v>
      </c>
      <c r="K3076" s="3" t="n">
        <v>0</v>
      </c>
      <c r="L3076" s="3" t="n">
        <v>551.64</v>
      </c>
      <c r="M3076" s="3" t="n">
        <v>341.08</v>
      </c>
      <c r="N3076" s="3" t="n">
        <v>210.56</v>
      </c>
      <c r="O3076">
        <f>TEXT(A3076,"yyyy-mm")</f>
        <v/>
      </c>
    </row>
    <row r="3077">
      <c r="A3077" s="2" t="n">
        <v>46003</v>
      </c>
      <c r="B3077" t="n">
        <v>2025</v>
      </c>
      <c r="C3077" t="inlineStr">
        <is>
          <t>December</t>
        </is>
      </c>
      <c r="D3077" t="inlineStr">
        <is>
          <t>Essential Vitamins</t>
        </is>
      </c>
      <c r="E3077" t="inlineStr">
        <is>
          <t>Beauty &amp; Health</t>
        </is>
      </c>
      <c r="F3077" t="inlineStr">
        <is>
          <t>Mark Moreau</t>
        </is>
      </c>
      <c r="G3077" t="inlineStr">
        <is>
          <t>Italy</t>
        </is>
      </c>
      <c r="H3077" t="inlineStr">
        <is>
          <t>Web Store</t>
        </is>
      </c>
      <c r="I3077" t="n">
        <v>3</v>
      </c>
      <c r="J3077" s="3" t="n">
        <v>492.39</v>
      </c>
      <c r="K3077" s="3" t="n">
        <v>49.24</v>
      </c>
      <c r="L3077" s="3" t="n">
        <v>443.15</v>
      </c>
      <c r="M3077" s="3" t="n">
        <v>330.9</v>
      </c>
      <c r="N3077" s="3" t="n">
        <v>112.25</v>
      </c>
      <c r="O3077">
        <f>TEXT(A3077,"yyyy-mm")</f>
        <v/>
      </c>
    </row>
    <row r="3078">
      <c r="A3078" s="2" t="n">
        <v>46003</v>
      </c>
      <c r="B3078" t="n">
        <v>2025</v>
      </c>
      <c r="C3078" t="inlineStr">
        <is>
          <t>December</t>
        </is>
      </c>
      <c r="D3078" t="inlineStr">
        <is>
          <t>Premium Water Bottle</t>
        </is>
      </c>
      <c r="E3078" t="inlineStr">
        <is>
          <t>Sports &amp; Outdoors</t>
        </is>
      </c>
      <c r="F3078" t="inlineStr">
        <is>
          <t>Michael Weber</t>
        </is>
      </c>
      <c r="G3078" t="inlineStr">
        <is>
          <t>France</t>
        </is>
      </c>
      <c r="H3078" t="inlineStr">
        <is>
          <t>Web Store</t>
        </is>
      </c>
      <c r="I3078" t="n">
        <v>1</v>
      </c>
      <c r="J3078" s="3" t="n">
        <v>317</v>
      </c>
      <c r="K3078" s="3" t="n">
        <v>31.7</v>
      </c>
      <c r="L3078" s="3" t="n">
        <v>285.3</v>
      </c>
      <c r="M3078" s="3" t="n">
        <v>181.16</v>
      </c>
      <c r="N3078" s="3" t="n">
        <v>104.14</v>
      </c>
      <c r="O3078">
        <f>TEXT(A3078,"yyyy-mm")</f>
        <v/>
      </c>
    </row>
    <row r="3079">
      <c r="A3079" s="2" t="n">
        <v>46003</v>
      </c>
      <c r="B3079" t="n">
        <v>2025</v>
      </c>
      <c r="C3079" t="inlineStr">
        <is>
          <t>December</t>
        </is>
      </c>
      <c r="D3079" t="inlineStr">
        <is>
          <t>Wireless Coffee Beans</t>
        </is>
      </c>
      <c r="E3079" t="inlineStr">
        <is>
          <t>Grocery</t>
        </is>
      </c>
      <c r="F3079" t="inlineStr">
        <is>
          <t>Michael Weber</t>
        </is>
      </c>
      <c r="G3079" t="inlineStr">
        <is>
          <t>France</t>
        </is>
      </c>
      <c r="H3079" t="inlineStr">
        <is>
          <t>Web Store</t>
        </is>
      </c>
      <c r="I3079" t="n">
        <v>3</v>
      </c>
      <c r="J3079" s="3" t="n">
        <v>676.89</v>
      </c>
      <c r="K3079" s="3" t="n">
        <v>0</v>
      </c>
      <c r="L3079" s="3" t="n">
        <v>676.89</v>
      </c>
      <c r="M3079" s="3" t="n">
        <v>390.39</v>
      </c>
      <c r="N3079" s="3" t="n">
        <v>286.5</v>
      </c>
      <c r="O3079">
        <f>TEXT(A3079,"yyyy-mm")</f>
        <v/>
      </c>
    </row>
    <row r="3080">
      <c r="A3080" s="2" t="n">
        <v>46003</v>
      </c>
      <c r="B3080" t="n">
        <v>2025</v>
      </c>
      <c r="C3080" t="inlineStr">
        <is>
          <t>December</t>
        </is>
      </c>
      <c r="D3080" t="inlineStr">
        <is>
          <t>Classic Coffee Beans</t>
        </is>
      </c>
      <c r="E3080" t="inlineStr">
        <is>
          <t>Grocery</t>
        </is>
      </c>
      <c r="F3080" t="inlineStr">
        <is>
          <t>Michael Weber</t>
        </is>
      </c>
      <c r="G3080" t="inlineStr">
        <is>
          <t>France</t>
        </is>
      </c>
      <c r="H3080" t="inlineStr">
        <is>
          <t>Web Store</t>
        </is>
      </c>
      <c r="I3080" t="n">
        <v>3</v>
      </c>
      <c r="J3080" s="3" t="n">
        <v>940.23</v>
      </c>
      <c r="K3080" s="3" t="n">
        <v>0</v>
      </c>
      <c r="L3080" s="3" t="n">
        <v>940.23</v>
      </c>
      <c r="M3080" s="3" t="n">
        <v>584.28</v>
      </c>
      <c r="N3080" s="3" t="n">
        <v>355.95</v>
      </c>
      <c r="O3080">
        <f>TEXT(A3080,"yyyy-mm")</f>
        <v/>
      </c>
    </row>
    <row r="3081">
      <c r="A3081" s="2" t="n">
        <v>46004</v>
      </c>
      <c r="B3081" t="n">
        <v>2025</v>
      </c>
      <c r="C3081" t="inlineStr">
        <is>
          <t>December</t>
        </is>
      </c>
      <c r="D3081" t="inlineStr">
        <is>
          <t>Portable Pasta</t>
        </is>
      </c>
      <c r="E3081" t="inlineStr">
        <is>
          <t>Grocery</t>
        </is>
      </c>
      <c r="F3081" t="inlineStr">
        <is>
          <t>Clara Muller</t>
        </is>
      </c>
      <c r="G3081" t="inlineStr">
        <is>
          <t>Italy</t>
        </is>
      </c>
      <c r="H3081" t="inlineStr">
        <is>
          <t>Marketplace</t>
        </is>
      </c>
      <c r="I3081" t="n">
        <v>5</v>
      </c>
      <c r="J3081" s="3" t="n">
        <v>189.15</v>
      </c>
      <c r="K3081" s="3" t="n">
        <v>0</v>
      </c>
      <c r="L3081" s="3" t="n">
        <v>189.15</v>
      </c>
      <c r="M3081" s="3" t="n">
        <v>138.75</v>
      </c>
      <c r="N3081" s="3" t="n">
        <v>50.4</v>
      </c>
      <c r="O3081">
        <f>TEXT(A3081,"yyyy-mm")</f>
        <v/>
      </c>
    </row>
    <row r="3082">
      <c r="A3082" s="2" t="n">
        <v>46004</v>
      </c>
      <c r="B3082" t="n">
        <v>2025</v>
      </c>
      <c r="C3082" t="inlineStr">
        <is>
          <t>December</t>
        </is>
      </c>
      <c r="D3082" t="inlineStr">
        <is>
          <t>Smart Sweater</t>
        </is>
      </c>
      <c r="E3082" t="inlineStr">
        <is>
          <t>Clothing</t>
        </is>
      </c>
      <c r="F3082" t="inlineStr">
        <is>
          <t>Clara Muller</t>
        </is>
      </c>
      <c r="G3082" t="inlineStr">
        <is>
          <t>Italy</t>
        </is>
      </c>
      <c r="H3082" t="inlineStr">
        <is>
          <t>Marketplace</t>
        </is>
      </c>
      <c r="I3082" t="n">
        <v>2</v>
      </c>
      <c r="J3082" s="3" t="n">
        <v>277.32</v>
      </c>
      <c r="K3082" s="3" t="n">
        <v>27.73</v>
      </c>
      <c r="L3082" s="3" t="n">
        <v>249.59</v>
      </c>
      <c r="M3082" s="3" t="n">
        <v>154.7</v>
      </c>
      <c r="N3082" s="3" t="n">
        <v>94.89</v>
      </c>
      <c r="O3082">
        <f>TEXT(A3082,"yyyy-mm")</f>
        <v/>
      </c>
    </row>
    <row r="3083">
      <c r="A3083" s="2" t="n">
        <v>46004</v>
      </c>
      <c r="B3083" t="n">
        <v>2025</v>
      </c>
      <c r="C3083" t="inlineStr">
        <is>
          <t>December</t>
        </is>
      </c>
      <c r="D3083" t="inlineStr">
        <is>
          <t>Compact Sunscreen</t>
        </is>
      </c>
      <c r="E3083" t="inlineStr">
        <is>
          <t>Beauty &amp; Health</t>
        </is>
      </c>
      <c r="F3083" t="inlineStr">
        <is>
          <t>Clara Muller</t>
        </is>
      </c>
      <c r="G3083" t="inlineStr">
        <is>
          <t>Italy</t>
        </is>
      </c>
      <c r="H3083" t="inlineStr">
        <is>
          <t>Marketplace</t>
        </is>
      </c>
      <c r="I3083" t="n">
        <v>4</v>
      </c>
      <c r="J3083" s="3" t="n">
        <v>1181.8</v>
      </c>
      <c r="K3083" s="3" t="n">
        <v>118.18</v>
      </c>
      <c r="L3083" s="3" t="n">
        <v>1063.62</v>
      </c>
      <c r="M3083" s="3" t="n">
        <v>710.64</v>
      </c>
      <c r="N3083" s="3" t="n">
        <v>352.98</v>
      </c>
      <c r="O3083">
        <f>TEXT(A3083,"yyyy-mm")</f>
        <v/>
      </c>
    </row>
    <row r="3084">
      <c r="A3084" s="2" t="n">
        <v>46006</v>
      </c>
      <c r="B3084" t="n">
        <v>2025</v>
      </c>
      <c r="C3084" t="inlineStr">
        <is>
          <t>December</t>
        </is>
      </c>
      <c r="D3084" t="inlineStr">
        <is>
          <t>Smart Board Game</t>
        </is>
      </c>
      <c r="E3084" t="inlineStr">
        <is>
          <t>Toys &amp; Games</t>
        </is>
      </c>
      <c r="F3084" t="inlineStr">
        <is>
          <t>Michael Weber</t>
        </is>
      </c>
      <c r="G3084" t="inlineStr">
        <is>
          <t>United States</t>
        </is>
      </c>
      <c r="H3084" t="inlineStr">
        <is>
          <t>Retail Store</t>
        </is>
      </c>
      <c r="I3084" t="n">
        <v>1</v>
      </c>
      <c r="J3084" s="3" t="n">
        <v>132.3</v>
      </c>
      <c r="K3084" s="3" t="n">
        <v>19.85</v>
      </c>
      <c r="L3084" s="3" t="n">
        <v>112.46</v>
      </c>
      <c r="M3084" s="3" t="n">
        <v>91.72</v>
      </c>
      <c r="N3084" s="3" t="n">
        <v>20.74</v>
      </c>
      <c r="O3084">
        <f>TEXT(A3084,"yyyy-mm")</f>
        <v/>
      </c>
    </row>
    <row r="3085">
      <c r="A3085" s="2" t="n">
        <v>46006</v>
      </c>
      <c r="B3085" t="n">
        <v>2025</v>
      </c>
      <c r="C3085" t="inlineStr">
        <is>
          <t>December</t>
        </is>
      </c>
      <c r="D3085" t="inlineStr">
        <is>
          <t>Deluxe Cookbook</t>
        </is>
      </c>
      <c r="E3085" t="inlineStr">
        <is>
          <t>Books</t>
        </is>
      </c>
      <c r="F3085" t="inlineStr">
        <is>
          <t>Thomas Lopez</t>
        </is>
      </c>
      <c r="G3085" t="inlineStr">
        <is>
          <t>Spain</t>
        </is>
      </c>
      <c r="H3085" t="inlineStr">
        <is>
          <t>Retail Store</t>
        </is>
      </c>
      <c r="I3085" t="n">
        <v>5</v>
      </c>
      <c r="J3085" s="3" t="n">
        <v>669.5</v>
      </c>
      <c r="K3085" s="3" t="n">
        <v>100.42</v>
      </c>
      <c r="L3085" s="3" t="n">
        <v>569.08</v>
      </c>
      <c r="M3085" s="3" t="n">
        <v>426.35</v>
      </c>
      <c r="N3085" s="3" t="n">
        <v>142.73</v>
      </c>
      <c r="O3085">
        <f>TEXT(A3085,"yyyy-mm")</f>
        <v/>
      </c>
    </row>
    <row r="3086">
      <c r="A3086" s="2" t="n">
        <v>46006</v>
      </c>
      <c r="B3086" t="n">
        <v>2025</v>
      </c>
      <c r="C3086" t="inlineStr">
        <is>
          <t>December</t>
        </is>
      </c>
      <c r="D3086" t="inlineStr">
        <is>
          <t>Smart Honey</t>
        </is>
      </c>
      <c r="E3086" t="inlineStr">
        <is>
          <t>Grocery</t>
        </is>
      </c>
      <c r="F3086" t="inlineStr">
        <is>
          <t>Thomas Lopez</t>
        </is>
      </c>
      <c r="G3086" t="inlineStr">
        <is>
          <t>Spain</t>
        </is>
      </c>
      <c r="H3086" t="inlineStr">
        <is>
          <t>Retail Store</t>
        </is>
      </c>
      <c r="I3086" t="n">
        <v>3</v>
      </c>
      <c r="J3086" s="3" t="n">
        <v>401.73</v>
      </c>
      <c r="K3086" s="3" t="n">
        <v>0</v>
      </c>
      <c r="L3086" s="3" t="n">
        <v>401.73</v>
      </c>
      <c r="M3086" s="3" t="n">
        <v>214.32</v>
      </c>
      <c r="N3086" s="3" t="n">
        <v>187.41</v>
      </c>
      <c r="O3086">
        <f>TEXT(A3086,"yyyy-mm")</f>
        <v/>
      </c>
    </row>
    <row r="3087">
      <c r="A3087" s="2" t="n">
        <v>46006</v>
      </c>
      <c r="B3087" t="n">
        <v>2025</v>
      </c>
      <c r="C3087" t="inlineStr">
        <is>
          <t>December</t>
        </is>
      </c>
      <c r="D3087" t="inlineStr">
        <is>
          <t>Portable Pasta</t>
        </is>
      </c>
      <c r="E3087" t="inlineStr">
        <is>
          <t>Grocery</t>
        </is>
      </c>
      <c r="F3087" t="inlineStr">
        <is>
          <t>Thomas Lopez</t>
        </is>
      </c>
      <c r="G3087" t="inlineStr">
        <is>
          <t>Spain</t>
        </is>
      </c>
      <c r="H3087" t="inlineStr">
        <is>
          <t>Retail Store</t>
        </is>
      </c>
      <c r="I3087" t="n">
        <v>5</v>
      </c>
      <c r="J3087" s="3" t="n">
        <v>187.2</v>
      </c>
      <c r="K3087" s="3" t="n">
        <v>37.44</v>
      </c>
      <c r="L3087" s="3" t="n">
        <v>149.76</v>
      </c>
      <c r="M3087" s="3" t="n">
        <v>138.75</v>
      </c>
      <c r="N3087" s="3" t="n">
        <v>11.01</v>
      </c>
      <c r="O3087">
        <f>TEXT(A3087,"yyyy-mm")</f>
        <v/>
      </c>
    </row>
    <row r="3088">
      <c r="A3088" s="2" t="n">
        <v>46006</v>
      </c>
      <c r="B3088" t="n">
        <v>2025</v>
      </c>
      <c r="C3088" t="inlineStr">
        <is>
          <t>December</t>
        </is>
      </c>
      <c r="D3088" t="inlineStr">
        <is>
          <t>Smart Cookbook</t>
        </is>
      </c>
      <c r="E3088" t="inlineStr">
        <is>
          <t>Books</t>
        </is>
      </c>
      <c r="F3088" t="inlineStr">
        <is>
          <t>Laura Lopez</t>
        </is>
      </c>
      <c r="G3088" t="inlineStr">
        <is>
          <t>United States</t>
        </is>
      </c>
      <c r="H3088" t="inlineStr">
        <is>
          <t>Mobile App</t>
        </is>
      </c>
      <c r="I3088" t="n">
        <v>3</v>
      </c>
      <c r="J3088" s="3" t="n">
        <v>51.99</v>
      </c>
      <c r="K3088" s="3" t="n">
        <v>0</v>
      </c>
      <c r="L3088" s="3" t="n">
        <v>51.99</v>
      </c>
      <c r="M3088" s="3" t="n">
        <v>29.64</v>
      </c>
      <c r="N3088" s="3" t="n">
        <v>22.35</v>
      </c>
      <c r="O3088">
        <f>TEXT(A3088,"yyyy-mm")</f>
        <v/>
      </c>
    </row>
    <row r="3089">
      <c r="A3089" s="2" t="n">
        <v>46008</v>
      </c>
      <c r="B3089" t="n">
        <v>2025</v>
      </c>
      <c r="C3089" t="inlineStr">
        <is>
          <t>December</t>
        </is>
      </c>
      <c r="D3089" t="inlineStr">
        <is>
          <t>Compact Sunscreen</t>
        </is>
      </c>
      <c r="E3089" t="inlineStr">
        <is>
          <t>Beauty &amp; Health</t>
        </is>
      </c>
      <c r="F3089" t="inlineStr">
        <is>
          <t>John Rossi</t>
        </is>
      </c>
      <c r="G3089" t="inlineStr">
        <is>
          <t>United Kingdom</t>
        </is>
      </c>
      <c r="H3089" t="inlineStr">
        <is>
          <t>Marketplace</t>
        </is>
      </c>
      <c r="I3089" t="n">
        <v>1</v>
      </c>
      <c r="J3089" s="3" t="n">
        <v>306.66</v>
      </c>
      <c r="K3089" s="3" t="n">
        <v>30.67</v>
      </c>
      <c r="L3089" s="3" t="n">
        <v>275.99</v>
      </c>
      <c r="M3089" s="3" t="n">
        <v>177.66</v>
      </c>
      <c r="N3089" s="3" t="n">
        <v>98.33</v>
      </c>
      <c r="O3089">
        <f>TEXT(A3089,"yyyy-mm")</f>
        <v/>
      </c>
    </row>
    <row r="3090">
      <c r="A3090" s="2" t="n">
        <v>46008</v>
      </c>
      <c r="B3090" t="n">
        <v>2025</v>
      </c>
      <c r="C3090" t="inlineStr">
        <is>
          <t>December</t>
        </is>
      </c>
      <c r="D3090" t="inlineStr">
        <is>
          <t>Essential Charger</t>
        </is>
      </c>
      <c r="E3090" t="inlineStr">
        <is>
          <t>Electronics</t>
        </is>
      </c>
      <c r="F3090" t="inlineStr">
        <is>
          <t>John Rossi</t>
        </is>
      </c>
      <c r="G3090" t="inlineStr">
        <is>
          <t>United Kingdom</t>
        </is>
      </c>
      <c r="H3090" t="inlineStr">
        <is>
          <t>Marketplace</t>
        </is>
      </c>
      <c r="I3090" t="n">
        <v>1</v>
      </c>
      <c r="J3090" s="3" t="n">
        <v>46.42</v>
      </c>
      <c r="K3090" s="3" t="n">
        <v>2.32</v>
      </c>
      <c r="L3090" s="3" t="n">
        <v>44.1</v>
      </c>
      <c r="M3090" s="3" t="n">
        <v>29.1</v>
      </c>
      <c r="N3090" s="3" t="n">
        <v>15</v>
      </c>
      <c r="O3090">
        <f>TEXT(A3090,"yyyy-mm")</f>
        <v/>
      </c>
    </row>
    <row r="3091">
      <c r="A3091" s="2" t="n">
        <v>46008</v>
      </c>
      <c r="B3091" t="n">
        <v>2025</v>
      </c>
      <c r="C3091" t="inlineStr">
        <is>
          <t>December</t>
        </is>
      </c>
      <c r="D3091" t="inlineStr">
        <is>
          <t>Wireless Coffee Beans</t>
        </is>
      </c>
      <c r="E3091" t="inlineStr">
        <is>
          <t>Grocery</t>
        </is>
      </c>
      <c r="F3091" t="inlineStr">
        <is>
          <t>John Rossi</t>
        </is>
      </c>
      <c r="G3091" t="inlineStr">
        <is>
          <t>United Kingdom</t>
        </is>
      </c>
      <c r="H3091" t="inlineStr">
        <is>
          <t>Marketplace</t>
        </is>
      </c>
      <c r="I3091" t="n">
        <v>5</v>
      </c>
      <c r="J3091" s="3" t="n">
        <v>594.8</v>
      </c>
      <c r="K3091" s="3" t="n">
        <v>59.48</v>
      </c>
      <c r="L3091" s="3" t="n">
        <v>535.3200000000001</v>
      </c>
      <c r="M3091" s="3" t="n">
        <v>396.85</v>
      </c>
      <c r="N3091" s="3" t="n">
        <v>138.47</v>
      </c>
      <c r="O3091">
        <f>TEXT(A3091,"yyyy-mm")</f>
        <v/>
      </c>
    </row>
    <row r="3092">
      <c r="A3092" s="2" t="n">
        <v>46008</v>
      </c>
      <c r="B3092" t="n">
        <v>2025</v>
      </c>
      <c r="C3092" t="inlineStr">
        <is>
          <t>December</t>
        </is>
      </c>
      <c r="D3092" t="inlineStr">
        <is>
          <t>Deluxe Toothbrush</t>
        </is>
      </c>
      <c r="E3092" t="inlineStr">
        <is>
          <t>Beauty &amp; Health</t>
        </is>
      </c>
      <c r="F3092" t="inlineStr">
        <is>
          <t>John Rossi</t>
        </is>
      </c>
      <c r="G3092" t="inlineStr">
        <is>
          <t>United Kingdom</t>
        </is>
      </c>
      <c r="H3092" t="inlineStr">
        <is>
          <t>Marketplace</t>
        </is>
      </c>
      <c r="I3092" t="n">
        <v>1</v>
      </c>
      <c r="J3092" s="3" t="n">
        <v>339.83</v>
      </c>
      <c r="K3092" s="3" t="n">
        <v>0</v>
      </c>
      <c r="L3092" s="3" t="n">
        <v>339.83</v>
      </c>
      <c r="M3092" s="3" t="n">
        <v>174.57</v>
      </c>
      <c r="N3092" s="3" t="n">
        <v>165.26</v>
      </c>
      <c r="O3092">
        <f>TEXT(A3092,"yyyy-mm")</f>
        <v/>
      </c>
    </row>
    <row r="3093">
      <c r="A3093" s="2" t="n">
        <v>46008</v>
      </c>
      <c r="B3093" t="n">
        <v>2025</v>
      </c>
      <c r="C3093" t="inlineStr">
        <is>
          <t>December</t>
        </is>
      </c>
      <c r="D3093" t="inlineStr">
        <is>
          <t>Essential Cushion</t>
        </is>
      </c>
      <c r="E3093" t="inlineStr">
        <is>
          <t>Home &amp; Garden</t>
        </is>
      </c>
      <c r="F3093" t="inlineStr">
        <is>
          <t>Sophie Johnson</t>
        </is>
      </c>
      <c r="G3093" t="inlineStr">
        <is>
          <t>France</t>
        </is>
      </c>
      <c r="H3093" t="inlineStr">
        <is>
          <t>Mobile App</t>
        </is>
      </c>
      <c r="I3093" t="n">
        <v>4</v>
      </c>
      <c r="J3093" s="3" t="n">
        <v>180.12</v>
      </c>
      <c r="K3093" s="3" t="n">
        <v>0</v>
      </c>
      <c r="L3093" s="3" t="n">
        <v>180.12</v>
      </c>
      <c r="M3093" s="3" t="n">
        <v>122.2</v>
      </c>
      <c r="N3093" s="3" t="n">
        <v>57.92</v>
      </c>
      <c r="O3093">
        <f>TEXT(A3093,"yyyy-mm")</f>
        <v/>
      </c>
    </row>
    <row r="3094">
      <c r="A3094" s="2" t="n">
        <v>46008</v>
      </c>
      <c r="B3094" t="n">
        <v>2025</v>
      </c>
      <c r="C3094" t="inlineStr">
        <is>
          <t>December</t>
        </is>
      </c>
      <c r="D3094" t="inlineStr">
        <is>
          <t>Classic Charger</t>
        </is>
      </c>
      <c r="E3094" t="inlineStr">
        <is>
          <t>Electronics</t>
        </is>
      </c>
      <c r="F3094" t="inlineStr">
        <is>
          <t>Daniel Garcia</t>
        </is>
      </c>
      <c r="G3094" t="inlineStr">
        <is>
          <t>Italy</t>
        </is>
      </c>
      <c r="H3094" t="inlineStr">
        <is>
          <t>Retail Store</t>
        </is>
      </c>
      <c r="I3094" t="n">
        <v>5</v>
      </c>
      <c r="J3094" s="3" t="n">
        <v>470.45</v>
      </c>
      <c r="K3094" s="3" t="n">
        <v>94.09</v>
      </c>
      <c r="L3094" s="3" t="n">
        <v>376.36</v>
      </c>
      <c r="M3094" s="3" t="n">
        <v>311.05</v>
      </c>
      <c r="N3094" s="3" t="n">
        <v>65.31</v>
      </c>
      <c r="O3094">
        <f>TEXT(A3094,"yyyy-mm")</f>
        <v/>
      </c>
    </row>
    <row r="3095">
      <c r="A3095" s="2" t="n">
        <v>46008</v>
      </c>
      <c r="B3095" t="n">
        <v>2025</v>
      </c>
      <c r="C3095" t="inlineStr">
        <is>
          <t>December</t>
        </is>
      </c>
      <c r="D3095" t="inlineStr">
        <is>
          <t>Classic Tea Set</t>
        </is>
      </c>
      <c r="E3095" t="inlineStr">
        <is>
          <t>Grocery</t>
        </is>
      </c>
      <c r="F3095" t="inlineStr">
        <is>
          <t>Sophie Johnson</t>
        </is>
      </c>
      <c r="G3095" t="inlineStr">
        <is>
          <t>France</t>
        </is>
      </c>
      <c r="H3095" t="inlineStr">
        <is>
          <t>Mobile App</t>
        </is>
      </c>
      <c r="I3095" t="n">
        <v>2</v>
      </c>
      <c r="J3095" s="3" t="n">
        <v>351.08</v>
      </c>
      <c r="K3095" s="3" t="n">
        <v>35.11</v>
      </c>
      <c r="L3095" s="3" t="n">
        <v>315.97</v>
      </c>
      <c r="M3095" s="3" t="n">
        <v>250.8</v>
      </c>
      <c r="N3095" s="3" t="n">
        <v>65.17</v>
      </c>
      <c r="O3095">
        <f>TEXT(A3095,"yyyy-mm")</f>
        <v/>
      </c>
    </row>
    <row r="3096">
      <c r="A3096" s="2" t="n">
        <v>46008</v>
      </c>
      <c r="B3096" t="n">
        <v>2025</v>
      </c>
      <c r="C3096" t="inlineStr">
        <is>
          <t>December</t>
        </is>
      </c>
      <c r="D3096" t="inlineStr">
        <is>
          <t>Premium Water Bottle</t>
        </is>
      </c>
      <c r="E3096" t="inlineStr">
        <is>
          <t>Sports &amp; Outdoors</t>
        </is>
      </c>
      <c r="F3096" t="inlineStr">
        <is>
          <t>Sophie Johnson</t>
        </is>
      </c>
      <c r="G3096" t="inlineStr">
        <is>
          <t>France</t>
        </is>
      </c>
      <c r="H3096" t="inlineStr">
        <is>
          <t>Mobile App</t>
        </is>
      </c>
      <c r="I3096" t="n">
        <v>4</v>
      </c>
      <c r="J3096" s="3" t="n">
        <v>114.48</v>
      </c>
      <c r="K3096" s="3" t="n">
        <v>5.72</v>
      </c>
      <c r="L3096" s="3" t="n">
        <v>108.76</v>
      </c>
      <c r="M3096" s="3" t="n">
        <v>66.52</v>
      </c>
      <c r="N3096" s="3" t="n">
        <v>42.24</v>
      </c>
      <c r="O3096">
        <f>TEXT(A3096,"yyyy-mm")</f>
        <v/>
      </c>
    </row>
    <row r="3097">
      <c r="A3097" s="2" t="n">
        <v>46008</v>
      </c>
      <c r="B3097" t="n">
        <v>2025</v>
      </c>
      <c r="C3097" t="inlineStr">
        <is>
          <t>December</t>
        </is>
      </c>
      <c r="D3097" t="inlineStr">
        <is>
          <t>Wireless Coffee Beans</t>
        </is>
      </c>
      <c r="E3097" t="inlineStr">
        <is>
          <t>Grocery</t>
        </is>
      </c>
      <c r="F3097" t="inlineStr">
        <is>
          <t>Sophie Johnson</t>
        </is>
      </c>
      <c r="G3097" t="inlineStr">
        <is>
          <t>France</t>
        </is>
      </c>
      <c r="H3097" t="inlineStr">
        <is>
          <t>Mobile App</t>
        </is>
      </c>
      <c r="I3097" t="n">
        <v>4</v>
      </c>
      <c r="J3097" s="3" t="n">
        <v>458.44</v>
      </c>
      <c r="K3097" s="3" t="n">
        <v>68.77</v>
      </c>
      <c r="L3097" s="3" t="n">
        <v>389.67</v>
      </c>
      <c r="M3097" s="3" t="n">
        <v>317.48</v>
      </c>
      <c r="N3097" s="3" t="n">
        <v>72.19</v>
      </c>
      <c r="O3097">
        <f>TEXT(A3097,"yyyy-mm")</f>
        <v/>
      </c>
    </row>
    <row r="3098">
      <c r="A3098" s="2" t="n">
        <v>46009</v>
      </c>
      <c r="B3098" t="n">
        <v>2025</v>
      </c>
      <c r="C3098" t="inlineStr">
        <is>
          <t>December</t>
        </is>
      </c>
      <c r="D3098" t="inlineStr">
        <is>
          <t>Portable Puzzle</t>
        </is>
      </c>
      <c r="E3098" t="inlineStr">
        <is>
          <t>Toys &amp; Games</t>
        </is>
      </c>
      <c r="F3098" t="inlineStr">
        <is>
          <t>Thomas Kowalski</t>
        </is>
      </c>
      <c r="G3098" t="inlineStr">
        <is>
          <t>United Kingdom</t>
        </is>
      </c>
      <c r="H3098" t="inlineStr">
        <is>
          <t>Web Store</t>
        </is>
      </c>
      <c r="I3098" t="n">
        <v>5</v>
      </c>
      <c r="J3098" s="3" t="n">
        <v>1548.15</v>
      </c>
      <c r="K3098" s="3" t="n">
        <v>232.22</v>
      </c>
      <c r="L3098" s="3" t="n">
        <v>1315.93</v>
      </c>
      <c r="M3098" s="3" t="n">
        <v>868.3</v>
      </c>
      <c r="N3098" s="3" t="n">
        <v>447.63</v>
      </c>
      <c r="O3098">
        <f>TEXT(A3098,"yyyy-mm")</f>
        <v/>
      </c>
    </row>
    <row r="3099">
      <c r="A3099" s="2" t="n">
        <v>46010</v>
      </c>
      <c r="B3099" t="n">
        <v>2025</v>
      </c>
      <c r="C3099" t="inlineStr">
        <is>
          <t>December</t>
        </is>
      </c>
      <c r="D3099" t="inlineStr">
        <is>
          <t>Premium Tent</t>
        </is>
      </c>
      <c r="E3099" t="inlineStr">
        <is>
          <t>Sports &amp; Outdoors</t>
        </is>
      </c>
      <c r="F3099" t="inlineStr">
        <is>
          <t>Emily Conti</t>
        </is>
      </c>
      <c r="G3099" t="inlineStr">
        <is>
          <t>Germany</t>
        </is>
      </c>
      <c r="H3099" t="inlineStr">
        <is>
          <t>Marketplace</t>
        </is>
      </c>
      <c r="I3099" t="n">
        <v>3</v>
      </c>
      <c r="J3099" s="3" t="n">
        <v>416.76</v>
      </c>
      <c r="K3099" s="3" t="n">
        <v>41.68</v>
      </c>
      <c r="L3099" s="3" t="n">
        <v>375.08</v>
      </c>
      <c r="M3099" s="3" t="n">
        <v>289.2</v>
      </c>
      <c r="N3099" s="3" t="n">
        <v>85.88</v>
      </c>
      <c r="O3099">
        <f>TEXT(A3099,"yyyy-mm")</f>
        <v/>
      </c>
    </row>
    <row r="3100">
      <c r="A3100" s="2" t="n">
        <v>46010</v>
      </c>
      <c r="B3100" t="n">
        <v>2025</v>
      </c>
      <c r="C3100" t="inlineStr">
        <is>
          <t>December</t>
        </is>
      </c>
      <c r="D3100" t="inlineStr">
        <is>
          <t>Eco Sweater</t>
        </is>
      </c>
      <c r="E3100" t="inlineStr">
        <is>
          <t>Clothing</t>
        </is>
      </c>
      <c r="F3100" t="inlineStr">
        <is>
          <t>Emily Conti</t>
        </is>
      </c>
      <c r="G3100" t="inlineStr">
        <is>
          <t>Germany</t>
        </is>
      </c>
      <c r="H3100" t="inlineStr">
        <is>
          <t>Marketplace</t>
        </is>
      </c>
      <c r="I3100" t="n">
        <v>3</v>
      </c>
      <c r="J3100" s="3" t="n">
        <v>468.24</v>
      </c>
      <c r="K3100" s="3" t="n">
        <v>46.82</v>
      </c>
      <c r="L3100" s="3" t="n">
        <v>421.42</v>
      </c>
      <c r="M3100" s="3" t="n">
        <v>312.69</v>
      </c>
      <c r="N3100" s="3" t="n">
        <v>108.73</v>
      </c>
      <c r="O3100">
        <f>TEXT(A3100,"yyyy-mm")</f>
        <v/>
      </c>
    </row>
    <row r="3101">
      <c r="A3101" s="2" t="n">
        <v>46010</v>
      </c>
      <c r="B3101" t="n">
        <v>2025</v>
      </c>
      <c r="C3101" t="inlineStr">
        <is>
          <t>December</t>
        </is>
      </c>
      <c r="D3101" t="inlineStr">
        <is>
          <t>Classic Atlas</t>
        </is>
      </c>
      <c r="E3101" t="inlineStr">
        <is>
          <t>Books</t>
        </is>
      </c>
      <c r="F3101" t="inlineStr">
        <is>
          <t>Emily Conti</t>
        </is>
      </c>
      <c r="G3101" t="inlineStr">
        <is>
          <t>Germany</t>
        </is>
      </c>
      <c r="H3101" t="inlineStr">
        <is>
          <t>Marketplace</t>
        </is>
      </c>
      <c r="I3101" t="n">
        <v>4</v>
      </c>
      <c r="J3101" s="3" t="n">
        <v>249.36</v>
      </c>
      <c r="K3101" s="3" t="n">
        <v>37.4</v>
      </c>
      <c r="L3101" s="3" t="n">
        <v>211.96</v>
      </c>
      <c r="M3101" s="3" t="n">
        <v>138.36</v>
      </c>
      <c r="N3101" s="3" t="n">
        <v>73.59999999999999</v>
      </c>
      <c r="O3101">
        <f>TEXT(A3101,"yyyy-mm")</f>
        <v/>
      </c>
    </row>
    <row r="3102">
      <c r="A3102" s="2" t="n">
        <v>46010</v>
      </c>
      <c r="B3102" t="n">
        <v>2025</v>
      </c>
      <c r="C3102" t="inlineStr">
        <is>
          <t>December</t>
        </is>
      </c>
      <c r="D3102" t="inlineStr">
        <is>
          <t>Essential Planter</t>
        </is>
      </c>
      <c r="E3102" t="inlineStr">
        <is>
          <t>Home &amp; Garden</t>
        </is>
      </c>
      <c r="F3102" t="inlineStr">
        <is>
          <t>Clara Martin</t>
        </is>
      </c>
      <c r="G3102" t="inlineStr">
        <is>
          <t>United States</t>
        </is>
      </c>
      <c r="H3102" t="inlineStr">
        <is>
          <t>Mobile App</t>
        </is>
      </c>
      <c r="I3102" t="n">
        <v>4</v>
      </c>
      <c r="J3102" s="3" t="n">
        <v>98.68000000000001</v>
      </c>
      <c r="K3102" s="3" t="n">
        <v>0</v>
      </c>
      <c r="L3102" s="3" t="n">
        <v>98.68000000000001</v>
      </c>
      <c r="M3102" s="3" t="n">
        <v>78.56</v>
      </c>
      <c r="N3102" s="3" t="n">
        <v>20.12</v>
      </c>
      <c r="O3102">
        <f>TEXT(A3102,"yyyy-mm")</f>
        <v/>
      </c>
    </row>
    <row r="3103">
      <c r="A3103" s="2" t="n">
        <v>46010</v>
      </c>
      <c r="B3103" t="n">
        <v>2025</v>
      </c>
      <c r="C3103" t="inlineStr">
        <is>
          <t>December</t>
        </is>
      </c>
      <c r="D3103" t="inlineStr">
        <is>
          <t>Essential Pasta</t>
        </is>
      </c>
      <c r="E3103" t="inlineStr">
        <is>
          <t>Grocery</t>
        </is>
      </c>
      <c r="F3103" t="inlineStr">
        <is>
          <t>Clara Martin</t>
        </is>
      </c>
      <c r="G3103" t="inlineStr">
        <is>
          <t>United States</t>
        </is>
      </c>
      <c r="H3103" t="inlineStr">
        <is>
          <t>Mobile App</t>
        </is>
      </c>
      <c r="I3103" t="n">
        <v>5</v>
      </c>
      <c r="J3103" s="3" t="n">
        <v>267.95</v>
      </c>
      <c r="K3103" s="3" t="n">
        <v>0</v>
      </c>
      <c r="L3103" s="3" t="n">
        <v>267.95</v>
      </c>
      <c r="M3103" s="3" t="n">
        <v>179.05</v>
      </c>
      <c r="N3103" s="3" t="n">
        <v>88.90000000000001</v>
      </c>
      <c r="O3103">
        <f>TEXT(A3103,"yyyy-mm")</f>
        <v/>
      </c>
    </row>
    <row r="3104">
      <c r="A3104" s="2" t="n">
        <v>46010</v>
      </c>
      <c r="B3104" t="n">
        <v>2025</v>
      </c>
      <c r="C3104" t="inlineStr">
        <is>
          <t>December</t>
        </is>
      </c>
      <c r="D3104" t="inlineStr">
        <is>
          <t>Premium Tent</t>
        </is>
      </c>
      <c r="E3104" t="inlineStr">
        <is>
          <t>Sports &amp; Outdoors</t>
        </is>
      </c>
      <c r="F3104" t="inlineStr">
        <is>
          <t>Mark Smith</t>
        </is>
      </c>
      <c r="G3104" t="inlineStr">
        <is>
          <t>United States</t>
        </is>
      </c>
      <c r="H3104" t="inlineStr">
        <is>
          <t>Web Store</t>
        </is>
      </c>
      <c r="I3104" t="n">
        <v>2</v>
      </c>
      <c r="J3104" s="3" t="n">
        <v>494.16</v>
      </c>
      <c r="K3104" s="3" t="n">
        <v>49.42</v>
      </c>
      <c r="L3104" s="3" t="n">
        <v>444.74</v>
      </c>
      <c r="M3104" s="3" t="n">
        <v>278.08</v>
      </c>
      <c r="N3104" s="3" t="n">
        <v>166.66</v>
      </c>
      <c r="O3104">
        <f>TEXT(A3104,"yyyy-mm")</f>
        <v/>
      </c>
    </row>
    <row r="3105">
      <c r="A3105" s="2" t="n">
        <v>46010</v>
      </c>
      <c r="B3105" t="n">
        <v>2025</v>
      </c>
      <c r="C3105" t="inlineStr">
        <is>
          <t>December</t>
        </is>
      </c>
      <c r="D3105" t="inlineStr">
        <is>
          <t>Classic Bike Helmet</t>
        </is>
      </c>
      <c r="E3105" t="inlineStr">
        <is>
          <t>Sports &amp; Outdoors</t>
        </is>
      </c>
      <c r="F3105" t="inlineStr">
        <is>
          <t>Clara Smith</t>
        </is>
      </c>
      <c r="G3105" t="inlineStr">
        <is>
          <t>Poland</t>
        </is>
      </c>
      <c r="H3105" t="inlineStr">
        <is>
          <t>Web Store</t>
        </is>
      </c>
      <c r="I3105" t="n">
        <v>5</v>
      </c>
      <c r="J3105" s="3" t="n">
        <v>1027.25</v>
      </c>
      <c r="K3105" s="3" t="n">
        <v>0</v>
      </c>
      <c r="L3105" s="3" t="n">
        <v>1027.25</v>
      </c>
      <c r="M3105" s="3" t="n">
        <v>769.05</v>
      </c>
      <c r="N3105" s="3" t="n">
        <v>258.2</v>
      </c>
      <c r="O3105">
        <f>TEXT(A3105,"yyyy-mm")</f>
        <v/>
      </c>
    </row>
    <row r="3106">
      <c r="A3106" s="2" t="n">
        <v>46010</v>
      </c>
      <c r="B3106" t="n">
        <v>2025</v>
      </c>
      <c r="C3106" t="inlineStr">
        <is>
          <t>December</t>
        </is>
      </c>
      <c r="D3106" t="inlineStr">
        <is>
          <t>Smart Honey</t>
        </is>
      </c>
      <c r="E3106" t="inlineStr">
        <is>
          <t>Grocery</t>
        </is>
      </c>
      <c r="F3106" t="inlineStr">
        <is>
          <t>Clara Smith</t>
        </is>
      </c>
      <c r="G3106" t="inlineStr">
        <is>
          <t>Poland</t>
        </is>
      </c>
      <c r="H3106" t="inlineStr">
        <is>
          <t>Web Store</t>
        </is>
      </c>
      <c r="I3106" t="n">
        <v>4</v>
      </c>
      <c r="J3106" s="3" t="n">
        <v>547.8</v>
      </c>
      <c r="K3106" s="3" t="n">
        <v>0</v>
      </c>
      <c r="L3106" s="3" t="n">
        <v>547.8</v>
      </c>
      <c r="M3106" s="3" t="n">
        <v>285.76</v>
      </c>
      <c r="N3106" s="3" t="n">
        <v>262.04</v>
      </c>
      <c r="O3106">
        <f>TEXT(A3106,"yyyy-mm")</f>
        <v/>
      </c>
    </row>
    <row r="3107">
      <c r="A3107" s="2" t="n">
        <v>46010</v>
      </c>
      <c r="B3107" t="n">
        <v>2025</v>
      </c>
      <c r="C3107" t="inlineStr">
        <is>
          <t>December</t>
        </is>
      </c>
      <c r="D3107" t="inlineStr">
        <is>
          <t>Premium Rug</t>
        </is>
      </c>
      <c r="E3107" t="inlineStr">
        <is>
          <t>Home &amp; Garden</t>
        </is>
      </c>
      <c r="F3107" t="inlineStr">
        <is>
          <t>John Weber</t>
        </is>
      </c>
      <c r="G3107" t="inlineStr">
        <is>
          <t>Italy</t>
        </is>
      </c>
      <c r="H3107" t="inlineStr">
        <is>
          <t>Mobile App</t>
        </is>
      </c>
      <c r="I3107" t="n">
        <v>3</v>
      </c>
      <c r="J3107" s="3" t="n">
        <v>589.71</v>
      </c>
      <c r="K3107" s="3" t="n">
        <v>0</v>
      </c>
      <c r="L3107" s="3" t="n">
        <v>589.71</v>
      </c>
      <c r="M3107" s="3" t="n">
        <v>333.57</v>
      </c>
      <c r="N3107" s="3" t="n">
        <v>256.14</v>
      </c>
      <c r="O3107">
        <f>TEXT(A3107,"yyyy-mm")</f>
        <v/>
      </c>
    </row>
    <row r="3108">
      <c r="A3108" s="2" t="n">
        <v>46010</v>
      </c>
      <c r="B3108" t="n">
        <v>2025</v>
      </c>
      <c r="C3108" t="inlineStr">
        <is>
          <t>December</t>
        </is>
      </c>
      <c r="D3108" t="inlineStr">
        <is>
          <t>Portable Puzzle</t>
        </is>
      </c>
      <c r="E3108" t="inlineStr">
        <is>
          <t>Toys &amp; Games</t>
        </is>
      </c>
      <c r="F3108" t="inlineStr">
        <is>
          <t>Clara Smith</t>
        </is>
      </c>
      <c r="G3108" t="inlineStr">
        <is>
          <t>Poland</t>
        </is>
      </c>
      <c r="H3108" t="inlineStr">
        <is>
          <t>Web Store</t>
        </is>
      </c>
      <c r="I3108" t="n">
        <v>3</v>
      </c>
      <c r="J3108" s="3" t="n">
        <v>343.14</v>
      </c>
      <c r="K3108" s="3" t="n">
        <v>0</v>
      </c>
      <c r="L3108" s="3" t="n">
        <v>343.14</v>
      </c>
      <c r="M3108" s="3" t="n">
        <v>176.4</v>
      </c>
      <c r="N3108" s="3" t="n">
        <v>166.74</v>
      </c>
      <c r="O3108">
        <f>TEXT(A3108,"yyyy-mm")</f>
        <v/>
      </c>
    </row>
    <row r="3109">
      <c r="A3109" s="2" t="n">
        <v>46010</v>
      </c>
      <c r="B3109" t="n">
        <v>2025</v>
      </c>
      <c r="C3109" t="inlineStr">
        <is>
          <t>December</t>
        </is>
      </c>
      <c r="D3109" t="inlineStr">
        <is>
          <t>Classic Tea Set</t>
        </is>
      </c>
      <c r="E3109" t="inlineStr">
        <is>
          <t>Grocery</t>
        </is>
      </c>
      <c r="F3109" t="inlineStr">
        <is>
          <t>John Weber</t>
        </is>
      </c>
      <c r="G3109" t="inlineStr">
        <is>
          <t>Italy</t>
        </is>
      </c>
      <c r="H3109" t="inlineStr">
        <is>
          <t>Mobile App</t>
        </is>
      </c>
      <c r="I3109" t="n">
        <v>1</v>
      </c>
      <c r="J3109" s="3" t="n">
        <v>186.34</v>
      </c>
      <c r="K3109" s="3" t="n">
        <v>0</v>
      </c>
      <c r="L3109" s="3" t="n">
        <v>186.34</v>
      </c>
      <c r="M3109" s="3" t="n">
        <v>125.4</v>
      </c>
      <c r="N3109" s="3" t="n">
        <v>60.94</v>
      </c>
      <c r="O3109">
        <f>TEXT(A3109,"yyyy-mm")</f>
        <v/>
      </c>
    </row>
    <row r="3110">
      <c r="A3110" s="2" t="n">
        <v>46010</v>
      </c>
      <c r="B3110" t="n">
        <v>2025</v>
      </c>
      <c r="C3110" t="inlineStr">
        <is>
          <t>December</t>
        </is>
      </c>
      <c r="D3110" t="inlineStr">
        <is>
          <t>Wireless Backpack</t>
        </is>
      </c>
      <c r="E3110" t="inlineStr">
        <is>
          <t>Sports &amp; Outdoors</t>
        </is>
      </c>
      <c r="F3110" t="inlineStr">
        <is>
          <t>Clara Smith</t>
        </is>
      </c>
      <c r="G3110" t="inlineStr">
        <is>
          <t>Poland</t>
        </is>
      </c>
      <c r="H3110" t="inlineStr">
        <is>
          <t>Web Store</t>
        </is>
      </c>
      <c r="I3110" t="n">
        <v>4</v>
      </c>
      <c r="J3110" s="3" t="n">
        <v>190.08</v>
      </c>
      <c r="K3110" s="3" t="n">
        <v>38.02</v>
      </c>
      <c r="L3110" s="3" t="n">
        <v>152.06</v>
      </c>
      <c r="M3110" s="3" t="n">
        <v>112.4</v>
      </c>
      <c r="N3110" s="3" t="n">
        <v>39.66</v>
      </c>
      <c r="O3110">
        <f>TEXT(A3110,"yyyy-mm")</f>
        <v/>
      </c>
    </row>
    <row r="3111">
      <c r="A3111" s="2" t="n">
        <v>46011</v>
      </c>
      <c r="B3111" t="n">
        <v>2025</v>
      </c>
      <c r="C3111" t="inlineStr">
        <is>
          <t>December</t>
        </is>
      </c>
      <c r="D3111" t="inlineStr">
        <is>
          <t>Ultra Toolset</t>
        </is>
      </c>
      <c r="E3111" t="inlineStr">
        <is>
          <t>Home &amp; Garden</t>
        </is>
      </c>
      <c r="F3111" t="inlineStr">
        <is>
          <t>Mark Moreau</t>
        </is>
      </c>
      <c r="G3111" t="inlineStr">
        <is>
          <t>Italy</t>
        </is>
      </c>
      <c r="H3111" t="inlineStr">
        <is>
          <t>Retail Store</t>
        </is>
      </c>
      <c r="I3111" t="n">
        <v>3</v>
      </c>
      <c r="J3111" s="3" t="n">
        <v>1120.56</v>
      </c>
      <c r="K3111" s="3" t="n">
        <v>168.08</v>
      </c>
      <c r="L3111" s="3" t="n">
        <v>952.48</v>
      </c>
      <c r="M3111" s="3" t="n">
        <v>571.2</v>
      </c>
      <c r="N3111" s="3" t="n">
        <v>381.28</v>
      </c>
      <c r="O3111">
        <f>TEXT(A3111,"yyyy-mm")</f>
        <v/>
      </c>
    </row>
    <row r="3112">
      <c r="A3112" s="2" t="n">
        <v>46011</v>
      </c>
      <c r="B3112" t="n">
        <v>2025</v>
      </c>
      <c r="C3112" t="inlineStr">
        <is>
          <t>December</t>
        </is>
      </c>
      <c r="D3112" t="inlineStr">
        <is>
          <t>Premium Water Bottle</t>
        </is>
      </c>
      <c r="E3112" t="inlineStr">
        <is>
          <t>Sports &amp; Outdoors</t>
        </is>
      </c>
      <c r="F3112" t="inlineStr">
        <is>
          <t>Mark Moreau</t>
        </is>
      </c>
      <c r="G3112" t="inlineStr">
        <is>
          <t>Italy</t>
        </is>
      </c>
      <c r="H3112" t="inlineStr">
        <is>
          <t>Retail Store</t>
        </is>
      </c>
      <c r="I3112" t="n">
        <v>5</v>
      </c>
      <c r="J3112" s="3" t="n">
        <v>140.85</v>
      </c>
      <c r="K3112" s="3" t="n">
        <v>28.17</v>
      </c>
      <c r="L3112" s="3" t="n">
        <v>112.68</v>
      </c>
      <c r="M3112" s="3" t="n">
        <v>83.15000000000001</v>
      </c>
      <c r="N3112" s="3" t="n">
        <v>29.53</v>
      </c>
      <c r="O3112">
        <f>TEXT(A3112,"yyyy-mm")</f>
        <v/>
      </c>
    </row>
    <row r="3113">
      <c r="A3113" s="2" t="n">
        <v>46011</v>
      </c>
      <c r="B3113" t="n">
        <v>2025</v>
      </c>
      <c r="C3113" t="inlineStr">
        <is>
          <t>December</t>
        </is>
      </c>
      <c r="D3113" t="inlineStr">
        <is>
          <t>Classic Sunscreen</t>
        </is>
      </c>
      <c r="E3113" t="inlineStr">
        <is>
          <t>Beauty &amp; Health</t>
        </is>
      </c>
      <c r="F3113" t="inlineStr">
        <is>
          <t>Mark Moreau</t>
        </is>
      </c>
      <c r="G3113" t="inlineStr">
        <is>
          <t>Italy</t>
        </is>
      </c>
      <c r="H3113" t="inlineStr">
        <is>
          <t>Retail Store</t>
        </is>
      </c>
      <c r="I3113" t="n">
        <v>3</v>
      </c>
      <c r="J3113" s="3" t="n">
        <v>403.71</v>
      </c>
      <c r="K3113" s="3" t="n">
        <v>60.56</v>
      </c>
      <c r="L3113" s="3" t="n">
        <v>343.15</v>
      </c>
      <c r="M3113" s="3" t="n">
        <v>281.07</v>
      </c>
      <c r="N3113" s="3" t="n">
        <v>62.08</v>
      </c>
      <c r="O3113">
        <f>TEXT(A3113,"yyyy-mm")</f>
        <v/>
      </c>
    </row>
    <row r="3114">
      <c r="A3114" s="2" t="n">
        <v>46011</v>
      </c>
      <c r="B3114" t="n">
        <v>2025</v>
      </c>
      <c r="C3114" t="inlineStr">
        <is>
          <t>December</t>
        </is>
      </c>
      <c r="D3114" t="inlineStr">
        <is>
          <t>Classic Coffee Beans</t>
        </is>
      </c>
      <c r="E3114" t="inlineStr">
        <is>
          <t>Grocery</t>
        </is>
      </c>
      <c r="F3114" t="inlineStr">
        <is>
          <t>Paul Zielinski</t>
        </is>
      </c>
      <c r="G3114" t="inlineStr">
        <is>
          <t>Germany</t>
        </is>
      </c>
      <c r="H3114" t="inlineStr">
        <is>
          <t>Marketplace</t>
        </is>
      </c>
      <c r="I3114" t="n">
        <v>5</v>
      </c>
      <c r="J3114" s="3" t="n">
        <v>1547.5</v>
      </c>
      <c r="K3114" s="3" t="n">
        <v>77.38</v>
      </c>
      <c r="L3114" s="3" t="n">
        <v>1470.12</v>
      </c>
      <c r="M3114" s="3" t="n">
        <v>973.8</v>
      </c>
      <c r="N3114" s="3" t="n">
        <v>496.33</v>
      </c>
      <c r="O3114">
        <f>TEXT(A3114,"yyyy-mm")</f>
        <v/>
      </c>
    </row>
    <row r="3115">
      <c r="A3115" s="2" t="n">
        <v>46012</v>
      </c>
      <c r="B3115" t="n">
        <v>2025</v>
      </c>
      <c r="C3115" t="inlineStr">
        <is>
          <t>December</t>
        </is>
      </c>
      <c r="D3115" t="inlineStr">
        <is>
          <t>Portable Puzzle</t>
        </is>
      </c>
      <c r="E3115" t="inlineStr">
        <is>
          <t>Toys &amp; Games</t>
        </is>
      </c>
      <c r="F3115" t="inlineStr">
        <is>
          <t>Olivia Garcia</t>
        </is>
      </c>
      <c r="G3115" t="inlineStr">
        <is>
          <t>United States</t>
        </is>
      </c>
      <c r="H3115" t="inlineStr">
        <is>
          <t>Web Store</t>
        </is>
      </c>
      <c r="I3115" t="n">
        <v>4</v>
      </c>
      <c r="J3115" s="3" t="n">
        <v>1218.56</v>
      </c>
      <c r="K3115" s="3" t="n">
        <v>0</v>
      </c>
      <c r="L3115" s="3" t="n">
        <v>1218.56</v>
      </c>
      <c r="M3115" s="3" t="n">
        <v>694.64</v>
      </c>
      <c r="N3115" s="3" t="n">
        <v>523.92</v>
      </c>
      <c r="O3115">
        <f>TEXT(A3115,"yyyy-mm")</f>
        <v/>
      </c>
    </row>
    <row r="3116">
      <c r="A3116" s="2" t="n">
        <v>46012</v>
      </c>
      <c r="B3116" t="n">
        <v>2025</v>
      </c>
      <c r="C3116" t="inlineStr">
        <is>
          <t>December</t>
        </is>
      </c>
      <c r="D3116" t="inlineStr">
        <is>
          <t>Smart Honey</t>
        </is>
      </c>
      <c r="E3116" t="inlineStr">
        <is>
          <t>Grocery</t>
        </is>
      </c>
      <c r="F3116" t="inlineStr">
        <is>
          <t>Olivia Garcia</t>
        </is>
      </c>
      <c r="G3116" t="inlineStr">
        <is>
          <t>United States</t>
        </is>
      </c>
      <c r="H3116" t="inlineStr">
        <is>
          <t>Web Store</t>
        </is>
      </c>
      <c r="I3116" t="n">
        <v>4</v>
      </c>
      <c r="J3116" s="3" t="n">
        <v>563.84</v>
      </c>
      <c r="K3116" s="3" t="n">
        <v>112.77</v>
      </c>
      <c r="L3116" s="3" t="n">
        <v>451.07</v>
      </c>
      <c r="M3116" s="3" t="n">
        <v>285.76</v>
      </c>
      <c r="N3116" s="3" t="n">
        <v>165.31</v>
      </c>
      <c r="O3116">
        <f>TEXT(A3116,"yyyy-mm")</f>
        <v/>
      </c>
    </row>
    <row r="3117">
      <c r="A3117" s="2" t="n">
        <v>46012</v>
      </c>
      <c r="B3117" t="n">
        <v>2025</v>
      </c>
      <c r="C3117" t="inlineStr">
        <is>
          <t>December</t>
        </is>
      </c>
      <c r="D3117" t="inlineStr">
        <is>
          <t>Essential Planter</t>
        </is>
      </c>
      <c r="E3117" t="inlineStr">
        <is>
          <t>Home &amp; Garden</t>
        </is>
      </c>
      <c r="F3117" t="inlineStr">
        <is>
          <t>Olivia Garcia</t>
        </is>
      </c>
      <c r="G3117" t="inlineStr">
        <is>
          <t>United States</t>
        </is>
      </c>
      <c r="H3117" t="inlineStr">
        <is>
          <t>Web Store</t>
        </is>
      </c>
      <c r="I3117" t="n">
        <v>2</v>
      </c>
      <c r="J3117" s="3" t="n">
        <v>51.56</v>
      </c>
      <c r="K3117" s="3" t="n">
        <v>5.16</v>
      </c>
      <c r="L3117" s="3" t="n">
        <v>46.4</v>
      </c>
      <c r="M3117" s="3" t="n">
        <v>39.28</v>
      </c>
      <c r="N3117" s="3" t="n">
        <v>7.12</v>
      </c>
      <c r="O3117">
        <f>TEXT(A3117,"yyyy-mm")</f>
        <v/>
      </c>
    </row>
    <row r="3118">
      <c r="A3118" s="2" t="n">
        <v>46012</v>
      </c>
      <c r="B3118" t="n">
        <v>2025</v>
      </c>
      <c r="C3118" t="inlineStr">
        <is>
          <t>December</t>
        </is>
      </c>
      <c r="D3118" t="inlineStr">
        <is>
          <t>Ultra Toolset</t>
        </is>
      </c>
      <c r="E3118" t="inlineStr">
        <is>
          <t>Home &amp; Garden</t>
        </is>
      </c>
      <c r="F3118" t="inlineStr">
        <is>
          <t>Paul Weber</t>
        </is>
      </c>
      <c r="G3118" t="inlineStr">
        <is>
          <t>Germany</t>
        </is>
      </c>
      <c r="H3118" t="inlineStr">
        <is>
          <t>Web Store</t>
        </is>
      </c>
      <c r="I3118" t="n">
        <v>1</v>
      </c>
      <c r="J3118" s="3" t="n">
        <v>372.45</v>
      </c>
      <c r="K3118" s="3" t="n">
        <v>0</v>
      </c>
      <c r="L3118" s="3" t="n">
        <v>372.45</v>
      </c>
      <c r="M3118" s="3" t="n">
        <v>190.4</v>
      </c>
      <c r="N3118" s="3" t="n">
        <v>182.05</v>
      </c>
      <c r="O3118">
        <f>TEXT(A3118,"yyyy-mm")</f>
        <v/>
      </c>
    </row>
    <row r="3119">
      <c r="A3119" s="2" t="n">
        <v>46012</v>
      </c>
      <c r="B3119" t="n">
        <v>2025</v>
      </c>
      <c r="C3119" t="inlineStr">
        <is>
          <t>December</t>
        </is>
      </c>
      <c r="D3119" t="inlineStr">
        <is>
          <t>Smart Olive Oil</t>
        </is>
      </c>
      <c r="E3119" t="inlineStr">
        <is>
          <t>Grocery</t>
        </is>
      </c>
      <c r="F3119" t="inlineStr">
        <is>
          <t>Paul Weber</t>
        </is>
      </c>
      <c r="G3119" t="inlineStr">
        <is>
          <t>Germany</t>
        </is>
      </c>
      <c r="H3119" t="inlineStr">
        <is>
          <t>Web Store</t>
        </is>
      </c>
      <c r="I3119" t="n">
        <v>3</v>
      </c>
      <c r="J3119" s="3" t="n">
        <v>496.44</v>
      </c>
      <c r="K3119" s="3" t="n">
        <v>49.64</v>
      </c>
      <c r="L3119" s="3" t="n">
        <v>446.8</v>
      </c>
      <c r="M3119" s="3" t="n">
        <v>330.06</v>
      </c>
      <c r="N3119" s="3" t="n">
        <v>116.74</v>
      </c>
      <c r="O3119">
        <f>TEXT(A3119,"yyyy-mm")</f>
        <v/>
      </c>
    </row>
    <row r="3120">
      <c r="A3120" s="2" t="n">
        <v>46012</v>
      </c>
      <c r="B3120" t="n">
        <v>2025</v>
      </c>
      <c r="C3120" t="inlineStr">
        <is>
          <t>December</t>
        </is>
      </c>
      <c r="D3120" t="inlineStr">
        <is>
          <t>Compact Jacket</t>
        </is>
      </c>
      <c r="E3120" t="inlineStr">
        <is>
          <t>Clothing</t>
        </is>
      </c>
      <c r="F3120" t="inlineStr">
        <is>
          <t>Paul Weber</t>
        </is>
      </c>
      <c r="G3120" t="inlineStr">
        <is>
          <t>Germany</t>
        </is>
      </c>
      <c r="H3120" t="inlineStr">
        <is>
          <t>Web Store</t>
        </is>
      </c>
      <c r="I3120" t="n">
        <v>2</v>
      </c>
      <c r="J3120" s="3" t="n">
        <v>77.45999999999999</v>
      </c>
      <c r="K3120" s="3" t="n">
        <v>0</v>
      </c>
      <c r="L3120" s="3" t="n">
        <v>77.45999999999999</v>
      </c>
      <c r="M3120" s="3" t="n">
        <v>40.8</v>
      </c>
      <c r="N3120" s="3" t="n">
        <v>36.66</v>
      </c>
      <c r="O3120">
        <f>TEXT(A3120,"yyyy-mm")</f>
        <v/>
      </c>
    </row>
    <row r="3121">
      <c r="A3121" s="2" t="n">
        <v>46013</v>
      </c>
      <c r="B3121" t="n">
        <v>2025</v>
      </c>
      <c r="C3121" t="inlineStr">
        <is>
          <t>December</t>
        </is>
      </c>
      <c r="D3121" t="inlineStr">
        <is>
          <t>Premium Tent</t>
        </is>
      </c>
      <c r="E3121" t="inlineStr">
        <is>
          <t>Sports &amp; Outdoors</t>
        </is>
      </c>
      <c r="F3121" t="inlineStr">
        <is>
          <t>Clara Johnson</t>
        </is>
      </c>
      <c r="G3121" t="inlineStr">
        <is>
          <t>United Kingdom</t>
        </is>
      </c>
      <c r="H3121" t="inlineStr">
        <is>
          <t>Marketplace</t>
        </is>
      </c>
      <c r="I3121" t="n">
        <v>2</v>
      </c>
      <c r="J3121" s="3" t="n">
        <v>517</v>
      </c>
      <c r="K3121" s="3" t="n">
        <v>77.55</v>
      </c>
      <c r="L3121" s="3" t="n">
        <v>439.45</v>
      </c>
      <c r="M3121" s="3" t="n">
        <v>330.62</v>
      </c>
      <c r="N3121" s="3" t="n">
        <v>108.83</v>
      </c>
      <c r="O3121">
        <f>TEXT(A3121,"yyyy-mm")</f>
        <v/>
      </c>
    </row>
    <row r="3122">
      <c r="A3122" s="2" t="n">
        <v>46014</v>
      </c>
      <c r="B3122" t="n">
        <v>2025</v>
      </c>
      <c r="C3122" t="inlineStr">
        <is>
          <t>December</t>
        </is>
      </c>
      <c r="D3122" t="inlineStr">
        <is>
          <t>Eco Backpack</t>
        </is>
      </c>
      <c r="E3122" t="inlineStr">
        <is>
          <t>Sports &amp; Outdoors</t>
        </is>
      </c>
      <c r="F3122" t="inlineStr">
        <is>
          <t>Olivia Weber</t>
        </is>
      </c>
      <c r="G3122" t="inlineStr">
        <is>
          <t>United States</t>
        </is>
      </c>
      <c r="H3122" t="inlineStr">
        <is>
          <t>Mobile App</t>
        </is>
      </c>
      <c r="I3122" t="n">
        <v>5</v>
      </c>
      <c r="J3122" s="3" t="n">
        <v>1327.05</v>
      </c>
      <c r="K3122" s="3" t="n">
        <v>199.06</v>
      </c>
      <c r="L3122" s="3" t="n">
        <v>1127.99</v>
      </c>
      <c r="M3122" s="3" t="n">
        <v>732.9</v>
      </c>
      <c r="N3122" s="3" t="n">
        <v>395.09</v>
      </c>
      <c r="O3122">
        <f>TEXT(A3122,"yyyy-mm")</f>
        <v/>
      </c>
    </row>
    <row r="3123">
      <c r="A3123" s="2" t="n">
        <v>46014</v>
      </c>
      <c r="B3123" t="n">
        <v>2025</v>
      </c>
      <c r="C3123" t="inlineStr">
        <is>
          <t>December</t>
        </is>
      </c>
      <c r="D3123" t="inlineStr">
        <is>
          <t>Classic Atlas</t>
        </is>
      </c>
      <c r="E3123" t="inlineStr">
        <is>
          <t>Books</t>
        </is>
      </c>
      <c r="F3123" t="inlineStr">
        <is>
          <t>Thomas Lopez</t>
        </is>
      </c>
      <c r="G3123" t="inlineStr">
        <is>
          <t>Spain</t>
        </is>
      </c>
      <c r="H3123" t="inlineStr">
        <is>
          <t>Retail Store</t>
        </is>
      </c>
      <c r="I3123" t="n">
        <v>2</v>
      </c>
      <c r="J3123" s="3" t="n">
        <v>122.44</v>
      </c>
      <c r="K3123" s="3" t="n">
        <v>18.37</v>
      </c>
      <c r="L3123" s="3" t="n">
        <v>104.07</v>
      </c>
      <c r="M3123" s="3" t="n">
        <v>69.18000000000001</v>
      </c>
      <c r="N3123" s="3" t="n">
        <v>34.89</v>
      </c>
      <c r="O3123">
        <f>TEXT(A3123,"yyyy-mm")</f>
        <v/>
      </c>
    </row>
    <row r="3124">
      <c r="A3124" s="2" t="n">
        <v>46014</v>
      </c>
      <c r="B3124" t="n">
        <v>2025</v>
      </c>
      <c r="C3124" t="inlineStr">
        <is>
          <t>December</t>
        </is>
      </c>
      <c r="D3124" t="inlineStr">
        <is>
          <t>Premium Tent</t>
        </is>
      </c>
      <c r="E3124" t="inlineStr">
        <is>
          <t>Sports &amp; Outdoors</t>
        </is>
      </c>
      <c r="F3124" t="inlineStr">
        <is>
          <t>Thomas Lopez</t>
        </is>
      </c>
      <c r="G3124" t="inlineStr">
        <is>
          <t>Spain</t>
        </is>
      </c>
      <c r="H3124" t="inlineStr">
        <is>
          <t>Retail Store</t>
        </is>
      </c>
      <c r="I3124" t="n">
        <v>5</v>
      </c>
      <c r="J3124" s="3" t="n">
        <v>710.8</v>
      </c>
      <c r="K3124" s="3" t="n">
        <v>0</v>
      </c>
      <c r="L3124" s="3" t="n">
        <v>710.8</v>
      </c>
      <c r="M3124" s="3" t="n">
        <v>482</v>
      </c>
      <c r="N3124" s="3" t="n">
        <v>228.8</v>
      </c>
      <c r="O3124">
        <f>TEXT(A3124,"yyyy-mm")</f>
        <v/>
      </c>
    </row>
    <row r="3125">
      <c r="A3125" s="2" t="n">
        <v>46014</v>
      </c>
      <c r="B3125" t="n">
        <v>2025</v>
      </c>
      <c r="C3125" t="inlineStr">
        <is>
          <t>December</t>
        </is>
      </c>
      <c r="D3125" t="inlineStr">
        <is>
          <t>Classic Charger</t>
        </is>
      </c>
      <c r="E3125" t="inlineStr">
        <is>
          <t>Electronics</t>
        </is>
      </c>
      <c r="F3125" t="inlineStr">
        <is>
          <t>Thomas Lopez</t>
        </is>
      </c>
      <c r="G3125" t="inlineStr">
        <is>
          <t>Spain</t>
        </is>
      </c>
      <c r="H3125" t="inlineStr">
        <is>
          <t>Retail Store</t>
        </is>
      </c>
      <c r="I3125" t="n">
        <v>2</v>
      </c>
      <c r="J3125" s="3" t="n">
        <v>195.9</v>
      </c>
      <c r="K3125" s="3" t="n">
        <v>0</v>
      </c>
      <c r="L3125" s="3" t="n">
        <v>195.9</v>
      </c>
      <c r="M3125" s="3" t="n">
        <v>124.42</v>
      </c>
      <c r="N3125" s="3" t="n">
        <v>71.48</v>
      </c>
      <c r="O3125">
        <f>TEXT(A3125,"yyyy-mm")</f>
        <v/>
      </c>
    </row>
    <row r="3126">
      <c r="A3126" s="2" t="n">
        <v>46014</v>
      </c>
      <c r="B3126" t="n">
        <v>2025</v>
      </c>
      <c r="C3126" t="inlineStr">
        <is>
          <t>December</t>
        </is>
      </c>
      <c r="D3126" t="inlineStr">
        <is>
          <t>Portable Puzzle</t>
        </is>
      </c>
      <c r="E3126" t="inlineStr">
        <is>
          <t>Toys &amp; Games</t>
        </is>
      </c>
      <c r="F3126" t="inlineStr">
        <is>
          <t>Sophie Bianchi</t>
        </is>
      </c>
      <c r="G3126" t="inlineStr">
        <is>
          <t>United States</t>
        </is>
      </c>
      <c r="H3126" t="inlineStr">
        <is>
          <t>Mobile App</t>
        </is>
      </c>
      <c r="I3126" t="n">
        <v>1</v>
      </c>
      <c r="J3126" s="3" t="n">
        <v>311.19</v>
      </c>
      <c r="K3126" s="3" t="n">
        <v>0</v>
      </c>
      <c r="L3126" s="3" t="n">
        <v>311.19</v>
      </c>
      <c r="M3126" s="3" t="n">
        <v>173.66</v>
      </c>
      <c r="N3126" s="3" t="n">
        <v>137.53</v>
      </c>
      <c r="O3126">
        <f>TEXT(A3126,"yyyy-mm")</f>
        <v/>
      </c>
    </row>
    <row r="3127">
      <c r="A3127" s="2" t="n">
        <v>46014</v>
      </c>
      <c r="B3127" t="n">
        <v>2025</v>
      </c>
      <c r="C3127" t="inlineStr">
        <is>
          <t>December</t>
        </is>
      </c>
      <c r="D3127" t="inlineStr">
        <is>
          <t>Essential Vitamins</t>
        </is>
      </c>
      <c r="E3127" t="inlineStr">
        <is>
          <t>Beauty &amp; Health</t>
        </is>
      </c>
      <c r="F3127" t="inlineStr">
        <is>
          <t>Sophie Bianchi</t>
        </is>
      </c>
      <c r="G3127" t="inlineStr">
        <is>
          <t>United States</t>
        </is>
      </c>
      <c r="H3127" t="inlineStr">
        <is>
          <t>Mobile App</t>
        </is>
      </c>
      <c r="I3127" t="n">
        <v>3</v>
      </c>
      <c r="J3127" s="3" t="n">
        <v>515.55</v>
      </c>
      <c r="K3127" s="3" t="n">
        <v>77.33</v>
      </c>
      <c r="L3127" s="3" t="n">
        <v>438.22</v>
      </c>
      <c r="M3127" s="3" t="n">
        <v>330.9</v>
      </c>
      <c r="N3127" s="3" t="n">
        <v>107.32</v>
      </c>
      <c r="O3127">
        <f>TEXT(A3127,"yyyy-mm")</f>
        <v/>
      </c>
    </row>
    <row r="3128">
      <c r="A3128" s="2" t="n">
        <v>46014</v>
      </c>
      <c r="B3128" t="n">
        <v>2025</v>
      </c>
      <c r="C3128" t="inlineStr">
        <is>
          <t>December</t>
        </is>
      </c>
      <c r="D3128" t="inlineStr">
        <is>
          <t>Essential Planter</t>
        </is>
      </c>
      <c r="E3128" t="inlineStr">
        <is>
          <t>Home &amp; Garden</t>
        </is>
      </c>
      <c r="F3128" t="inlineStr">
        <is>
          <t>Sophie Bianchi</t>
        </is>
      </c>
      <c r="G3128" t="inlineStr">
        <is>
          <t>United States</t>
        </is>
      </c>
      <c r="H3128" t="inlineStr">
        <is>
          <t>Mobile App</t>
        </is>
      </c>
      <c r="I3128" t="n">
        <v>2</v>
      </c>
      <c r="J3128" s="3" t="n">
        <v>51.46</v>
      </c>
      <c r="K3128" s="3" t="n">
        <v>7.72</v>
      </c>
      <c r="L3128" s="3" t="n">
        <v>43.74</v>
      </c>
      <c r="M3128" s="3" t="n">
        <v>39.28</v>
      </c>
      <c r="N3128" s="3" t="n">
        <v>4.46</v>
      </c>
      <c r="O3128">
        <f>TEXT(A3128,"yyyy-mm")</f>
        <v/>
      </c>
    </row>
    <row r="3129">
      <c r="A3129" s="2" t="n">
        <v>46014</v>
      </c>
      <c r="B3129" t="n">
        <v>2025</v>
      </c>
      <c r="C3129" t="inlineStr">
        <is>
          <t>December</t>
        </is>
      </c>
      <c r="D3129" t="inlineStr">
        <is>
          <t>Deluxe Headphones</t>
        </is>
      </c>
      <c r="E3129" t="inlineStr">
        <is>
          <t>Electronics</t>
        </is>
      </c>
      <c r="F3129" t="inlineStr">
        <is>
          <t>Sophie Bianchi</t>
        </is>
      </c>
      <c r="G3129" t="inlineStr">
        <is>
          <t>United States</t>
        </is>
      </c>
      <c r="H3129" t="inlineStr">
        <is>
          <t>Mobile App</t>
        </is>
      </c>
      <c r="I3129" t="n">
        <v>1</v>
      </c>
      <c r="J3129" s="3" t="n">
        <v>72.02</v>
      </c>
      <c r="K3129" s="3" t="n">
        <v>3.6</v>
      </c>
      <c r="L3129" s="3" t="n">
        <v>68.42</v>
      </c>
      <c r="M3129" s="3" t="n">
        <v>52.5</v>
      </c>
      <c r="N3129" s="3" t="n">
        <v>15.92</v>
      </c>
      <c r="O3129">
        <f>TEXT(A3129,"yyyy-mm")</f>
        <v/>
      </c>
    </row>
    <row r="3130">
      <c r="A3130" s="2" t="n">
        <v>46014</v>
      </c>
      <c r="B3130" t="n">
        <v>2025</v>
      </c>
      <c r="C3130" t="inlineStr">
        <is>
          <t>December</t>
        </is>
      </c>
      <c r="D3130" t="inlineStr">
        <is>
          <t>Compact Jacket</t>
        </is>
      </c>
      <c r="E3130" t="inlineStr">
        <is>
          <t>Clothing</t>
        </is>
      </c>
      <c r="F3130" t="inlineStr">
        <is>
          <t>Olivia Weber</t>
        </is>
      </c>
      <c r="G3130" t="inlineStr">
        <is>
          <t>United States</t>
        </is>
      </c>
      <c r="H3130" t="inlineStr">
        <is>
          <t>Mobile App</t>
        </is>
      </c>
      <c r="I3130" t="n">
        <v>2</v>
      </c>
      <c r="J3130" s="3" t="n">
        <v>71.78</v>
      </c>
      <c r="K3130" s="3" t="n">
        <v>0</v>
      </c>
      <c r="L3130" s="3" t="n">
        <v>71.78</v>
      </c>
      <c r="M3130" s="3" t="n">
        <v>40.8</v>
      </c>
      <c r="N3130" s="3" t="n">
        <v>30.98</v>
      </c>
      <c r="O3130">
        <f>TEXT(A3130,"yyyy-mm")</f>
        <v/>
      </c>
    </row>
    <row r="3131">
      <c r="A3131" s="2" t="n">
        <v>46015</v>
      </c>
      <c r="B3131" t="n">
        <v>2025</v>
      </c>
      <c r="C3131" t="inlineStr">
        <is>
          <t>December</t>
        </is>
      </c>
      <c r="D3131" t="inlineStr">
        <is>
          <t>Essential Vitamins</t>
        </is>
      </c>
      <c r="E3131" t="inlineStr">
        <is>
          <t>Beauty &amp; Health</t>
        </is>
      </c>
      <c r="F3131" t="inlineStr">
        <is>
          <t>Maria Dubois</t>
        </is>
      </c>
      <c r="G3131" t="inlineStr">
        <is>
          <t>Spain</t>
        </is>
      </c>
      <c r="H3131" t="inlineStr">
        <is>
          <t>Web Store</t>
        </is>
      </c>
      <c r="I3131" t="n">
        <v>5</v>
      </c>
      <c r="J3131" s="3" t="n">
        <v>884.75</v>
      </c>
      <c r="K3131" s="3" t="n">
        <v>132.71</v>
      </c>
      <c r="L3131" s="3" t="n">
        <v>752.04</v>
      </c>
      <c r="M3131" s="3" t="n">
        <v>551.5</v>
      </c>
      <c r="N3131" s="3" t="n">
        <v>200.54</v>
      </c>
      <c r="O3131">
        <f>TEXT(A3131,"yyyy-mm")</f>
        <v/>
      </c>
    </row>
    <row r="3132">
      <c r="A3132" s="2" t="n">
        <v>46016</v>
      </c>
      <c r="B3132" t="n">
        <v>2025</v>
      </c>
      <c r="C3132" t="inlineStr">
        <is>
          <t>December</t>
        </is>
      </c>
      <c r="D3132" t="inlineStr">
        <is>
          <t>Premium Water Bottle</t>
        </is>
      </c>
      <c r="E3132" t="inlineStr">
        <is>
          <t>Sports &amp; Outdoors</t>
        </is>
      </c>
      <c r="F3132" t="inlineStr">
        <is>
          <t>Laura Muller</t>
        </is>
      </c>
      <c r="G3132" t="inlineStr">
        <is>
          <t>Italy</t>
        </is>
      </c>
      <c r="H3132" t="inlineStr">
        <is>
          <t>Mobile App</t>
        </is>
      </c>
      <c r="I3132" t="n">
        <v>3</v>
      </c>
      <c r="J3132" s="3" t="n">
        <v>889.6799999999999</v>
      </c>
      <c r="K3132" s="3" t="n">
        <v>133.45</v>
      </c>
      <c r="L3132" s="3" t="n">
        <v>756.23</v>
      </c>
      <c r="M3132" s="3" t="n">
        <v>543.48</v>
      </c>
      <c r="N3132" s="3" t="n">
        <v>212.75</v>
      </c>
      <c r="O3132">
        <f>TEXT(A3132,"yyyy-mm")</f>
        <v/>
      </c>
    </row>
    <row r="3133">
      <c r="A3133" s="2" t="n">
        <v>46016</v>
      </c>
      <c r="B3133" t="n">
        <v>2025</v>
      </c>
      <c r="C3133" t="inlineStr">
        <is>
          <t>December</t>
        </is>
      </c>
      <c r="D3133" t="inlineStr">
        <is>
          <t>Essential Jacket</t>
        </is>
      </c>
      <c r="E3133" t="inlineStr">
        <is>
          <t>Clothing</t>
        </is>
      </c>
      <c r="F3133" t="inlineStr">
        <is>
          <t>Laura Muller</t>
        </is>
      </c>
      <c r="G3133" t="inlineStr">
        <is>
          <t>Italy</t>
        </is>
      </c>
      <c r="H3133" t="inlineStr">
        <is>
          <t>Mobile App</t>
        </is>
      </c>
      <c r="I3133" t="n">
        <v>3</v>
      </c>
      <c r="J3133" s="3" t="n">
        <v>426.9</v>
      </c>
      <c r="K3133" s="3" t="n">
        <v>64.04000000000001</v>
      </c>
      <c r="L3133" s="3" t="n">
        <v>362.86</v>
      </c>
      <c r="M3133" s="3" t="n">
        <v>256.05</v>
      </c>
      <c r="N3133" s="3" t="n">
        <v>106.82</v>
      </c>
      <c r="O3133">
        <f>TEXT(A3133,"yyyy-mm")</f>
        <v/>
      </c>
    </row>
    <row r="3134">
      <c r="A3134" s="2" t="n">
        <v>46016</v>
      </c>
      <c r="B3134" t="n">
        <v>2025</v>
      </c>
      <c r="C3134" t="inlineStr">
        <is>
          <t>December</t>
        </is>
      </c>
      <c r="D3134" t="inlineStr">
        <is>
          <t>Smart Puzzle</t>
        </is>
      </c>
      <c r="E3134" t="inlineStr">
        <is>
          <t>Toys &amp; Games</t>
        </is>
      </c>
      <c r="F3134" t="inlineStr">
        <is>
          <t>Emma Schmidt</t>
        </is>
      </c>
      <c r="G3134" t="inlineStr">
        <is>
          <t>France</t>
        </is>
      </c>
      <c r="H3134" t="inlineStr">
        <is>
          <t>Retail Store</t>
        </is>
      </c>
      <c r="I3134" t="n">
        <v>2</v>
      </c>
      <c r="J3134" s="3" t="n">
        <v>85.78</v>
      </c>
      <c r="K3134" s="3" t="n">
        <v>0</v>
      </c>
      <c r="L3134" s="3" t="n">
        <v>85.78</v>
      </c>
      <c r="M3134" s="3" t="n">
        <v>48.88</v>
      </c>
      <c r="N3134" s="3" t="n">
        <v>36.9</v>
      </c>
      <c r="O3134">
        <f>TEXT(A3134,"yyyy-mm")</f>
        <v/>
      </c>
    </row>
    <row r="3135">
      <c r="A3135" s="2" t="n">
        <v>46016</v>
      </c>
      <c r="B3135" t="n">
        <v>2025</v>
      </c>
      <c r="C3135" t="inlineStr">
        <is>
          <t>December</t>
        </is>
      </c>
      <c r="D3135" t="inlineStr">
        <is>
          <t>Portable Toolset</t>
        </is>
      </c>
      <c r="E3135" t="inlineStr">
        <is>
          <t>Home &amp; Garden</t>
        </is>
      </c>
      <c r="F3135" t="inlineStr">
        <is>
          <t>Emma Schmidt</t>
        </is>
      </c>
      <c r="G3135" t="inlineStr">
        <is>
          <t>France</t>
        </is>
      </c>
      <c r="H3135" t="inlineStr">
        <is>
          <t>Retail Store</t>
        </is>
      </c>
      <c r="I3135" t="n">
        <v>5</v>
      </c>
      <c r="J3135" s="3" t="n">
        <v>439.95</v>
      </c>
      <c r="K3135" s="3" t="n">
        <v>0</v>
      </c>
      <c r="L3135" s="3" t="n">
        <v>439.95</v>
      </c>
      <c r="M3135" s="3" t="n">
        <v>252.7</v>
      </c>
      <c r="N3135" s="3" t="n">
        <v>187.25</v>
      </c>
      <c r="O3135">
        <f>TEXT(A3135,"yyyy-mm")</f>
        <v/>
      </c>
    </row>
    <row r="3136">
      <c r="A3136" s="2" t="n">
        <v>46016</v>
      </c>
      <c r="B3136" t="n">
        <v>2025</v>
      </c>
      <c r="C3136" t="inlineStr">
        <is>
          <t>December</t>
        </is>
      </c>
      <c r="D3136" t="inlineStr">
        <is>
          <t>Smart Coffee Beans</t>
        </is>
      </c>
      <c r="E3136" t="inlineStr">
        <is>
          <t>Grocery</t>
        </is>
      </c>
      <c r="F3136" t="inlineStr">
        <is>
          <t>Emma Schmidt</t>
        </is>
      </c>
      <c r="G3136" t="inlineStr">
        <is>
          <t>France</t>
        </is>
      </c>
      <c r="H3136" t="inlineStr">
        <is>
          <t>Retail Store</t>
        </is>
      </c>
      <c r="I3136" t="n">
        <v>4</v>
      </c>
      <c r="J3136" s="3" t="n">
        <v>454.16</v>
      </c>
      <c r="K3136" s="3" t="n">
        <v>0</v>
      </c>
      <c r="L3136" s="3" t="n">
        <v>454.16</v>
      </c>
      <c r="M3136" s="3" t="n">
        <v>291.4</v>
      </c>
      <c r="N3136" s="3" t="n">
        <v>162.76</v>
      </c>
      <c r="O3136">
        <f>TEXT(A3136,"yyyy-mm")</f>
        <v/>
      </c>
    </row>
    <row r="3137">
      <c r="A3137" s="2" t="n">
        <v>46016</v>
      </c>
      <c r="B3137" t="n">
        <v>2025</v>
      </c>
      <c r="C3137" t="inlineStr">
        <is>
          <t>December</t>
        </is>
      </c>
      <c r="D3137" t="inlineStr">
        <is>
          <t>Premium Cookbook</t>
        </is>
      </c>
      <c r="E3137" t="inlineStr">
        <is>
          <t>Books</t>
        </is>
      </c>
      <c r="F3137" t="inlineStr">
        <is>
          <t>Nina Muller</t>
        </is>
      </c>
      <c r="G3137" t="inlineStr">
        <is>
          <t>Spain</t>
        </is>
      </c>
      <c r="H3137" t="inlineStr">
        <is>
          <t>Mobile App</t>
        </is>
      </c>
      <c r="I3137" t="n">
        <v>3</v>
      </c>
      <c r="J3137" s="3" t="n">
        <v>391.44</v>
      </c>
      <c r="K3137" s="3" t="n">
        <v>78.29000000000001</v>
      </c>
      <c r="L3137" s="3" t="n">
        <v>313.15</v>
      </c>
      <c r="M3137" s="3" t="n">
        <v>284.94</v>
      </c>
      <c r="N3137" s="3" t="n">
        <v>28.21</v>
      </c>
      <c r="O3137">
        <f>TEXT(A3137,"yyyy-mm")</f>
        <v/>
      </c>
    </row>
    <row r="3138">
      <c r="A3138" s="2" t="n">
        <v>46016</v>
      </c>
      <c r="B3138" t="n">
        <v>2025</v>
      </c>
      <c r="C3138" t="inlineStr">
        <is>
          <t>December</t>
        </is>
      </c>
      <c r="D3138" t="inlineStr">
        <is>
          <t>Essential Jacket</t>
        </is>
      </c>
      <c r="E3138" t="inlineStr">
        <is>
          <t>Clothing</t>
        </is>
      </c>
      <c r="F3138" t="inlineStr">
        <is>
          <t>Nina Muller</t>
        </is>
      </c>
      <c r="G3138" t="inlineStr">
        <is>
          <t>Spain</t>
        </is>
      </c>
      <c r="H3138" t="inlineStr">
        <is>
          <t>Mobile App</t>
        </is>
      </c>
      <c r="I3138" t="n">
        <v>2</v>
      </c>
      <c r="J3138" s="3" t="n">
        <v>287</v>
      </c>
      <c r="K3138" s="3" t="n">
        <v>0</v>
      </c>
      <c r="L3138" s="3" t="n">
        <v>287</v>
      </c>
      <c r="M3138" s="3" t="n">
        <v>170.7</v>
      </c>
      <c r="N3138" s="3" t="n">
        <v>116.3</v>
      </c>
      <c r="O3138">
        <f>TEXT(A3138,"yyyy-mm")</f>
        <v/>
      </c>
    </row>
    <row r="3139">
      <c r="A3139" s="2" t="n">
        <v>46016</v>
      </c>
      <c r="B3139" t="n">
        <v>2025</v>
      </c>
      <c r="C3139" t="inlineStr">
        <is>
          <t>December</t>
        </is>
      </c>
      <c r="D3139" t="inlineStr">
        <is>
          <t>Smart Camera</t>
        </is>
      </c>
      <c r="E3139" t="inlineStr">
        <is>
          <t>Electronics</t>
        </is>
      </c>
      <c r="F3139" t="inlineStr">
        <is>
          <t>Nina Muller</t>
        </is>
      </c>
      <c r="G3139" t="inlineStr">
        <is>
          <t>Spain</t>
        </is>
      </c>
      <c r="H3139" t="inlineStr">
        <is>
          <t>Mobile App</t>
        </is>
      </c>
      <c r="I3139" t="n">
        <v>4</v>
      </c>
      <c r="J3139" s="3" t="n">
        <v>1236.92</v>
      </c>
      <c r="K3139" s="3" t="n">
        <v>61.85</v>
      </c>
      <c r="L3139" s="3" t="n">
        <v>1175.07</v>
      </c>
      <c r="M3139" s="3" t="n">
        <v>669.6</v>
      </c>
      <c r="N3139" s="3" t="n">
        <v>505.47</v>
      </c>
      <c r="O3139">
        <f>TEXT(A3139,"yyyy-mm")</f>
        <v/>
      </c>
    </row>
    <row r="3140">
      <c r="A3140" s="2" t="n">
        <v>46016</v>
      </c>
      <c r="B3140" t="n">
        <v>2025</v>
      </c>
      <c r="C3140" t="inlineStr">
        <is>
          <t>December</t>
        </is>
      </c>
      <c r="D3140" t="inlineStr">
        <is>
          <t>Smart Camera</t>
        </is>
      </c>
      <c r="E3140" t="inlineStr">
        <is>
          <t>Electronics</t>
        </is>
      </c>
      <c r="F3140" t="inlineStr">
        <is>
          <t>Nina Muller</t>
        </is>
      </c>
      <c r="G3140" t="inlineStr">
        <is>
          <t>Spain</t>
        </is>
      </c>
      <c r="H3140" t="inlineStr">
        <is>
          <t>Mobile App</t>
        </is>
      </c>
      <c r="I3140" t="n">
        <v>5</v>
      </c>
      <c r="J3140" s="3" t="n">
        <v>1486.55</v>
      </c>
      <c r="K3140" s="3" t="n">
        <v>0</v>
      </c>
      <c r="L3140" s="3" t="n">
        <v>1486.55</v>
      </c>
      <c r="M3140" s="3" t="n">
        <v>837</v>
      </c>
      <c r="N3140" s="3" t="n">
        <v>649.55</v>
      </c>
      <c r="O3140">
        <f>TEXT(A3140,"yyyy-mm")</f>
        <v/>
      </c>
    </row>
    <row r="3141">
      <c r="A3141" s="2" t="n">
        <v>46017</v>
      </c>
      <c r="B3141" t="n">
        <v>2025</v>
      </c>
      <c r="C3141" t="inlineStr">
        <is>
          <t>December</t>
        </is>
      </c>
      <c r="D3141" t="inlineStr">
        <is>
          <t>Smart Board Game</t>
        </is>
      </c>
      <c r="E3141" t="inlineStr">
        <is>
          <t>Toys &amp; Games</t>
        </is>
      </c>
      <c r="F3141" t="inlineStr">
        <is>
          <t>Daniel Zielinski</t>
        </is>
      </c>
      <c r="G3141" t="inlineStr">
        <is>
          <t>United States</t>
        </is>
      </c>
      <c r="H3141" t="inlineStr">
        <is>
          <t>Mobile App</t>
        </is>
      </c>
      <c r="I3141" t="n">
        <v>4</v>
      </c>
      <c r="J3141" s="3" t="n">
        <v>553.5599999999999</v>
      </c>
      <c r="K3141" s="3" t="n">
        <v>55.36</v>
      </c>
      <c r="L3141" s="3" t="n">
        <v>498.2</v>
      </c>
      <c r="M3141" s="3" t="n">
        <v>366.88</v>
      </c>
      <c r="N3141" s="3" t="n">
        <v>131.32</v>
      </c>
      <c r="O3141">
        <f>TEXT(A3141,"yyyy-mm")</f>
        <v/>
      </c>
    </row>
    <row r="3142">
      <c r="A3142" s="2" t="n">
        <v>46017</v>
      </c>
      <c r="B3142" t="n">
        <v>2025</v>
      </c>
      <c r="C3142" t="inlineStr">
        <is>
          <t>December</t>
        </is>
      </c>
      <c r="D3142" t="inlineStr">
        <is>
          <t>Smart Tea Set</t>
        </is>
      </c>
      <c r="E3142" t="inlineStr">
        <is>
          <t>Grocery</t>
        </is>
      </c>
      <c r="F3142" t="inlineStr">
        <is>
          <t>Daniel Zielinski</t>
        </is>
      </c>
      <c r="G3142" t="inlineStr">
        <is>
          <t>United States</t>
        </is>
      </c>
      <c r="H3142" t="inlineStr">
        <is>
          <t>Mobile App</t>
        </is>
      </c>
      <c r="I3142" t="n">
        <v>2</v>
      </c>
      <c r="J3142" s="3" t="n">
        <v>180.18</v>
      </c>
      <c r="K3142" s="3" t="n">
        <v>18.02</v>
      </c>
      <c r="L3142" s="3" t="n">
        <v>162.16</v>
      </c>
      <c r="M3142" s="3" t="n">
        <v>123.6</v>
      </c>
      <c r="N3142" s="3" t="n">
        <v>38.56</v>
      </c>
      <c r="O3142">
        <f>TEXT(A3142,"yyyy-mm")</f>
        <v/>
      </c>
    </row>
    <row r="3143">
      <c r="A3143" s="2" t="n">
        <v>46017</v>
      </c>
      <c r="B3143" t="n">
        <v>2025</v>
      </c>
      <c r="C3143" t="inlineStr">
        <is>
          <t>December</t>
        </is>
      </c>
      <c r="D3143" t="inlineStr">
        <is>
          <t>Compact Pasta</t>
        </is>
      </c>
      <c r="E3143" t="inlineStr">
        <is>
          <t>Grocery</t>
        </is>
      </c>
      <c r="F3143" t="inlineStr">
        <is>
          <t>Daniel Zielinski</t>
        </is>
      </c>
      <c r="G3143" t="inlineStr">
        <is>
          <t>United States</t>
        </is>
      </c>
      <c r="H3143" t="inlineStr">
        <is>
          <t>Mobile App</t>
        </is>
      </c>
      <c r="I3143" t="n">
        <v>5</v>
      </c>
      <c r="J3143" s="3" t="n">
        <v>1604.65</v>
      </c>
      <c r="K3143" s="3" t="n">
        <v>0</v>
      </c>
      <c r="L3143" s="3" t="n">
        <v>1604.65</v>
      </c>
      <c r="M3143" s="3" t="n">
        <v>997</v>
      </c>
      <c r="N3143" s="3" t="n">
        <v>607.65</v>
      </c>
      <c r="O3143">
        <f>TEXT(A3143,"yyyy-mm")</f>
        <v/>
      </c>
    </row>
    <row r="3144">
      <c r="A3144" s="2" t="n">
        <v>46017</v>
      </c>
      <c r="B3144" t="n">
        <v>2025</v>
      </c>
      <c r="C3144" t="inlineStr">
        <is>
          <t>December</t>
        </is>
      </c>
      <c r="D3144" t="inlineStr">
        <is>
          <t>Eco Planter</t>
        </is>
      </c>
      <c r="E3144" t="inlineStr">
        <is>
          <t>Home &amp; Garden</t>
        </is>
      </c>
      <c r="F3144" t="inlineStr">
        <is>
          <t>Daniel Zielinski</t>
        </is>
      </c>
      <c r="G3144" t="inlineStr">
        <is>
          <t>United States</t>
        </is>
      </c>
      <c r="H3144" t="inlineStr">
        <is>
          <t>Mobile App</t>
        </is>
      </c>
      <c r="I3144" t="n">
        <v>2</v>
      </c>
      <c r="J3144" s="3" t="n">
        <v>354.28</v>
      </c>
      <c r="K3144" s="3" t="n">
        <v>70.86</v>
      </c>
      <c r="L3144" s="3" t="n">
        <v>283.42</v>
      </c>
      <c r="M3144" s="3" t="n">
        <v>224.82</v>
      </c>
      <c r="N3144" s="3" t="n">
        <v>58.6</v>
      </c>
      <c r="O3144">
        <f>TEXT(A3144,"yyyy-mm")</f>
        <v/>
      </c>
    </row>
    <row r="3145">
      <c r="A3145" s="2" t="n">
        <v>46017</v>
      </c>
      <c r="B3145" t="n">
        <v>2025</v>
      </c>
      <c r="C3145" t="inlineStr">
        <is>
          <t>December</t>
        </is>
      </c>
      <c r="D3145" t="inlineStr">
        <is>
          <t>Classic Yoga Mat</t>
        </is>
      </c>
      <c r="E3145" t="inlineStr">
        <is>
          <t>Sports &amp; Outdoors</t>
        </is>
      </c>
      <c r="F3145" t="inlineStr">
        <is>
          <t>Daniel Lopez</t>
        </is>
      </c>
      <c r="G3145" t="inlineStr">
        <is>
          <t>Italy</t>
        </is>
      </c>
      <c r="H3145" t="inlineStr">
        <is>
          <t>Mobile App</t>
        </is>
      </c>
      <c r="I3145" t="n">
        <v>4</v>
      </c>
      <c r="J3145" s="3" t="n">
        <v>1275.16</v>
      </c>
      <c r="K3145" s="3" t="n">
        <v>191.27</v>
      </c>
      <c r="L3145" s="3" t="n">
        <v>1083.89</v>
      </c>
      <c r="M3145" s="3" t="n">
        <v>782.8</v>
      </c>
      <c r="N3145" s="3" t="n">
        <v>301.09</v>
      </c>
      <c r="O3145">
        <f>TEXT(A3145,"yyyy-mm")</f>
        <v/>
      </c>
    </row>
    <row r="3146">
      <c r="A3146" s="2" t="n">
        <v>46017</v>
      </c>
      <c r="B3146" t="n">
        <v>2025</v>
      </c>
      <c r="C3146" t="inlineStr">
        <is>
          <t>December</t>
        </is>
      </c>
      <c r="D3146" t="inlineStr">
        <is>
          <t>Smart Coffee Beans</t>
        </is>
      </c>
      <c r="E3146" t="inlineStr">
        <is>
          <t>Grocery</t>
        </is>
      </c>
      <c r="F3146" t="inlineStr">
        <is>
          <t>Daniel Lopez</t>
        </is>
      </c>
      <c r="G3146" t="inlineStr">
        <is>
          <t>Italy</t>
        </is>
      </c>
      <c r="H3146" t="inlineStr">
        <is>
          <t>Mobile App</t>
        </is>
      </c>
      <c r="I3146" t="n">
        <v>2</v>
      </c>
      <c r="J3146" s="3" t="n">
        <v>216.58</v>
      </c>
      <c r="K3146" s="3" t="n">
        <v>43.32</v>
      </c>
      <c r="L3146" s="3" t="n">
        <v>173.26</v>
      </c>
      <c r="M3146" s="3" t="n">
        <v>145.7</v>
      </c>
      <c r="N3146" s="3" t="n">
        <v>27.56</v>
      </c>
      <c r="O3146">
        <f>TEXT(A3146,"yyyy-mm")</f>
        <v/>
      </c>
    </row>
    <row r="3147">
      <c r="A3147" s="2" t="n">
        <v>46017</v>
      </c>
      <c r="B3147" t="n">
        <v>2025</v>
      </c>
      <c r="C3147" t="inlineStr">
        <is>
          <t>December</t>
        </is>
      </c>
      <c r="D3147" t="inlineStr">
        <is>
          <t>Smart Drone</t>
        </is>
      </c>
      <c r="E3147" t="inlineStr">
        <is>
          <t>Toys &amp; Games</t>
        </is>
      </c>
      <c r="F3147" t="inlineStr">
        <is>
          <t>Daniel Lopez</t>
        </is>
      </c>
      <c r="G3147" t="inlineStr">
        <is>
          <t>Italy</t>
        </is>
      </c>
      <c r="H3147" t="inlineStr">
        <is>
          <t>Mobile App</t>
        </is>
      </c>
      <c r="I3147" t="n">
        <v>2</v>
      </c>
      <c r="J3147" s="3" t="n">
        <v>467.16</v>
      </c>
      <c r="K3147" s="3" t="n">
        <v>93.43000000000001</v>
      </c>
      <c r="L3147" s="3" t="n">
        <v>373.73</v>
      </c>
      <c r="M3147" s="3" t="n">
        <v>253.9</v>
      </c>
      <c r="N3147" s="3" t="n">
        <v>119.83</v>
      </c>
      <c r="O3147">
        <f>TEXT(A3147,"yyyy-mm")</f>
        <v/>
      </c>
    </row>
    <row r="3148">
      <c r="A3148" s="2" t="n">
        <v>46018</v>
      </c>
      <c r="B3148" t="n">
        <v>2025</v>
      </c>
      <c r="C3148" t="inlineStr">
        <is>
          <t>December</t>
        </is>
      </c>
      <c r="D3148" t="inlineStr">
        <is>
          <t>Classic Yoga Mat</t>
        </is>
      </c>
      <c r="E3148" t="inlineStr">
        <is>
          <t>Sports &amp; Outdoors</t>
        </is>
      </c>
      <c r="F3148" t="inlineStr">
        <is>
          <t>David Johnson</t>
        </is>
      </c>
      <c r="G3148" t="inlineStr">
        <is>
          <t>Poland</t>
        </is>
      </c>
      <c r="H3148" t="inlineStr">
        <is>
          <t>Web Store</t>
        </is>
      </c>
      <c r="I3148" t="n">
        <v>5</v>
      </c>
      <c r="J3148" s="3" t="n">
        <v>1640.95</v>
      </c>
      <c r="K3148" s="3" t="n">
        <v>328.19</v>
      </c>
      <c r="L3148" s="3" t="n">
        <v>1312.76</v>
      </c>
      <c r="M3148" s="3" t="n">
        <v>978.5</v>
      </c>
      <c r="N3148" s="3" t="n">
        <v>334.26</v>
      </c>
      <c r="O3148">
        <f>TEXT(A3148,"yyyy-mm")</f>
        <v/>
      </c>
    </row>
    <row r="3149">
      <c r="A3149" s="2" t="n">
        <v>46018</v>
      </c>
      <c r="B3149" t="n">
        <v>2025</v>
      </c>
      <c r="C3149" t="inlineStr">
        <is>
          <t>December</t>
        </is>
      </c>
      <c r="D3149" t="inlineStr">
        <is>
          <t>Premium Tent</t>
        </is>
      </c>
      <c r="E3149" t="inlineStr">
        <is>
          <t>Sports &amp; Outdoors</t>
        </is>
      </c>
      <c r="F3149" t="inlineStr">
        <is>
          <t>John Muller</t>
        </is>
      </c>
      <c r="G3149" t="inlineStr">
        <is>
          <t>France</t>
        </is>
      </c>
      <c r="H3149" t="inlineStr">
        <is>
          <t>Marketplace</t>
        </is>
      </c>
      <c r="I3149" t="n">
        <v>2</v>
      </c>
      <c r="J3149" s="3" t="n">
        <v>536.86</v>
      </c>
      <c r="K3149" s="3" t="n">
        <v>0</v>
      </c>
      <c r="L3149" s="3" t="n">
        <v>536.86</v>
      </c>
      <c r="M3149" s="3" t="n">
        <v>278.08</v>
      </c>
      <c r="N3149" s="3" t="n">
        <v>258.78</v>
      </c>
      <c r="O3149">
        <f>TEXT(A3149,"yyyy-mm")</f>
        <v/>
      </c>
    </row>
    <row r="3150">
      <c r="A3150" s="2" t="n">
        <v>46018</v>
      </c>
      <c r="B3150" t="n">
        <v>2025</v>
      </c>
      <c r="C3150" t="inlineStr">
        <is>
          <t>December</t>
        </is>
      </c>
      <c r="D3150" t="inlineStr">
        <is>
          <t>Eco Drone</t>
        </is>
      </c>
      <c r="E3150" t="inlineStr">
        <is>
          <t>Toys &amp; Games</t>
        </is>
      </c>
      <c r="F3150" t="inlineStr">
        <is>
          <t>Clara Martin</t>
        </is>
      </c>
      <c r="G3150" t="inlineStr">
        <is>
          <t>United States</t>
        </is>
      </c>
      <c r="H3150" t="inlineStr">
        <is>
          <t>Web Store</t>
        </is>
      </c>
      <c r="I3150" t="n">
        <v>5</v>
      </c>
      <c r="J3150" s="3" t="n">
        <v>966.65</v>
      </c>
      <c r="K3150" s="3" t="n">
        <v>0</v>
      </c>
      <c r="L3150" s="3" t="n">
        <v>966.65</v>
      </c>
      <c r="M3150" s="3" t="n">
        <v>647.95</v>
      </c>
      <c r="N3150" s="3" t="n">
        <v>318.7</v>
      </c>
      <c r="O3150">
        <f>TEXT(A3150,"yyyy-mm")</f>
        <v/>
      </c>
    </row>
    <row r="3151">
      <c r="A3151" s="2" t="n">
        <v>46018</v>
      </c>
      <c r="B3151" t="n">
        <v>2025</v>
      </c>
      <c r="C3151" t="inlineStr">
        <is>
          <t>December</t>
        </is>
      </c>
      <c r="D3151" t="inlineStr">
        <is>
          <t>Portable Pasta</t>
        </is>
      </c>
      <c r="E3151" t="inlineStr">
        <is>
          <t>Grocery</t>
        </is>
      </c>
      <c r="F3151" t="inlineStr">
        <is>
          <t>Clara Martin</t>
        </is>
      </c>
      <c r="G3151" t="inlineStr">
        <is>
          <t>United States</t>
        </is>
      </c>
      <c r="H3151" t="inlineStr">
        <is>
          <t>Web Store</t>
        </is>
      </c>
      <c r="I3151" t="n">
        <v>5</v>
      </c>
      <c r="J3151" s="3" t="n">
        <v>190.9</v>
      </c>
      <c r="K3151" s="3" t="n">
        <v>0</v>
      </c>
      <c r="L3151" s="3" t="n">
        <v>190.9</v>
      </c>
      <c r="M3151" s="3" t="n">
        <v>138.75</v>
      </c>
      <c r="N3151" s="3" t="n">
        <v>52.15</v>
      </c>
      <c r="O3151">
        <f>TEXT(A3151,"yyyy-mm")</f>
        <v/>
      </c>
    </row>
    <row r="3152">
      <c r="A3152" s="2" t="n">
        <v>46018</v>
      </c>
      <c r="B3152" t="n">
        <v>2025</v>
      </c>
      <c r="C3152" t="inlineStr">
        <is>
          <t>December</t>
        </is>
      </c>
      <c r="D3152" t="inlineStr">
        <is>
          <t>Smart Coffee Beans</t>
        </is>
      </c>
      <c r="E3152" t="inlineStr">
        <is>
          <t>Grocery</t>
        </is>
      </c>
      <c r="F3152" t="inlineStr">
        <is>
          <t>John Muller</t>
        </is>
      </c>
      <c r="G3152" t="inlineStr">
        <is>
          <t>France</t>
        </is>
      </c>
      <c r="H3152" t="inlineStr">
        <is>
          <t>Marketplace</t>
        </is>
      </c>
      <c r="I3152" t="n">
        <v>4</v>
      </c>
      <c r="J3152" s="3" t="n">
        <v>430.48</v>
      </c>
      <c r="K3152" s="3" t="n">
        <v>86.09999999999999</v>
      </c>
      <c r="L3152" s="3" t="n">
        <v>344.38</v>
      </c>
      <c r="M3152" s="3" t="n">
        <v>291.4</v>
      </c>
      <c r="N3152" s="3" t="n">
        <v>52.98</v>
      </c>
      <c r="O3152">
        <f>TEXT(A3152,"yyyy-mm")</f>
        <v/>
      </c>
    </row>
    <row r="3153">
      <c r="A3153" s="2" t="n">
        <v>46018</v>
      </c>
      <c r="B3153" t="n">
        <v>2025</v>
      </c>
      <c r="C3153" t="inlineStr">
        <is>
          <t>December</t>
        </is>
      </c>
      <c r="D3153" t="inlineStr">
        <is>
          <t>Essential Charger</t>
        </is>
      </c>
      <c r="E3153" t="inlineStr">
        <is>
          <t>Electronics</t>
        </is>
      </c>
      <c r="F3153" t="inlineStr">
        <is>
          <t>Maria Martin</t>
        </is>
      </c>
      <c r="G3153" t="inlineStr">
        <is>
          <t>Germany</t>
        </is>
      </c>
      <c r="H3153" t="inlineStr">
        <is>
          <t>Mobile App</t>
        </is>
      </c>
      <c r="I3153" t="n">
        <v>4</v>
      </c>
      <c r="J3153" s="3" t="n">
        <v>172.08</v>
      </c>
      <c r="K3153" s="3" t="n">
        <v>0</v>
      </c>
      <c r="L3153" s="3" t="n">
        <v>172.08</v>
      </c>
      <c r="M3153" s="3" t="n">
        <v>116.4</v>
      </c>
      <c r="N3153" s="3" t="n">
        <v>55.68</v>
      </c>
      <c r="O3153">
        <f>TEXT(A3153,"yyyy-mm")</f>
        <v/>
      </c>
    </row>
    <row r="3154">
      <c r="A3154" s="2" t="n">
        <v>46019</v>
      </c>
      <c r="B3154" t="n">
        <v>2025</v>
      </c>
      <c r="C3154" t="inlineStr">
        <is>
          <t>December</t>
        </is>
      </c>
      <c r="D3154" t="inlineStr">
        <is>
          <t>Portable Toolset</t>
        </is>
      </c>
      <c r="E3154" t="inlineStr">
        <is>
          <t>Home &amp; Garden</t>
        </is>
      </c>
      <c r="F3154" t="inlineStr">
        <is>
          <t>Anna Nowak</t>
        </is>
      </c>
      <c r="G3154" t="inlineStr">
        <is>
          <t>Poland</t>
        </is>
      </c>
      <c r="H3154" t="inlineStr">
        <is>
          <t>Web Store</t>
        </is>
      </c>
      <c r="I3154" t="n">
        <v>3</v>
      </c>
      <c r="J3154" s="3" t="n">
        <v>457.2</v>
      </c>
      <c r="K3154" s="3" t="n">
        <v>0</v>
      </c>
      <c r="L3154" s="3" t="n">
        <v>457.2</v>
      </c>
      <c r="M3154" s="3" t="n">
        <v>278.55</v>
      </c>
      <c r="N3154" s="3" t="n">
        <v>178.65</v>
      </c>
      <c r="O3154">
        <f>TEXT(A3154,"yyyy-mm")</f>
        <v/>
      </c>
    </row>
    <row r="3155">
      <c r="A3155" s="2" t="n">
        <v>46019</v>
      </c>
      <c r="B3155" t="n">
        <v>2025</v>
      </c>
      <c r="C3155" t="inlineStr">
        <is>
          <t>December</t>
        </is>
      </c>
      <c r="D3155" t="inlineStr">
        <is>
          <t>Compact Pasta</t>
        </is>
      </c>
      <c r="E3155" t="inlineStr">
        <is>
          <t>Grocery</t>
        </is>
      </c>
      <c r="F3155" t="inlineStr">
        <is>
          <t>Anna Nowak</t>
        </is>
      </c>
      <c r="G3155" t="inlineStr">
        <is>
          <t>Poland</t>
        </is>
      </c>
      <c r="H3155" t="inlineStr">
        <is>
          <t>Web Store</t>
        </is>
      </c>
      <c r="I3155" t="n">
        <v>3</v>
      </c>
      <c r="J3155" s="3" t="n">
        <v>949.62</v>
      </c>
      <c r="K3155" s="3" t="n">
        <v>0</v>
      </c>
      <c r="L3155" s="3" t="n">
        <v>949.62</v>
      </c>
      <c r="M3155" s="3" t="n">
        <v>598.2</v>
      </c>
      <c r="N3155" s="3" t="n">
        <v>351.42</v>
      </c>
      <c r="O3155">
        <f>TEXT(A3155,"yyyy-mm")</f>
        <v/>
      </c>
    </row>
    <row r="3156">
      <c r="A3156" s="2" t="n">
        <v>46019</v>
      </c>
      <c r="B3156" t="n">
        <v>2025</v>
      </c>
      <c r="C3156" t="inlineStr">
        <is>
          <t>December</t>
        </is>
      </c>
      <c r="D3156" t="inlineStr">
        <is>
          <t>Smart Cookbook</t>
        </is>
      </c>
      <c r="E3156" t="inlineStr">
        <is>
          <t>Books</t>
        </is>
      </c>
      <c r="F3156" t="inlineStr">
        <is>
          <t>Mark Smith</t>
        </is>
      </c>
      <c r="G3156" t="inlineStr">
        <is>
          <t>United States</t>
        </is>
      </c>
      <c r="H3156" t="inlineStr">
        <is>
          <t>Marketplace</t>
        </is>
      </c>
      <c r="I3156" t="n">
        <v>4</v>
      </c>
      <c r="J3156" s="3" t="n">
        <v>75.84</v>
      </c>
      <c r="K3156" s="3" t="n">
        <v>11.38</v>
      </c>
      <c r="L3156" s="3" t="n">
        <v>64.45999999999999</v>
      </c>
      <c r="M3156" s="3" t="n">
        <v>39.52</v>
      </c>
      <c r="N3156" s="3" t="n">
        <v>24.94</v>
      </c>
      <c r="O3156">
        <f>TEXT(A3156,"yyyy-mm")</f>
        <v/>
      </c>
    </row>
    <row r="3157">
      <c r="A3157" s="2" t="n">
        <v>46019</v>
      </c>
      <c r="B3157" t="n">
        <v>2025</v>
      </c>
      <c r="C3157" t="inlineStr">
        <is>
          <t>December</t>
        </is>
      </c>
      <c r="D3157" t="inlineStr">
        <is>
          <t>Classic Tent</t>
        </is>
      </c>
      <c r="E3157" t="inlineStr">
        <is>
          <t>Sports &amp; Outdoors</t>
        </is>
      </c>
      <c r="F3157" t="inlineStr">
        <is>
          <t>Mark Smith</t>
        </is>
      </c>
      <c r="G3157" t="inlineStr">
        <is>
          <t>United States</t>
        </is>
      </c>
      <c r="H3157" t="inlineStr">
        <is>
          <t>Marketplace</t>
        </is>
      </c>
      <c r="I3157" t="n">
        <v>2</v>
      </c>
      <c r="J3157" s="3" t="n">
        <v>396.2</v>
      </c>
      <c r="K3157" s="3" t="n">
        <v>39.62</v>
      </c>
      <c r="L3157" s="3" t="n">
        <v>356.58</v>
      </c>
      <c r="M3157" s="3" t="n">
        <v>236.04</v>
      </c>
      <c r="N3157" s="3" t="n">
        <v>120.54</v>
      </c>
      <c r="O3157">
        <f>TEXT(A3157,"yyyy-mm")</f>
        <v/>
      </c>
    </row>
    <row r="3158">
      <c r="A3158" s="2" t="n">
        <v>46019</v>
      </c>
      <c r="B3158" t="n">
        <v>2025</v>
      </c>
      <c r="C3158" t="inlineStr">
        <is>
          <t>December</t>
        </is>
      </c>
      <c r="D3158" t="inlineStr">
        <is>
          <t>Classic Tea Set</t>
        </is>
      </c>
      <c r="E3158" t="inlineStr">
        <is>
          <t>Grocery</t>
        </is>
      </c>
      <c r="F3158" t="inlineStr">
        <is>
          <t>Thomas Schmidt</t>
        </is>
      </c>
      <c r="G3158" t="inlineStr">
        <is>
          <t>United Kingdom</t>
        </is>
      </c>
      <c r="H3158" t="inlineStr">
        <is>
          <t>Marketplace</t>
        </is>
      </c>
      <c r="I3158" t="n">
        <v>1</v>
      </c>
      <c r="J3158" s="3" t="n">
        <v>184.11</v>
      </c>
      <c r="K3158" s="3" t="n">
        <v>0</v>
      </c>
      <c r="L3158" s="3" t="n">
        <v>184.11</v>
      </c>
      <c r="M3158" s="3" t="n">
        <v>125.4</v>
      </c>
      <c r="N3158" s="3" t="n">
        <v>58.71</v>
      </c>
      <c r="O3158">
        <f>TEXT(A3158,"yyyy-mm")</f>
        <v/>
      </c>
    </row>
    <row r="3159">
      <c r="A3159" s="2" t="n">
        <v>46019</v>
      </c>
      <c r="B3159" t="n">
        <v>2025</v>
      </c>
      <c r="C3159" t="inlineStr">
        <is>
          <t>December</t>
        </is>
      </c>
      <c r="D3159" t="inlineStr">
        <is>
          <t>Wireless Drone</t>
        </is>
      </c>
      <c r="E3159" t="inlineStr">
        <is>
          <t>Toys &amp; Games</t>
        </is>
      </c>
      <c r="F3159" t="inlineStr">
        <is>
          <t>Thomas Schmidt</t>
        </is>
      </c>
      <c r="G3159" t="inlineStr">
        <is>
          <t>United Kingdom</t>
        </is>
      </c>
      <c r="H3159" t="inlineStr">
        <is>
          <t>Marketplace</t>
        </is>
      </c>
      <c r="I3159" t="n">
        <v>4</v>
      </c>
      <c r="J3159" s="3" t="n">
        <v>858.88</v>
      </c>
      <c r="K3159" s="3" t="n">
        <v>85.89</v>
      </c>
      <c r="L3159" s="3" t="n">
        <v>772.99</v>
      </c>
      <c r="M3159" s="3" t="n">
        <v>525.16</v>
      </c>
      <c r="N3159" s="3" t="n">
        <v>247.83</v>
      </c>
      <c r="O3159">
        <f>TEXT(A3159,"yyyy-mm")</f>
        <v/>
      </c>
    </row>
    <row r="3160">
      <c r="A3160" s="2" t="n">
        <v>46020</v>
      </c>
      <c r="B3160" t="n">
        <v>2025</v>
      </c>
      <c r="C3160" t="inlineStr">
        <is>
          <t>December</t>
        </is>
      </c>
      <c r="D3160" t="inlineStr">
        <is>
          <t>Essential Lamp</t>
        </is>
      </c>
      <c r="E3160" t="inlineStr">
        <is>
          <t>Home &amp; Garden</t>
        </is>
      </c>
      <c r="F3160" t="inlineStr">
        <is>
          <t>Sophie Schmidt</t>
        </is>
      </c>
      <c r="G3160" t="inlineStr">
        <is>
          <t>Germany</t>
        </is>
      </c>
      <c r="H3160" t="inlineStr">
        <is>
          <t>Retail Store</t>
        </is>
      </c>
      <c r="I3160" t="n">
        <v>3</v>
      </c>
      <c r="J3160" s="3" t="n">
        <v>198.42</v>
      </c>
      <c r="K3160" s="3" t="n">
        <v>0</v>
      </c>
      <c r="L3160" s="3" t="n">
        <v>198.42</v>
      </c>
      <c r="M3160" s="3" t="n">
        <v>136.2</v>
      </c>
      <c r="N3160" s="3" t="n">
        <v>62.22</v>
      </c>
      <c r="O3160">
        <f>TEXT(A3160,"yyyy-mm")</f>
        <v/>
      </c>
    </row>
    <row r="3161">
      <c r="A3161" s="2" t="n">
        <v>46020</v>
      </c>
      <c r="B3161" t="n">
        <v>2025</v>
      </c>
      <c r="C3161" t="inlineStr">
        <is>
          <t>December</t>
        </is>
      </c>
      <c r="D3161" t="inlineStr">
        <is>
          <t>Eco Planter</t>
        </is>
      </c>
      <c r="E3161" t="inlineStr">
        <is>
          <t>Home &amp; Garden</t>
        </is>
      </c>
      <c r="F3161" t="inlineStr">
        <is>
          <t>Sophie Schmidt</t>
        </is>
      </c>
      <c r="G3161" t="inlineStr">
        <is>
          <t>Germany</t>
        </is>
      </c>
      <c r="H3161" t="inlineStr">
        <is>
          <t>Retail Store</t>
        </is>
      </c>
      <c r="I3161" t="n">
        <v>4</v>
      </c>
      <c r="J3161" s="3" t="n">
        <v>706.3200000000001</v>
      </c>
      <c r="K3161" s="3" t="n">
        <v>0</v>
      </c>
      <c r="L3161" s="3" t="n">
        <v>706.3200000000001</v>
      </c>
      <c r="M3161" s="3" t="n">
        <v>449.64</v>
      </c>
      <c r="N3161" s="3" t="n">
        <v>256.68</v>
      </c>
      <c r="O3161">
        <f>TEXT(A3161,"yyyy-mm")</f>
        <v/>
      </c>
    </row>
    <row r="3162">
      <c r="A3162" s="2" t="n">
        <v>46020</v>
      </c>
      <c r="B3162" t="n">
        <v>2025</v>
      </c>
      <c r="C3162" t="inlineStr">
        <is>
          <t>December</t>
        </is>
      </c>
      <c r="D3162" t="inlineStr">
        <is>
          <t>Wireless Coffee Beans</t>
        </is>
      </c>
      <c r="E3162" t="inlineStr">
        <is>
          <t>Grocery</t>
        </is>
      </c>
      <c r="F3162" t="inlineStr">
        <is>
          <t>Mark Weber</t>
        </is>
      </c>
      <c r="G3162" t="inlineStr">
        <is>
          <t>Poland</t>
        </is>
      </c>
      <c r="H3162" t="inlineStr">
        <is>
          <t>Mobile App</t>
        </is>
      </c>
      <c r="I3162" t="n">
        <v>2</v>
      </c>
      <c r="J3162" s="3" t="n">
        <v>420.88</v>
      </c>
      <c r="K3162" s="3" t="n">
        <v>21.04</v>
      </c>
      <c r="L3162" s="3" t="n">
        <v>399.84</v>
      </c>
      <c r="M3162" s="3" t="n">
        <v>260.26</v>
      </c>
      <c r="N3162" s="3" t="n">
        <v>139.58</v>
      </c>
      <c r="O3162">
        <f>TEXT(A3162,"yyyy-mm")</f>
        <v/>
      </c>
    </row>
    <row r="3163">
      <c r="A3163" s="2" t="n">
        <v>46020</v>
      </c>
      <c r="B3163" t="n">
        <v>2025</v>
      </c>
      <c r="C3163" t="inlineStr">
        <is>
          <t>December</t>
        </is>
      </c>
      <c r="D3163" t="inlineStr">
        <is>
          <t>Premium Tent</t>
        </is>
      </c>
      <c r="E3163" t="inlineStr">
        <is>
          <t>Sports &amp; Outdoors</t>
        </is>
      </c>
      <c r="F3163" t="inlineStr">
        <is>
          <t>Mark Weber</t>
        </is>
      </c>
      <c r="G3163" t="inlineStr">
        <is>
          <t>Poland</t>
        </is>
      </c>
      <c r="H3163" t="inlineStr">
        <is>
          <t>Mobile App</t>
        </is>
      </c>
      <c r="I3163" t="n">
        <v>3</v>
      </c>
      <c r="J3163" s="3" t="n">
        <v>421.62</v>
      </c>
      <c r="K3163" s="3" t="n">
        <v>0</v>
      </c>
      <c r="L3163" s="3" t="n">
        <v>421.62</v>
      </c>
      <c r="M3163" s="3" t="n">
        <v>289.2</v>
      </c>
      <c r="N3163" s="3" t="n">
        <v>132.42</v>
      </c>
      <c r="O3163">
        <f>TEXT(A3163,"yyyy-mm")</f>
        <v/>
      </c>
    </row>
    <row r="3164">
      <c r="A3164" s="2" t="n">
        <v>46020</v>
      </c>
      <c r="B3164" t="n">
        <v>2025</v>
      </c>
      <c r="C3164" t="inlineStr">
        <is>
          <t>December</t>
        </is>
      </c>
      <c r="D3164" t="inlineStr">
        <is>
          <t>Ultra Backpack</t>
        </is>
      </c>
      <c r="E3164" t="inlineStr">
        <is>
          <t>Sports &amp; Outdoors</t>
        </is>
      </c>
      <c r="F3164" t="inlineStr">
        <is>
          <t>Mark Weber</t>
        </is>
      </c>
      <c r="G3164" t="inlineStr">
        <is>
          <t>Poland</t>
        </is>
      </c>
      <c r="H3164" t="inlineStr">
        <is>
          <t>Mobile App</t>
        </is>
      </c>
      <c r="I3164" t="n">
        <v>1</v>
      </c>
      <c r="J3164" s="3" t="n">
        <v>312.1</v>
      </c>
      <c r="K3164" s="3" t="n">
        <v>46.82</v>
      </c>
      <c r="L3164" s="3" t="n">
        <v>265.29</v>
      </c>
      <c r="M3164" s="3" t="n">
        <v>173.69</v>
      </c>
      <c r="N3164" s="3" t="n">
        <v>91.59999999999999</v>
      </c>
      <c r="O3164">
        <f>TEXT(A3164,"yyyy-mm")</f>
        <v/>
      </c>
    </row>
    <row r="3165">
      <c r="A3165" s="2" t="n">
        <v>46021</v>
      </c>
      <c r="B3165" t="n">
        <v>2025</v>
      </c>
      <c r="C3165" t="inlineStr">
        <is>
          <t>December</t>
        </is>
      </c>
      <c r="D3165" t="inlineStr">
        <is>
          <t>Essential Jacket</t>
        </is>
      </c>
      <c r="E3165" t="inlineStr">
        <is>
          <t>Clothing</t>
        </is>
      </c>
      <c r="F3165" t="inlineStr">
        <is>
          <t>Clara Smith</t>
        </is>
      </c>
      <c r="G3165" t="inlineStr">
        <is>
          <t>France</t>
        </is>
      </c>
      <c r="H3165" t="inlineStr">
        <is>
          <t>Retail Store</t>
        </is>
      </c>
      <c r="I3165" t="n">
        <v>2</v>
      </c>
      <c r="J3165" s="3" t="n">
        <v>281.68</v>
      </c>
      <c r="K3165" s="3" t="n">
        <v>42.25</v>
      </c>
      <c r="L3165" s="3" t="n">
        <v>239.43</v>
      </c>
      <c r="M3165" s="3" t="n">
        <v>170.7</v>
      </c>
      <c r="N3165" s="3" t="n">
        <v>68.73</v>
      </c>
      <c r="O3165">
        <f>TEXT(A3165,"yyyy-mm")</f>
        <v/>
      </c>
    </row>
    <row r="3166">
      <c r="A3166" s="2" t="n">
        <v>46021</v>
      </c>
      <c r="B3166" t="n">
        <v>2025</v>
      </c>
      <c r="C3166" t="inlineStr">
        <is>
          <t>December</t>
        </is>
      </c>
      <c r="D3166" t="inlineStr">
        <is>
          <t>Premium Water Bottle</t>
        </is>
      </c>
      <c r="E3166" t="inlineStr">
        <is>
          <t>Sports &amp; Outdoors</t>
        </is>
      </c>
      <c r="F3166" t="inlineStr">
        <is>
          <t>Clara Smith</t>
        </is>
      </c>
      <c r="G3166" t="inlineStr">
        <is>
          <t>France</t>
        </is>
      </c>
      <c r="H3166" t="inlineStr">
        <is>
          <t>Retail Store</t>
        </is>
      </c>
      <c r="I3166" t="n">
        <v>3</v>
      </c>
      <c r="J3166" s="3" t="n">
        <v>360.33</v>
      </c>
      <c r="K3166" s="3" t="n">
        <v>0</v>
      </c>
      <c r="L3166" s="3" t="n">
        <v>360.33</v>
      </c>
      <c r="M3166" s="3" t="n">
        <v>268.86</v>
      </c>
      <c r="N3166" s="3" t="n">
        <v>91.47</v>
      </c>
      <c r="O3166">
        <f>TEXT(A3166,"yyyy-mm")</f>
        <v/>
      </c>
    </row>
    <row r="3167">
      <c r="A3167" s="2" t="n">
        <v>46021</v>
      </c>
      <c r="B3167" t="n">
        <v>2025</v>
      </c>
      <c r="C3167" t="inlineStr">
        <is>
          <t>December</t>
        </is>
      </c>
      <c r="D3167" t="inlineStr">
        <is>
          <t>Portable Puzzle</t>
        </is>
      </c>
      <c r="E3167" t="inlineStr">
        <is>
          <t>Toys &amp; Games</t>
        </is>
      </c>
      <c r="F3167" t="inlineStr">
        <is>
          <t>Clara Smith</t>
        </is>
      </c>
      <c r="G3167" t="inlineStr">
        <is>
          <t>France</t>
        </is>
      </c>
      <c r="H3167" t="inlineStr">
        <is>
          <t>Retail Store</t>
        </is>
      </c>
      <c r="I3167" t="n">
        <v>1</v>
      </c>
      <c r="J3167" s="3" t="n">
        <v>114.69</v>
      </c>
      <c r="K3167" s="3" t="n">
        <v>5.73</v>
      </c>
      <c r="L3167" s="3" t="n">
        <v>108.96</v>
      </c>
      <c r="M3167" s="3" t="n">
        <v>58.8</v>
      </c>
      <c r="N3167" s="3" t="n">
        <v>50.16</v>
      </c>
      <c r="O3167">
        <f>TEXT(A3167,"yyyy-mm")</f>
        <v/>
      </c>
    </row>
    <row r="3168">
      <c r="A3168" s="2" t="n">
        <v>46021</v>
      </c>
      <c r="B3168" t="n">
        <v>2025</v>
      </c>
      <c r="C3168" t="inlineStr">
        <is>
          <t>December</t>
        </is>
      </c>
      <c r="D3168" t="inlineStr">
        <is>
          <t>Deluxe Puzzle</t>
        </is>
      </c>
      <c r="E3168" t="inlineStr">
        <is>
          <t>Toys &amp; Games</t>
        </is>
      </c>
      <c r="F3168" t="inlineStr">
        <is>
          <t>Peter Conti</t>
        </is>
      </c>
      <c r="G3168" t="inlineStr">
        <is>
          <t>Spain</t>
        </is>
      </c>
      <c r="H3168" t="inlineStr">
        <is>
          <t>Retail Store</t>
        </is>
      </c>
      <c r="I3168" t="n">
        <v>4</v>
      </c>
      <c r="J3168" s="3" t="n">
        <v>826.24</v>
      </c>
      <c r="K3168" s="3" t="n">
        <v>123.94</v>
      </c>
      <c r="L3168" s="3" t="n">
        <v>702.3</v>
      </c>
      <c r="M3168" s="3" t="n">
        <v>444.68</v>
      </c>
      <c r="N3168" s="3" t="n">
        <v>257.62</v>
      </c>
      <c r="O3168">
        <f>TEXT(A3168,"yyyy-mm")</f>
        <v/>
      </c>
    </row>
    <row r="3169">
      <c r="A3169" s="2" t="n">
        <v>46021</v>
      </c>
      <c r="B3169" t="n">
        <v>2025</v>
      </c>
      <c r="C3169" t="inlineStr">
        <is>
          <t>December</t>
        </is>
      </c>
      <c r="D3169" t="inlineStr">
        <is>
          <t>Smart Sweater</t>
        </is>
      </c>
      <c r="E3169" t="inlineStr">
        <is>
          <t>Clothing</t>
        </is>
      </c>
      <c r="F3169" t="inlineStr">
        <is>
          <t>Clara Smith</t>
        </is>
      </c>
      <c r="G3169" t="inlineStr">
        <is>
          <t>France</t>
        </is>
      </c>
      <c r="H3169" t="inlineStr">
        <is>
          <t>Retail Store</t>
        </is>
      </c>
      <c r="I3169" t="n">
        <v>5</v>
      </c>
      <c r="J3169" s="3" t="n">
        <v>710.3</v>
      </c>
      <c r="K3169" s="3" t="n">
        <v>35.52</v>
      </c>
      <c r="L3169" s="3" t="n">
        <v>674.78</v>
      </c>
      <c r="M3169" s="3" t="n">
        <v>386.75</v>
      </c>
      <c r="N3169" s="3" t="n">
        <v>288.03</v>
      </c>
      <c r="O3169">
        <f>TEXT(A3169,"yyyy-mm")</f>
        <v/>
      </c>
    </row>
    <row r="3170">
      <c r="A3170" s="2" t="n">
        <v>46021</v>
      </c>
      <c r="B3170" t="n">
        <v>2025</v>
      </c>
      <c r="C3170" t="inlineStr">
        <is>
          <t>December</t>
        </is>
      </c>
      <c r="D3170" t="inlineStr">
        <is>
          <t>Smart Drone</t>
        </is>
      </c>
      <c r="E3170" t="inlineStr">
        <is>
          <t>Toys &amp; Games</t>
        </is>
      </c>
      <c r="F3170" t="inlineStr">
        <is>
          <t>Olivia Wojcik</t>
        </is>
      </c>
      <c r="G3170" t="inlineStr">
        <is>
          <t>France</t>
        </is>
      </c>
      <c r="H3170" t="inlineStr">
        <is>
          <t>Retail Store</t>
        </is>
      </c>
      <c r="I3170" t="n">
        <v>2</v>
      </c>
      <c r="J3170" s="3" t="n">
        <v>440.5</v>
      </c>
      <c r="K3170" s="3" t="n">
        <v>0</v>
      </c>
      <c r="L3170" s="3" t="n">
        <v>440.5</v>
      </c>
      <c r="M3170" s="3" t="n">
        <v>253.9</v>
      </c>
      <c r="N3170" s="3" t="n">
        <v>186.6</v>
      </c>
      <c r="O3170">
        <f>TEXT(A3170,"yyyy-mm")</f>
        <v/>
      </c>
    </row>
    <row r="3171">
      <c r="A3171" s="2" t="n">
        <v>46022</v>
      </c>
      <c r="B3171" t="n">
        <v>2025</v>
      </c>
      <c r="C3171" t="inlineStr">
        <is>
          <t>December</t>
        </is>
      </c>
      <c r="D3171" t="inlineStr">
        <is>
          <t>Smart Honey</t>
        </is>
      </c>
      <c r="E3171" t="inlineStr">
        <is>
          <t>Grocery</t>
        </is>
      </c>
      <c r="F3171" t="inlineStr">
        <is>
          <t>Maria Nowak</t>
        </is>
      </c>
      <c r="G3171" t="inlineStr">
        <is>
          <t>Poland</t>
        </is>
      </c>
      <c r="H3171" t="inlineStr">
        <is>
          <t>Marketplace</t>
        </is>
      </c>
      <c r="I3171" t="n">
        <v>4</v>
      </c>
      <c r="J3171" s="3" t="n">
        <v>540.36</v>
      </c>
      <c r="K3171" s="3" t="n">
        <v>108.07</v>
      </c>
      <c r="L3171" s="3" t="n">
        <v>432.29</v>
      </c>
      <c r="M3171" s="3" t="n">
        <v>285.76</v>
      </c>
      <c r="N3171" s="3" t="n">
        <v>146.53</v>
      </c>
      <c r="O3171">
        <f>TEXT(A3171,"yyyy-mm")</f>
        <v/>
      </c>
    </row>
    <row r="3172">
      <c r="A3172" s="2" t="n">
        <v>46022</v>
      </c>
      <c r="B3172" t="n">
        <v>2025</v>
      </c>
      <c r="C3172" t="inlineStr">
        <is>
          <t>December</t>
        </is>
      </c>
      <c r="D3172" t="inlineStr">
        <is>
          <t>Ultra Rug</t>
        </is>
      </c>
      <c r="E3172" t="inlineStr">
        <is>
          <t>Home &amp; Garden</t>
        </is>
      </c>
      <c r="F3172" t="inlineStr">
        <is>
          <t>Olivia Fischer</t>
        </is>
      </c>
      <c r="G3172" t="inlineStr">
        <is>
          <t>France</t>
        </is>
      </c>
      <c r="H3172" t="inlineStr">
        <is>
          <t>Retail Store</t>
        </is>
      </c>
      <c r="I3172" t="n">
        <v>4</v>
      </c>
      <c r="J3172" s="3" t="n">
        <v>211.52</v>
      </c>
      <c r="K3172" s="3" t="n">
        <v>42.3</v>
      </c>
      <c r="L3172" s="3" t="n">
        <v>169.22</v>
      </c>
      <c r="M3172" s="3" t="n">
        <v>131.64</v>
      </c>
      <c r="N3172" s="3" t="n">
        <v>37.58</v>
      </c>
      <c r="O3172">
        <f>TEXT(A3172,"yyyy-mm")</f>
        <v/>
      </c>
    </row>
    <row r="3173">
      <c r="A3173" s="2" t="n">
        <v>46022</v>
      </c>
      <c r="B3173" t="n">
        <v>2025</v>
      </c>
      <c r="C3173" t="inlineStr">
        <is>
          <t>December</t>
        </is>
      </c>
      <c r="D3173" t="inlineStr">
        <is>
          <t>Essential Planter</t>
        </is>
      </c>
      <c r="E3173" t="inlineStr">
        <is>
          <t>Home &amp; Garden</t>
        </is>
      </c>
      <c r="F3173" t="inlineStr">
        <is>
          <t>Olivia Fischer</t>
        </is>
      </c>
      <c r="G3173" t="inlineStr">
        <is>
          <t>France</t>
        </is>
      </c>
      <c r="H3173" t="inlineStr">
        <is>
          <t>Retail Store</t>
        </is>
      </c>
      <c r="I3173" t="n">
        <v>1</v>
      </c>
      <c r="J3173" s="3" t="n">
        <v>26.69</v>
      </c>
      <c r="K3173" s="3" t="n">
        <v>0</v>
      </c>
      <c r="L3173" s="3" t="n">
        <v>26.69</v>
      </c>
      <c r="M3173" s="3" t="n">
        <v>19.64</v>
      </c>
      <c r="N3173" s="3" t="n">
        <v>7.05</v>
      </c>
      <c r="O3173">
        <f>TEXT(A3173,"yyyy-mm")</f>
        <v/>
      </c>
    </row>
    <row r="3174">
      <c r="A3174" s="2" t="n">
        <v>46022</v>
      </c>
      <c r="B3174" t="n">
        <v>2025</v>
      </c>
      <c r="C3174" t="inlineStr">
        <is>
          <t>December</t>
        </is>
      </c>
      <c r="D3174" t="inlineStr">
        <is>
          <t>Premium Water Bottle</t>
        </is>
      </c>
      <c r="E3174" t="inlineStr">
        <is>
          <t>Sports &amp; Outdoors</t>
        </is>
      </c>
      <c r="F3174" t="inlineStr">
        <is>
          <t>Clara Muller</t>
        </is>
      </c>
      <c r="G3174" t="inlineStr">
        <is>
          <t>Germany</t>
        </is>
      </c>
      <c r="H3174" t="inlineStr">
        <is>
          <t>Retail Store</t>
        </is>
      </c>
      <c r="I3174" t="n">
        <v>1</v>
      </c>
      <c r="J3174" s="3" t="n">
        <v>30.27</v>
      </c>
      <c r="K3174" s="3" t="n">
        <v>0</v>
      </c>
      <c r="L3174" s="3" t="n">
        <v>30.27</v>
      </c>
      <c r="M3174" s="3" t="n">
        <v>16.63</v>
      </c>
      <c r="N3174" s="3" t="n">
        <v>13.64</v>
      </c>
      <c r="O3174">
        <f>TEXT(A3174,"yyyy-mm")</f>
        <v/>
      </c>
    </row>
    <row r="3175">
      <c r="A3175" s="2" t="n">
        <v>46022</v>
      </c>
      <c r="B3175" t="n">
        <v>2025</v>
      </c>
      <c r="C3175" t="inlineStr">
        <is>
          <t>December</t>
        </is>
      </c>
      <c r="D3175" t="inlineStr">
        <is>
          <t>Premium Water Bottle</t>
        </is>
      </c>
      <c r="E3175" t="inlineStr">
        <is>
          <t>Sports &amp; Outdoors</t>
        </is>
      </c>
      <c r="F3175" t="inlineStr">
        <is>
          <t>Clara Muller</t>
        </is>
      </c>
      <c r="G3175" t="inlineStr">
        <is>
          <t>Germany</t>
        </is>
      </c>
      <c r="H3175" t="inlineStr">
        <is>
          <t>Retail Store</t>
        </is>
      </c>
      <c r="I3175" t="n">
        <v>3</v>
      </c>
      <c r="J3175" s="3" t="n">
        <v>941.88</v>
      </c>
      <c r="K3175" s="3" t="n">
        <v>0</v>
      </c>
      <c r="L3175" s="3" t="n">
        <v>941.88</v>
      </c>
      <c r="M3175" s="3" t="n">
        <v>543.48</v>
      </c>
      <c r="N3175" s="3" t="n">
        <v>398.4</v>
      </c>
      <c r="O3175">
        <f>TEXT(A3175,"yyyy-mm")</f>
        <v/>
      </c>
    </row>
    <row r="3176">
      <c r="A3176" s="2" t="n">
        <v>46022</v>
      </c>
      <c r="B3176" t="n">
        <v>2025</v>
      </c>
      <c r="C3176" t="inlineStr">
        <is>
          <t>December</t>
        </is>
      </c>
      <c r="D3176" t="inlineStr">
        <is>
          <t>Smart Puzzle</t>
        </is>
      </c>
      <c r="E3176" t="inlineStr">
        <is>
          <t>Toys &amp; Games</t>
        </is>
      </c>
      <c r="F3176" t="inlineStr">
        <is>
          <t>John Lopez</t>
        </is>
      </c>
      <c r="G3176" t="inlineStr">
        <is>
          <t>Germany</t>
        </is>
      </c>
      <c r="H3176" t="inlineStr">
        <is>
          <t>Web Store</t>
        </is>
      </c>
      <c r="I3176" t="n">
        <v>5</v>
      </c>
      <c r="J3176" s="3" t="n">
        <v>1347.1</v>
      </c>
      <c r="K3176" s="3" t="n">
        <v>0</v>
      </c>
      <c r="L3176" s="3" t="n">
        <v>1347.1</v>
      </c>
      <c r="M3176" s="3" t="n">
        <v>963.8</v>
      </c>
      <c r="N3176" s="3" t="n">
        <v>383.3</v>
      </c>
      <c r="O3176">
        <f>TEXT(A3176,"yyyy-mm")</f>
        <v/>
      </c>
    </row>
    <row r="3177">
      <c r="A3177" s="2" t="n">
        <v>46022</v>
      </c>
      <c r="B3177" t="n">
        <v>2025</v>
      </c>
      <c r="C3177" t="inlineStr">
        <is>
          <t>December</t>
        </is>
      </c>
      <c r="D3177" t="inlineStr">
        <is>
          <t>Smart Sweater</t>
        </is>
      </c>
      <c r="E3177" t="inlineStr">
        <is>
          <t>Clothing</t>
        </is>
      </c>
      <c r="F3177" t="inlineStr">
        <is>
          <t>John Lopez</t>
        </is>
      </c>
      <c r="G3177" t="inlineStr">
        <is>
          <t>Germany</t>
        </is>
      </c>
      <c r="H3177" t="inlineStr">
        <is>
          <t>Web Store</t>
        </is>
      </c>
      <c r="I3177" t="n">
        <v>4</v>
      </c>
      <c r="J3177" s="3" t="n">
        <v>603.4</v>
      </c>
      <c r="K3177" s="3" t="n">
        <v>0</v>
      </c>
      <c r="L3177" s="3" t="n">
        <v>603.4</v>
      </c>
      <c r="M3177" s="3" t="n">
        <v>309.4</v>
      </c>
      <c r="N3177" s="3" t="n">
        <v>294</v>
      </c>
      <c r="O3177">
        <f>TEXT(A3177,"yyyy-mm")</f>
        <v/>
      </c>
    </row>
    <row r="3178">
      <c r="A3178" s="2" t="n">
        <v>46022</v>
      </c>
      <c r="B3178" t="n">
        <v>2025</v>
      </c>
      <c r="C3178" t="inlineStr">
        <is>
          <t>December</t>
        </is>
      </c>
      <c r="D3178" t="inlineStr">
        <is>
          <t>Classic Bike Helmet</t>
        </is>
      </c>
      <c r="E3178" t="inlineStr">
        <is>
          <t>Sports &amp; Outdoors</t>
        </is>
      </c>
      <c r="F3178" t="inlineStr">
        <is>
          <t>John Lopez</t>
        </is>
      </c>
      <c r="G3178" t="inlineStr">
        <is>
          <t>Germany</t>
        </is>
      </c>
      <c r="H3178" t="inlineStr">
        <is>
          <t>Web Store</t>
        </is>
      </c>
      <c r="I3178" t="n">
        <v>3</v>
      </c>
      <c r="J3178" s="3" t="n">
        <v>644.88</v>
      </c>
      <c r="K3178" s="3" t="n">
        <v>96.73</v>
      </c>
      <c r="L3178" s="3" t="n">
        <v>548.15</v>
      </c>
      <c r="M3178" s="3" t="n">
        <v>461.43</v>
      </c>
      <c r="N3178" s="3" t="n">
        <v>86.72</v>
      </c>
      <c r="O3178">
        <f>TEXT(A3178,"yyyy-mm")</f>
        <v/>
      </c>
    </row>
    <row r="3179">
      <c r="A3179" s="2" t="n">
        <v>46022</v>
      </c>
      <c r="B3179" t="n">
        <v>2025</v>
      </c>
      <c r="C3179" t="inlineStr">
        <is>
          <t>December</t>
        </is>
      </c>
      <c r="D3179" t="inlineStr">
        <is>
          <t>Essential Rug</t>
        </is>
      </c>
      <c r="E3179" t="inlineStr">
        <is>
          <t>Home &amp; Garden</t>
        </is>
      </c>
      <c r="F3179" t="inlineStr">
        <is>
          <t>Clara Martin</t>
        </is>
      </c>
      <c r="G3179" t="inlineStr">
        <is>
          <t>Italy</t>
        </is>
      </c>
      <c r="H3179" t="inlineStr">
        <is>
          <t>Retail Store</t>
        </is>
      </c>
      <c r="I3179" t="n">
        <v>5</v>
      </c>
      <c r="J3179" s="3" t="n">
        <v>655.6</v>
      </c>
      <c r="K3179" s="3" t="n">
        <v>131.12</v>
      </c>
      <c r="L3179" s="3" t="n">
        <v>524.48</v>
      </c>
      <c r="M3179" s="3" t="n">
        <v>381.65</v>
      </c>
      <c r="N3179" s="3" t="n">
        <v>142.83</v>
      </c>
      <c r="O3179">
        <f>TEXT(A3179,"yyyy-mm")</f>
        <v/>
      </c>
    </row>
    <row r="3180">
      <c r="A3180" s="2" t="n">
        <v>46022</v>
      </c>
      <c r="B3180" t="n">
        <v>2025</v>
      </c>
      <c r="C3180" t="inlineStr">
        <is>
          <t>December</t>
        </is>
      </c>
      <c r="D3180" t="inlineStr">
        <is>
          <t>Compact Jacket</t>
        </is>
      </c>
      <c r="E3180" t="inlineStr">
        <is>
          <t>Clothing</t>
        </is>
      </c>
      <c r="F3180" t="inlineStr">
        <is>
          <t>Laura Rossi</t>
        </is>
      </c>
      <c r="G3180" t="inlineStr">
        <is>
          <t>United States</t>
        </is>
      </c>
      <c r="H3180" t="inlineStr">
        <is>
          <t>Mobile App</t>
        </is>
      </c>
      <c r="I3180" t="n">
        <v>3</v>
      </c>
      <c r="J3180" s="3" t="n">
        <v>113.55</v>
      </c>
      <c r="K3180" s="3" t="n">
        <v>11.36</v>
      </c>
      <c r="L3180" s="3" t="n">
        <v>102.2</v>
      </c>
      <c r="M3180" s="3" t="n">
        <v>61.2</v>
      </c>
      <c r="N3180" s="3" t="n">
        <v>41</v>
      </c>
      <c r="O3180">
        <f>TEXT(A3180,"yyyy-mm")</f>
        <v/>
      </c>
    </row>
    <row r="3181">
      <c r="A3181" s="2" t="n">
        <v>46022</v>
      </c>
      <c r="B3181" t="n">
        <v>2025</v>
      </c>
      <c r="C3181" t="inlineStr">
        <is>
          <t>December</t>
        </is>
      </c>
      <c r="D3181" t="inlineStr">
        <is>
          <t>Deluxe Scarf</t>
        </is>
      </c>
      <c r="E3181" t="inlineStr">
        <is>
          <t>Clothing</t>
        </is>
      </c>
      <c r="F3181" t="inlineStr">
        <is>
          <t>John Lopez</t>
        </is>
      </c>
      <c r="G3181" t="inlineStr">
        <is>
          <t>Germany</t>
        </is>
      </c>
      <c r="H3181" t="inlineStr">
        <is>
          <t>Web Store</t>
        </is>
      </c>
      <c r="I3181" t="n">
        <v>2</v>
      </c>
      <c r="J3181" s="3" t="n">
        <v>416.12</v>
      </c>
      <c r="K3181" s="3" t="n">
        <v>0</v>
      </c>
      <c r="L3181" s="3" t="n">
        <v>416.12</v>
      </c>
      <c r="M3181" s="3" t="n">
        <v>217.04</v>
      </c>
      <c r="N3181" s="3" t="n">
        <v>199.08</v>
      </c>
      <c r="O3181">
        <f>TEXT(A3181,"yyyy-mm")</f>
        <v/>
      </c>
    </row>
    <row r="3182">
      <c r="A3182" s="2" t="n">
        <v>46022</v>
      </c>
      <c r="B3182" t="n">
        <v>2025</v>
      </c>
      <c r="C3182" t="inlineStr">
        <is>
          <t>December</t>
        </is>
      </c>
      <c r="D3182" t="inlineStr">
        <is>
          <t>Eco Sweater</t>
        </is>
      </c>
      <c r="E3182" t="inlineStr">
        <is>
          <t>Clothing</t>
        </is>
      </c>
      <c r="F3182" t="inlineStr">
        <is>
          <t>Maria Nowak</t>
        </is>
      </c>
      <c r="G3182" t="inlineStr">
        <is>
          <t>Poland</t>
        </is>
      </c>
      <c r="H3182" t="inlineStr">
        <is>
          <t>Marketplace</t>
        </is>
      </c>
      <c r="I3182" t="n">
        <v>3</v>
      </c>
      <c r="J3182" s="3" t="n">
        <v>451.23</v>
      </c>
      <c r="K3182" s="3" t="n">
        <v>45.12</v>
      </c>
      <c r="L3182" s="3" t="n">
        <v>406.11</v>
      </c>
      <c r="M3182" s="3" t="n">
        <v>312.69</v>
      </c>
      <c r="N3182" s="3" t="n">
        <v>93.42</v>
      </c>
      <c r="O3182">
        <f>TEXT(A3182,"yyyy-mm")</f>
        <v/>
      </c>
    </row>
    <row r="3183">
      <c r="A3183" s="2" t="n">
        <v>46023</v>
      </c>
      <c r="B3183" t="n">
        <v>2026</v>
      </c>
      <c r="C3183" t="inlineStr">
        <is>
          <t>January</t>
        </is>
      </c>
      <c r="D3183" t="inlineStr">
        <is>
          <t>Portable Pasta</t>
        </is>
      </c>
      <c r="E3183" t="inlineStr">
        <is>
          <t>Grocery</t>
        </is>
      </c>
      <c r="F3183" t="inlineStr">
        <is>
          <t>Nina Bianchi</t>
        </is>
      </c>
      <c r="G3183" t="inlineStr">
        <is>
          <t>Italy</t>
        </is>
      </c>
      <c r="H3183" t="inlineStr">
        <is>
          <t>Retail Store</t>
        </is>
      </c>
      <c r="I3183" t="n">
        <v>2</v>
      </c>
      <c r="J3183" s="3" t="n">
        <v>75.31999999999999</v>
      </c>
      <c r="K3183" s="3" t="n">
        <v>11.3</v>
      </c>
      <c r="L3183" s="3" t="n">
        <v>64.02</v>
      </c>
      <c r="M3183" s="3" t="n">
        <v>55.5</v>
      </c>
      <c r="N3183" s="3" t="n">
        <v>8.52</v>
      </c>
      <c r="O3183">
        <f>TEXT(A3183,"yyyy-mm")</f>
        <v/>
      </c>
    </row>
    <row r="3184">
      <c r="A3184" s="2" t="n">
        <v>46023</v>
      </c>
      <c r="B3184" t="n">
        <v>2026</v>
      </c>
      <c r="C3184" t="inlineStr">
        <is>
          <t>January</t>
        </is>
      </c>
      <c r="D3184" t="inlineStr">
        <is>
          <t>Premium Water Bottle</t>
        </is>
      </c>
      <c r="E3184" t="inlineStr">
        <is>
          <t>Sports &amp; Outdoors</t>
        </is>
      </c>
      <c r="F3184" t="inlineStr">
        <is>
          <t>Nina Bianchi</t>
        </is>
      </c>
      <c r="G3184" t="inlineStr">
        <is>
          <t>Italy</t>
        </is>
      </c>
      <c r="H3184" t="inlineStr">
        <is>
          <t>Retail Store</t>
        </is>
      </c>
      <c r="I3184" t="n">
        <v>1</v>
      </c>
      <c r="J3184" s="3" t="n">
        <v>29.4</v>
      </c>
      <c r="K3184" s="3" t="n">
        <v>4.41</v>
      </c>
      <c r="L3184" s="3" t="n">
        <v>24.99</v>
      </c>
      <c r="M3184" s="3" t="n">
        <v>16.63</v>
      </c>
      <c r="N3184" s="3" t="n">
        <v>8.359999999999999</v>
      </c>
      <c r="O3184">
        <f>TEXT(A3184,"yyyy-mm")</f>
        <v/>
      </c>
    </row>
    <row r="3185">
      <c r="A3185" s="2" t="n">
        <v>46023</v>
      </c>
      <c r="B3185" t="n">
        <v>2026</v>
      </c>
      <c r="C3185" t="inlineStr">
        <is>
          <t>January</t>
        </is>
      </c>
      <c r="D3185" t="inlineStr">
        <is>
          <t>Premium Rug</t>
        </is>
      </c>
      <c r="E3185" t="inlineStr">
        <is>
          <t>Home &amp; Garden</t>
        </is>
      </c>
      <c r="F3185" t="inlineStr">
        <is>
          <t>Nina Bianchi</t>
        </is>
      </c>
      <c r="G3185" t="inlineStr">
        <is>
          <t>Italy</t>
        </is>
      </c>
      <c r="H3185" t="inlineStr">
        <is>
          <t>Retail Store</t>
        </is>
      </c>
      <c r="I3185" t="n">
        <v>3</v>
      </c>
      <c r="J3185" s="3" t="n">
        <v>548.67</v>
      </c>
      <c r="K3185" s="3" t="n">
        <v>27.43</v>
      </c>
      <c r="L3185" s="3" t="n">
        <v>521.24</v>
      </c>
      <c r="M3185" s="3" t="n">
        <v>333.57</v>
      </c>
      <c r="N3185" s="3" t="n">
        <v>187.67</v>
      </c>
      <c r="O3185">
        <f>TEXT(A3185,"yyyy-mm")</f>
        <v/>
      </c>
    </row>
    <row r="3186">
      <c r="A3186" s="2" t="n">
        <v>46023</v>
      </c>
      <c r="B3186" t="n">
        <v>2026</v>
      </c>
      <c r="C3186" t="inlineStr">
        <is>
          <t>January</t>
        </is>
      </c>
      <c r="D3186" t="inlineStr">
        <is>
          <t>Essential Toolset</t>
        </is>
      </c>
      <c r="E3186" t="inlineStr">
        <is>
          <t>Home &amp; Garden</t>
        </is>
      </c>
      <c r="F3186" t="inlineStr">
        <is>
          <t>Paul Zielinski</t>
        </is>
      </c>
      <c r="G3186" t="inlineStr">
        <is>
          <t>Poland</t>
        </is>
      </c>
      <c r="H3186" t="inlineStr">
        <is>
          <t>Mobile App</t>
        </is>
      </c>
      <c r="I3186" t="n">
        <v>1</v>
      </c>
      <c r="J3186" s="3" t="n">
        <v>213.22</v>
      </c>
      <c r="K3186" s="3" t="n">
        <v>10.66</v>
      </c>
      <c r="L3186" s="3" t="n">
        <v>202.56</v>
      </c>
      <c r="M3186" s="3" t="n">
        <v>150.53</v>
      </c>
      <c r="N3186" s="3" t="n">
        <v>52.03</v>
      </c>
      <c r="O3186">
        <f>TEXT(A3186,"yyyy-mm")</f>
        <v/>
      </c>
    </row>
    <row r="3187">
      <c r="A3187" s="2" t="n">
        <v>46023</v>
      </c>
      <c r="B3187" t="n">
        <v>2026</v>
      </c>
      <c r="C3187" t="inlineStr">
        <is>
          <t>January</t>
        </is>
      </c>
      <c r="D3187" t="inlineStr">
        <is>
          <t>Eco Planter</t>
        </is>
      </c>
      <c r="E3187" t="inlineStr">
        <is>
          <t>Home &amp; Garden</t>
        </is>
      </c>
      <c r="F3187" t="inlineStr">
        <is>
          <t>Maria Martin</t>
        </is>
      </c>
      <c r="G3187" t="inlineStr">
        <is>
          <t>Poland</t>
        </is>
      </c>
      <c r="H3187" t="inlineStr">
        <is>
          <t>Marketplace</t>
        </is>
      </c>
      <c r="I3187" t="n">
        <v>1</v>
      </c>
      <c r="J3187" s="3" t="n">
        <v>180.66</v>
      </c>
      <c r="K3187" s="3" t="n">
        <v>27.1</v>
      </c>
      <c r="L3187" s="3" t="n">
        <v>153.56</v>
      </c>
      <c r="M3187" s="3" t="n">
        <v>112.41</v>
      </c>
      <c r="N3187" s="3" t="n">
        <v>41.15</v>
      </c>
      <c r="O3187">
        <f>TEXT(A3187,"yyyy-mm")</f>
        <v/>
      </c>
    </row>
    <row r="3188">
      <c r="A3188" s="2" t="n">
        <v>46023</v>
      </c>
      <c r="B3188" t="n">
        <v>2026</v>
      </c>
      <c r="C3188" t="inlineStr">
        <is>
          <t>January</t>
        </is>
      </c>
      <c r="D3188" t="inlineStr">
        <is>
          <t>Premium Water Bottle</t>
        </is>
      </c>
      <c r="E3188" t="inlineStr">
        <is>
          <t>Sports &amp; Outdoors</t>
        </is>
      </c>
      <c r="F3188" t="inlineStr">
        <is>
          <t>Maria Martin</t>
        </is>
      </c>
      <c r="G3188" t="inlineStr">
        <is>
          <t>Poland</t>
        </is>
      </c>
      <c r="H3188" t="inlineStr">
        <is>
          <t>Marketplace</t>
        </is>
      </c>
      <c r="I3188" t="n">
        <v>1</v>
      </c>
      <c r="J3188" s="3" t="n">
        <v>320.06</v>
      </c>
      <c r="K3188" s="3" t="n">
        <v>0</v>
      </c>
      <c r="L3188" s="3" t="n">
        <v>320.06</v>
      </c>
      <c r="M3188" s="3" t="n">
        <v>181.16</v>
      </c>
      <c r="N3188" s="3" t="n">
        <v>138.9</v>
      </c>
      <c r="O3188">
        <f>TEXT(A3188,"yyyy-mm")</f>
        <v/>
      </c>
    </row>
    <row r="3189">
      <c r="A3189" s="2" t="n">
        <v>46024</v>
      </c>
      <c r="B3189" t="n">
        <v>2026</v>
      </c>
      <c r="C3189" t="inlineStr">
        <is>
          <t>January</t>
        </is>
      </c>
      <c r="D3189" t="inlineStr">
        <is>
          <t>Portable Toolset</t>
        </is>
      </c>
      <c r="E3189" t="inlineStr">
        <is>
          <t>Home &amp; Garden</t>
        </is>
      </c>
      <c r="F3189" t="inlineStr">
        <is>
          <t>Daniel Conti</t>
        </is>
      </c>
      <c r="G3189" t="inlineStr">
        <is>
          <t>United Kingdom</t>
        </is>
      </c>
      <c r="H3189" t="inlineStr">
        <is>
          <t>Marketplace</t>
        </is>
      </c>
      <c r="I3189" t="n">
        <v>3</v>
      </c>
      <c r="J3189" s="3" t="n">
        <v>256.65</v>
      </c>
      <c r="K3189" s="3" t="n">
        <v>0</v>
      </c>
      <c r="L3189" s="3" t="n">
        <v>256.65</v>
      </c>
      <c r="M3189" s="3" t="n">
        <v>151.62</v>
      </c>
      <c r="N3189" s="3" t="n">
        <v>105.03</v>
      </c>
      <c r="O3189">
        <f>TEXT(A3189,"yyyy-mm")</f>
        <v/>
      </c>
    </row>
    <row r="3190">
      <c r="A3190" s="2" t="n">
        <v>46024</v>
      </c>
      <c r="B3190" t="n">
        <v>2026</v>
      </c>
      <c r="C3190" t="inlineStr">
        <is>
          <t>January</t>
        </is>
      </c>
      <c r="D3190" t="inlineStr">
        <is>
          <t>Wireless Drone</t>
        </is>
      </c>
      <c r="E3190" t="inlineStr">
        <is>
          <t>Toys &amp; Games</t>
        </is>
      </c>
      <c r="F3190" t="inlineStr">
        <is>
          <t>Daniel Conti</t>
        </is>
      </c>
      <c r="G3190" t="inlineStr">
        <is>
          <t>United Kingdom</t>
        </is>
      </c>
      <c r="H3190" t="inlineStr">
        <is>
          <t>Marketplace</t>
        </is>
      </c>
      <c r="I3190" t="n">
        <v>1</v>
      </c>
      <c r="J3190" s="3" t="n">
        <v>228.79</v>
      </c>
      <c r="K3190" s="3" t="n">
        <v>11.44</v>
      </c>
      <c r="L3190" s="3" t="n">
        <v>217.35</v>
      </c>
      <c r="M3190" s="3" t="n">
        <v>131.29</v>
      </c>
      <c r="N3190" s="3" t="n">
        <v>86.06</v>
      </c>
      <c r="O3190">
        <f>TEXT(A3190,"yyyy-mm")</f>
        <v/>
      </c>
    </row>
    <row r="3191">
      <c r="A3191" s="2" t="n">
        <v>46024</v>
      </c>
      <c r="B3191" t="n">
        <v>2026</v>
      </c>
      <c r="C3191" t="inlineStr">
        <is>
          <t>January</t>
        </is>
      </c>
      <c r="D3191" t="inlineStr">
        <is>
          <t>Ultra Vitamins</t>
        </is>
      </c>
      <c r="E3191" t="inlineStr">
        <is>
          <t>Beauty &amp; Health</t>
        </is>
      </c>
      <c r="F3191" t="inlineStr">
        <is>
          <t>Julia Zielinski</t>
        </is>
      </c>
      <c r="G3191" t="inlineStr">
        <is>
          <t>Germany</t>
        </is>
      </c>
      <c r="H3191" t="inlineStr">
        <is>
          <t>Retail Store</t>
        </is>
      </c>
      <c r="I3191" t="n">
        <v>1</v>
      </c>
      <c r="J3191" s="3" t="n">
        <v>205.72</v>
      </c>
      <c r="K3191" s="3" t="n">
        <v>30.86</v>
      </c>
      <c r="L3191" s="3" t="n">
        <v>174.86</v>
      </c>
      <c r="M3191" s="3" t="n">
        <v>126.1</v>
      </c>
      <c r="N3191" s="3" t="n">
        <v>48.76</v>
      </c>
      <c r="O3191">
        <f>TEXT(A3191,"yyyy-mm")</f>
        <v/>
      </c>
    </row>
    <row r="3192">
      <c r="A3192" s="2" t="n">
        <v>46024</v>
      </c>
      <c r="B3192" t="n">
        <v>2026</v>
      </c>
      <c r="C3192" t="inlineStr">
        <is>
          <t>January</t>
        </is>
      </c>
      <c r="D3192" t="inlineStr">
        <is>
          <t>Deluxe Smartwatch</t>
        </is>
      </c>
      <c r="E3192" t="inlineStr">
        <is>
          <t>Electronics</t>
        </is>
      </c>
      <c r="F3192" t="inlineStr">
        <is>
          <t>Mark Fischer</t>
        </is>
      </c>
      <c r="G3192" t="inlineStr">
        <is>
          <t>Germany</t>
        </is>
      </c>
      <c r="H3192" t="inlineStr">
        <is>
          <t>Marketplace</t>
        </is>
      </c>
      <c r="I3192" t="n">
        <v>3</v>
      </c>
      <c r="J3192" s="3" t="n">
        <v>468.9</v>
      </c>
      <c r="K3192" s="3" t="n">
        <v>46.89</v>
      </c>
      <c r="L3192" s="3" t="n">
        <v>422.01</v>
      </c>
      <c r="M3192" s="3" t="n">
        <v>368.16</v>
      </c>
      <c r="N3192" s="3" t="n">
        <v>53.85</v>
      </c>
      <c r="O3192">
        <f>TEXT(A3192,"yyyy-mm")</f>
        <v/>
      </c>
    </row>
    <row r="3193">
      <c r="A3193" s="2" t="n">
        <v>46024</v>
      </c>
      <c r="B3193" t="n">
        <v>2026</v>
      </c>
      <c r="C3193" t="inlineStr">
        <is>
          <t>January</t>
        </is>
      </c>
      <c r="D3193" t="inlineStr">
        <is>
          <t>Wireless Backpack</t>
        </is>
      </c>
      <c r="E3193" t="inlineStr">
        <is>
          <t>Sports &amp; Outdoors</t>
        </is>
      </c>
      <c r="F3193" t="inlineStr">
        <is>
          <t>Mark Fischer</t>
        </is>
      </c>
      <c r="G3193" t="inlineStr">
        <is>
          <t>Germany</t>
        </is>
      </c>
      <c r="H3193" t="inlineStr">
        <is>
          <t>Marketplace</t>
        </is>
      </c>
      <c r="I3193" t="n">
        <v>5</v>
      </c>
      <c r="J3193" s="3" t="n">
        <v>248.55</v>
      </c>
      <c r="K3193" s="3" t="n">
        <v>0</v>
      </c>
      <c r="L3193" s="3" t="n">
        <v>248.55</v>
      </c>
      <c r="M3193" s="3" t="n">
        <v>140.5</v>
      </c>
      <c r="N3193" s="3" t="n">
        <v>108.05</v>
      </c>
      <c r="O3193">
        <f>TEXT(A3193,"yyyy-mm")</f>
        <v/>
      </c>
    </row>
    <row r="3194">
      <c r="A3194" s="2" t="n">
        <v>46024</v>
      </c>
      <c r="B3194" t="n">
        <v>2026</v>
      </c>
      <c r="C3194" t="inlineStr">
        <is>
          <t>January</t>
        </is>
      </c>
      <c r="D3194" t="inlineStr">
        <is>
          <t>Wireless Coffee Beans</t>
        </is>
      </c>
      <c r="E3194" t="inlineStr">
        <is>
          <t>Grocery</t>
        </is>
      </c>
      <c r="F3194" t="inlineStr">
        <is>
          <t>Sophie Garcia</t>
        </is>
      </c>
      <c r="G3194" t="inlineStr">
        <is>
          <t>France</t>
        </is>
      </c>
      <c r="H3194" t="inlineStr">
        <is>
          <t>Web Store</t>
        </is>
      </c>
      <c r="I3194" t="n">
        <v>2</v>
      </c>
      <c r="J3194" s="3" t="n">
        <v>229.08</v>
      </c>
      <c r="K3194" s="3" t="n">
        <v>45.82</v>
      </c>
      <c r="L3194" s="3" t="n">
        <v>183.26</v>
      </c>
      <c r="M3194" s="3" t="n">
        <v>158.74</v>
      </c>
      <c r="N3194" s="3" t="n">
        <v>24.52</v>
      </c>
      <c r="O3194">
        <f>TEXT(A3194,"yyyy-mm")</f>
        <v/>
      </c>
    </row>
    <row r="3195">
      <c r="A3195" s="2" t="n">
        <v>46024</v>
      </c>
      <c r="B3195" t="n">
        <v>2026</v>
      </c>
      <c r="C3195" t="inlineStr">
        <is>
          <t>January</t>
        </is>
      </c>
      <c r="D3195" t="inlineStr">
        <is>
          <t>Smart Sweater</t>
        </is>
      </c>
      <c r="E3195" t="inlineStr">
        <is>
          <t>Clothing</t>
        </is>
      </c>
      <c r="F3195" t="inlineStr">
        <is>
          <t>Sophie Garcia</t>
        </is>
      </c>
      <c r="G3195" t="inlineStr">
        <is>
          <t>France</t>
        </is>
      </c>
      <c r="H3195" t="inlineStr">
        <is>
          <t>Web Store</t>
        </is>
      </c>
      <c r="I3195" t="n">
        <v>4</v>
      </c>
      <c r="J3195" s="3" t="n">
        <v>573.92</v>
      </c>
      <c r="K3195" s="3" t="n">
        <v>0</v>
      </c>
      <c r="L3195" s="3" t="n">
        <v>573.92</v>
      </c>
      <c r="M3195" s="3" t="n">
        <v>309.4</v>
      </c>
      <c r="N3195" s="3" t="n">
        <v>264.52</v>
      </c>
      <c r="O3195">
        <f>TEXT(A3195,"yyyy-mm")</f>
        <v/>
      </c>
    </row>
    <row r="3196">
      <c r="A3196" s="2" t="n">
        <v>46024</v>
      </c>
      <c r="B3196" t="n">
        <v>2026</v>
      </c>
      <c r="C3196" t="inlineStr">
        <is>
          <t>January</t>
        </is>
      </c>
      <c r="D3196" t="inlineStr">
        <is>
          <t>Deluxe Notebook</t>
        </is>
      </c>
      <c r="E3196" t="inlineStr">
        <is>
          <t>Books</t>
        </is>
      </c>
      <c r="F3196" t="inlineStr">
        <is>
          <t>Sophie Garcia</t>
        </is>
      </c>
      <c r="G3196" t="inlineStr">
        <is>
          <t>France</t>
        </is>
      </c>
      <c r="H3196" t="inlineStr">
        <is>
          <t>Web Store</t>
        </is>
      </c>
      <c r="I3196" t="n">
        <v>1</v>
      </c>
      <c r="J3196" s="3" t="n">
        <v>207.81</v>
      </c>
      <c r="K3196" s="3" t="n">
        <v>10.39</v>
      </c>
      <c r="L3196" s="3" t="n">
        <v>197.42</v>
      </c>
      <c r="M3196" s="3" t="n">
        <v>150.76</v>
      </c>
      <c r="N3196" s="3" t="n">
        <v>46.66</v>
      </c>
      <c r="O3196">
        <f>TEXT(A3196,"yyyy-mm")</f>
        <v/>
      </c>
    </row>
    <row r="3197">
      <c r="A3197" s="2" t="n">
        <v>46024</v>
      </c>
      <c r="B3197" t="n">
        <v>2026</v>
      </c>
      <c r="C3197" t="inlineStr">
        <is>
          <t>January</t>
        </is>
      </c>
      <c r="D3197" t="inlineStr">
        <is>
          <t>Deluxe Scarf</t>
        </is>
      </c>
      <c r="E3197" t="inlineStr">
        <is>
          <t>Clothing</t>
        </is>
      </c>
      <c r="F3197" t="inlineStr">
        <is>
          <t>Daniel Conti</t>
        </is>
      </c>
      <c r="G3197" t="inlineStr">
        <is>
          <t>United Kingdom</t>
        </is>
      </c>
      <c r="H3197" t="inlineStr">
        <is>
          <t>Marketplace</t>
        </is>
      </c>
      <c r="I3197" t="n">
        <v>1</v>
      </c>
      <c r="J3197" s="3" t="n">
        <v>196.17</v>
      </c>
      <c r="K3197" s="3" t="n">
        <v>39.23</v>
      </c>
      <c r="L3197" s="3" t="n">
        <v>156.94</v>
      </c>
      <c r="M3197" s="3" t="n">
        <v>108.52</v>
      </c>
      <c r="N3197" s="3" t="n">
        <v>48.42</v>
      </c>
      <c r="O3197">
        <f>TEXT(A3197,"yyyy-mm")</f>
        <v/>
      </c>
    </row>
    <row r="3198">
      <c r="A3198" s="2" t="n">
        <v>46024</v>
      </c>
      <c r="B3198" t="n">
        <v>2026</v>
      </c>
      <c r="C3198" t="inlineStr">
        <is>
          <t>January</t>
        </is>
      </c>
      <c r="D3198" t="inlineStr">
        <is>
          <t>Eco Planter</t>
        </is>
      </c>
      <c r="E3198" t="inlineStr">
        <is>
          <t>Home &amp; Garden</t>
        </is>
      </c>
      <c r="F3198" t="inlineStr">
        <is>
          <t>Daniel Conti</t>
        </is>
      </c>
      <c r="G3198" t="inlineStr">
        <is>
          <t>United Kingdom</t>
        </is>
      </c>
      <c r="H3198" t="inlineStr">
        <is>
          <t>Marketplace</t>
        </is>
      </c>
      <c r="I3198" t="n">
        <v>5</v>
      </c>
      <c r="J3198" s="3" t="n">
        <v>921.05</v>
      </c>
      <c r="K3198" s="3" t="n">
        <v>138.16</v>
      </c>
      <c r="L3198" s="3" t="n">
        <v>782.89</v>
      </c>
      <c r="M3198" s="3" t="n">
        <v>562.05</v>
      </c>
      <c r="N3198" s="3" t="n">
        <v>220.84</v>
      </c>
      <c r="O3198">
        <f>TEXT(A3198,"yyyy-mm")</f>
        <v/>
      </c>
    </row>
    <row r="3199">
      <c r="A3199" s="2" t="n">
        <v>46024</v>
      </c>
      <c r="B3199" t="n">
        <v>2026</v>
      </c>
      <c r="C3199" t="inlineStr">
        <is>
          <t>January</t>
        </is>
      </c>
      <c r="D3199" t="inlineStr">
        <is>
          <t>Classic Tent</t>
        </is>
      </c>
      <c r="E3199" t="inlineStr">
        <is>
          <t>Sports &amp; Outdoors</t>
        </is>
      </c>
      <c r="F3199" t="inlineStr">
        <is>
          <t>Sophie Garcia</t>
        </is>
      </c>
      <c r="G3199" t="inlineStr">
        <is>
          <t>France</t>
        </is>
      </c>
      <c r="H3199" t="inlineStr">
        <is>
          <t>Web Store</t>
        </is>
      </c>
      <c r="I3199" t="n">
        <v>3</v>
      </c>
      <c r="J3199" s="3" t="n">
        <v>586.62</v>
      </c>
      <c r="K3199" s="3" t="n">
        <v>117.32</v>
      </c>
      <c r="L3199" s="3" t="n">
        <v>469.3</v>
      </c>
      <c r="M3199" s="3" t="n">
        <v>354.06</v>
      </c>
      <c r="N3199" s="3" t="n">
        <v>115.24</v>
      </c>
      <c r="O3199">
        <f>TEXT(A3199,"yyyy-mm")</f>
        <v/>
      </c>
    </row>
    <row r="3200">
      <c r="A3200" s="2" t="n">
        <v>46025</v>
      </c>
      <c r="B3200" t="n">
        <v>2026</v>
      </c>
      <c r="C3200" t="inlineStr">
        <is>
          <t>January</t>
        </is>
      </c>
      <c r="D3200" t="inlineStr">
        <is>
          <t>Eco Biography</t>
        </is>
      </c>
      <c r="E3200" t="inlineStr">
        <is>
          <t>Books</t>
        </is>
      </c>
      <c r="F3200" t="inlineStr">
        <is>
          <t>Clara Lopez</t>
        </is>
      </c>
      <c r="G3200" t="inlineStr">
        <is>
          <t>France</t>
        </is>
      </c>
      <c r="H3200" t="inlineStr">
        <is>
          <t>Mobile App</t>
        </is>
      </c>
      <c r="I3200" t="n">
        <v>1</v>
      </c>
      <c r="J3200" s="3" t="n">
        <v>116.89</v>
      </c>
      <c r="K3200" s="3" t="n">
        <v>0</v>
      </c>
      <c r="L3200" s="3" t="n">
        <v>116.89</v>
      </c>
      <c r="M3200" s="3" t="n">
        <v>71.02</v>
      </c>
      <c r="N3200" s="3" t="n">
        <v>45.87</v>
      </c>
      <c r="O3200">
        <f>TEXT(A3200,"yyyy-mm")</f>
        <v/>
      </c>
    </row>
    <row r="3201">
      <c r="A3201" s="2" t="n">
        <v>46025</v>
      </c>
      <c r="B3201" t="n">
        <v>2026</v>
      </c>
      <c r="C3201" t="inlineStr">
        <is>
          <t>January</t>
        </is>
      </c>
      <c r="D3201" t="inlineStr">
        <is>
          <t>Smart Charger</t>
        </is>
      </c>
      <c r="E3201" t="inlineStr">
        <is>
          <t>Electronics</t>
        </is>
      </c>
      <c r="F3201" t="inlineStr">
        <is>
          <t>James Smith</t>
        </is>
      </c>
      <c r="G3201" t="inlineStr">
        <is>
          <t>Italy</t>
        </is>
      </c>
      <c r="H3201" t="inlineStr">
        <is>
          <t>Retail Store</t>
        </is>
      </c>
      <c r="I3201" t="n">
        <v>5</v>
      </c>
      <c r="J3201" s="3" t="n">
        <v>208.5</v>
      </c>
      <c r="K3201" s="3" t="n">
        <v>41.7</v>
      </c>
      <c r="L3201" s="3" t="n">
        <v>166.8</v>
      </c>
      <c r="M3201" s="3" t="n">
        <v>138.2</v>
      </c>
      <c r="N3201" s="3" t="n">
        <v>28.6</v>
      </c>
      <c r="O3201">
        <f>TEXT(A3201,"yyyy-mm")</f>
        <v/>
      </c>
    </row>
    <row r="3202">
      <c r="A3202" s="2" t="n">
        <v>46025</v>
      </c>
      <c r="B3202" t="n">
        <v>2026</v>
      </c>
      <c r="C3202" t="inlineStr">
        <is>
          <t>January</t>
        </is>
      </c>
      <c r="D3202" t="inlineStr">
        <is>
          <t>Smart Tea Set</t>
        </is>
      </c>
      <c r="E3202" t="inlineStr">
        <is>
          <t>Grocery</t>
        </is>
      </c>
      <c r="F3202" t="inlineStr">
        <is>
          <t>James Smith</t>
        </is>
      </c>
      <c r="G3202" t="inlineStr">
        <is>
          <t>Italy</t>
        </is>
      </c>
      <c r="H3202" t="inlineStr">
        <is>
          <t>Retail Store</t>
        </is>
      </c>
      <c r="I3202" t="n">
        <v>5</v>
      </c>
      <c r="J3202" s="3" t="n">
        <v>459.7</v>
      </c>
      <c r="K3202" s="3" t="n">
        <v>0</v>
      </c>
      <c r="L3202" s="3" t="n">
        <v>459.7</v>
      </c>
      <c r="M3202" s="3" t="n">
        <v>309</v>
      </c>
      <c r="N3202" s="3" t="n">
        <v>150.7</v>
      </c>
      <c r="O3202">
        <f>TEXT(A3202,"yyyy-mm")</f>
        <v/>
      </c>
    </row>
    <row r="3203">
      <c r="A3203" s="2" t="n">
        <v>46026</v>
      </c>
      <c r="B3203" t="n">
        <v>2026</v>
      </c>
      <c r="C3203" t="inlineStr">
        <is>
          <t>January</t>
        </is>
      </c>
      <c r="D3203" t="inlineStr">
        <is>
          <t>Wireless Cookbook</t>
        </is>
      </c>
      <c r="E3203" t="inlineStr">
        <is>
          <t>Books</t>
        </is>
      </c>
      <c r="F3203" t="inlineStr">
        <is>
          <t>Thomas Lopez</t>
        </is>
      </c>
      <c r="G3203" t="inlineStr">
        <is>
          <t>Spain</t>
        </is>
      </c>
      <c r="H3203" t="inlineStr">
        <is>
          <t>Marketplace</t>
        </is>
      </c>
      <c r="I3203" t="n">
        <v>1</v>
      </c>
      <c r="J3203" s="3" t="n">
        <v>75.42</v>
      </c>
      <c r="K3203" s="3" t="n">
        <v>15.08</v>
      </c>
      <c r="L3203" s="3" t="n">
        <v>60.34</v>
      </c>
      <c r="M3203" s="3" t="n">
        <v>56.61</v>
      </c>
      <c r="N3203" s="3" t="n">
        <v>3.73</v>
      </c>
      <c r="O3203">
        <f>TEXT(A3203,"yyyy-mm")</f>
        <v/>
      </c>
    </row>
    <row r="3204">
      <c r="A3204" s="2" t="n">
        <v>46026</v>
      </c>
      <c r="B3204" t="n">
        <v>2026</v>
      </c>
      <c r="C3204" t="inlineStr">
        <is>
          <t>January</t>
        </is>
      </c>
      <c r="D3204" t="inlineStr">
        <is>
          <t>Portable Speaker</t>
        </is>
      </c>
      <c r="E3204" t="inlineStr">
        <is>
          <t>Electronics</t>
        </is>
      </c>
      <c r="F3204" t="inlineStr">
        <is>
          <t>Thomas Lopez</t>
        </is>
      </c>
      <c r="G3204" t="inlineStr">
        <is>
          <t>Spain</t>
        </is>
      </c>
      <c r="H3204" t="inlineStr">
        <is>
          <t>Marketplace</t>
        </is>
      </c>
      <c r="I3204" t="n">
        <v>4</v>
      </c>
      <c r="J3204" s="3" t="n">
        <v>1252.04</v>
      </c>
      <c r="K3204" s="3" t="n">
        <v>62.6</v>
      </c>
      <c r="L3204" s="3" t="n">
        <v>1189.44</v>
      </c>
      <c r="M3204" s="3" t="n">
        <v>699.3200000000001</v>
      </c>
      <c r="N3204" s="3" t="n">
        <v>490.12</v>
      </c>
      <c r="O3204">
        <f>TEXT(A3204,"yyyy-mm")</f>
        <v/>
      </c>
    </row>
    <row r="3205">
      <c r="A3205" s="2" t="n">
        <v>46026</v>
      </c>
      <c r="B3205" t="n">
        <v>2026</v>
      </c>
      <c r="C3205" t="inlineStr">
        <is>
          <t>January</t>
        </is>
      </c>
      <c r="D3205" t="inlineStr">
        <is>
          <t>Eco Planter</t>
        </is>
      </c>
      <c r="E3205" t="inlineStr">
        <is>
          <t>Home &amp; Garden</t>
        </is>
      </c>
      <c r="F3205" t="inlineStr">
        <is>
          <t>Thomas Lopez</t>
        </is>
      </c>
      <c r="G3205" t="inlineStr">
        <is>
          <t>Spain</t>
        </is>
      </c>
      <c r="H3205" t="inlineStr">
        <is>
          <t>Marketplace</t>
        </is>
      </c>
      <c r="I3205" t="n">
        <v>5</v>
      </c>
      <c r="J3205" s="3" t="n">
        <v>906.75</v>
      </c>
      <c r="K3205" s="3" t="n">
        <v>136.01</v>
      </c>
      <c r="L3205" s="3" t="n">
        <v>770.74</v>
      </c>
      <c r="M3205" s="3" t="n">
        <v>562.05</v>
      </c>
      <c r="N3205" s="3" t="n">
        <v>208.69</v>
      </c>
      <c r="O3205">
        <f>TEXT(A3205,"yyyy-mm")</f>
        <v/>
      </c>
    </row>
    <row r="3206">
      <c r="A3206" s="2" t="n">
        <v>46026</v>
      </c>
      <c r="B3206" t="n">
        <v>2026</v>
      </c>
      <c r="C3206" t="inlineStr">
        <is>
          <t>January</t>
        </is>
      </c>
      <c r="D3206" t="inlineStr">
        <is>
          <t>Portable Puzzle</t>
        </is>
      </c>
      <c r="E3206" t="inlineStr">
        <is>
          <t>Toys &amp; Games</t>
        </is>
      </c>
      <c r="F3206" t="inlineStr">
        <is>
          <t>Thomas Lopez</t>
        </is>
      </c>
      <c r="G3206" t="inlineStr">
        <is>
          <t>Spain</t>
        </is>
      </c>
      <c r="H3206" t="inlineStr">
        <is>
          <t>Marketplace</t>
        </is>
      </c>
      <c r="I3206" t="n">
        <v>1</v>
      </c>
      <c r="J3206" s="3" t="n">
        <v>324.83</v>
      </c>
      <c r="K3206" s="3" t="n">
        <v>48.72</v>
      </c>
      <c r="L3206" s="3" t="n">
        <v>276.11</v>
      </c>
      <c r="M3206" s="3" t="n">
        <v>173.66</v>
      </c>
      <c r="N3206" s="3" t="n">
        <v>102.45</v>
      </c>
      <c r="O3206">
        <f>TEXT(A3206,"yyyy-mm")</f>
        <v/>
      </c>
    </row>
    <row r="3207">
      <c r="A3207" s="2" t="n">
        <v>46027</v>
      </c>
      <c r="B3207" t="n">
        <v>2026</v>
      </c>
      <c r="C3207" t="inlineStr">
        <is>
          <t>January</t>
        </is>
      </c>
      <c r="D3207" t="inlineStr">
        <is>
          <t>Smart Puzzle</t>
        </is>
      </c>
      <c r="E3207" t="inlineStr">
        <is>
          <t>Toys &amp; Games</t>
        </is>
      </c>
      <c r="F3207" t="inlineStr">
        <is>
          <t>Clara Zielinski</t>
        </is>
      </c>
      <c r="G3207" t="inlineStr">
        <is>
          <t>United States</t>
        </is>
      </c>
      <c r="H3207" t="inlineStr">
        <is>
          <t>Marketplace</t>
        </is>
      </c>
      <c r="I3207" t="n">
        <v>2</v>
      </c>
      <c r="J3207" s="3" t="n">
        <v>531.58</v>
      </c>
      <c r="K3207" s="3" t="n">
        <v>106.32</v>
      </c>
      <c r="L3207" s="3" t="n">
        <v>425.26</v>
      </c>
      <c r="M3207" s="3" t="n">
        <v>385.52</v>
      </c>
      <c r="N3207" s="3" t="n">
        <v>39.74</v>
      </c>
      <c r="O3207">
        <f>TEXT(A3207,"yyyy-mm")</f>
        <v/>
      </c>
    </row>
    <row r="3208">
      <c r="A3208" s="2" t="n">
        <v>46027</v>
      </c>
      <c r="B3208" t="n">
        <v>2026</v>
      </c>
      <c r="C3208" t="inlineStr">
        <is>
          <t>January</t>
        </is>
      </c>
      <c r="D3208" t="inlineStr">
        <is>
          <t>Classic Charger</t>
        </is>
      </c>
      <c r="E3208" t="inlineStr">
        <is>
          <t>Electronics</t>
        </is>
      </c>
      <c r="F3208" t="inlineStr">
        <is>
          <t>Julia Johnson</t>
        </is>
      </c>
      <c r="G3208" t="inlineStr">
        <is>
          <t>Spain</t>
        </is>
      </c>
      <c r="H3208" t="inlineStr">
        <is>
          <t>Retail Store</t>
        </is>
      </c>
      <c r="I3208" t="n">
        <v>3</v>
      </c>
      <c r="J3208" s="3" t="n">
        <v>275.85</v>
      </c>
      <c r="K3208" s="3" t="n">
        <v>27.59</v>
      </c>
      <c r="L3208" s="3" t="n">
        <v>248.26</v>
      </c>
      <c r="M3208" s="3" t="n">
        <v>186.63</v>
      </c>
      <c r="N3208" s="3" t="n">
        <v>61.64</v>
      </c>
      <c r="O3208">
        <f>TEXT(A3208,"yyyy-mm")</f>
        <v/>
      </c>
    </row>
    <row r="3209">
      <c r="A3209" s="2" t="n">
        <v>46028</v>
      </c>
      <c r="B3209" t="n">
        <v>2026</v>
      </c>
      <c r="C3209" t="inlineStr">
        <is>
          <t>January</t>
        </is>
      </c>
      <c r="D3209" t="inlineStr">
        <is>
          <t>Smart Cookbook</t>
        </is>
      </c>
      <c r="E3209" t="inlineStr">
        <is>
          <t>Books</t>
        </is>
      </c>
      <c r="F3209" t="inlineStr">
        <is>
          <t>David Moreau</t>
        </is>
      </c>
      <c r="G3209" t="inlineStr">
        <is>
          <t>Poland</t>
        </is>
      </c>
      <c r="H3209" t="inlineStr">
        <is>
          <t>Retail Store</t>
        </is>
      </c>
      <c r="I3209" t="n">
        <v>5</v>
      </c>
      <c r="J3209" s="3" t="n">
        <v>90.25</v>
      </c>
      <c r="K3209" s="3" t="n">
        <v>0</v>
      </c>
      <c r="L3209" s="3" t="n">
        <v>90.25</v>
      </c>
      <c r="M3209" s="3" t="n">
        <v>49.4</v>
      </c>
      <c r="N3209" s="3" t="n">
        <v>40.85</v>
      </c>
      <c r="O3209">
        <f>TEXT(A3209,"yyyy-mm")</f>
        <v/>
      </c>
    </row>
    <row r="3210">
      <c r="A3210" s="2" t="n">
        <v>46028</v>
      </c>
      <c r="B3210" t="n">
        <v>2026</v>
      </c>
      <c r="C3210" t="inlineStr">
        <is>
          <t>January</t>
        </is>
      </c>
      <c r="D3210" t="inlineStr">
        <is>
          <t>Deluxe Headphones</t>
        </is>
      </c>
      <c r="E3210" t="inlineStr">
        <is>
          <t>Electronics</t>
        </is>
      </c>
      <c r="F3210" t="inlineStr">
        <is>
          <t>David Moreau</t>
        </is>
      </c>
      <c r="G3210" t="inlineStr">
        <is>
          <t>Poland</t>
        </is>
      </c>
      <c r="H3210" t="inlineStr">
        <is>
          <t>Retail Store</t>
        </is>
      </c>
      <c r="I3210" t="n">
        <v>5</v>
      </c>
      <c r="J3210" s="3" t="n">
        <v>365.25</v>
      </c>
      <c r="K3210" s="3" t="n">
        <v>36.52</v>
      </c>
      <c r="L3210" s="3" t="n">
        <v>328.72</v>
      </c>
      <c r="M3210" s="3" t="n">
        <v>262.5</v>
      </c>
      <c r="N3210" s="3" t="n">
        <v>66.23</v>
      </c>
      <c r="O3210">
        <f>TEXT(A3210,"yyyy-mm")</f>
        <v/>
      </c>
    </row>
    <row r="3211">
      <c r="A3211" s="2" t="n">
        <v>46028</v>
      </c>
      <c r="B3211" t="n">
        <v>2026</v>
      </c>
      <c r="C3211" t="inlineStr">
        <is>
          <t>January</t>
        </is>
      </c>
      <c r="D3211" t="inlineStr">
        <is>
          <t>Wireless Drone</t>
        </is>
      </c>
      <c r="E3211" t="inlineStr">
        <is>
          <t>Toys &amp; Games</t>
        </is>
      </c>
      <c r="F3211" t="inlineStr">
        <is>
          <t>Michael Martin</t>
        </is>
      </c>
      <c r="G3211" t="inlineStr">
        <is>
          <t>Italy</t>
        </is>
      </c>
      <c r="H3211" t="inlineStr">
        <is>
          <t>Marketplace</t>
        </is>
      </c>
      <c r="I3211" t="n">
        <v>2</v>
      </c>
      <c r="J3211" s="3" t="n">
        <v>459.94</v>
      </c>
      <c r="K3211" s="3" t="n">
        <v>0</v>
      </c>
      <c r="L3211" s="3" t="n">
        <v>459.94</v>
      </c>
      <c r="M3211" s="3" t="n">
        <v>262.58</v>
      </c>
      <c r="N3211" s="3" t="n">
        <v>197.36</v>
      </c>
      <c r="O3211">
        <f>TEXT(A3211,"yyyy-mm")</f>
        <v/>
      </c>
    </row>
    <row r="3212">
      <c r="A3212" s="2" t="n">
        <v>46028</v>
      </c>
      <c r="B3212" t="n">
        <v>2026</v>
      </c>
      <c r="C3212" t="inlineStr">
        <is>
          <t>January</t>
        </is>
      </c>
      <c r="D3212" t="inlineStr">
        <is>
          <t>Smart Charger</t>
        </is>
      </c>
      <c r="E3212" t="inlineStr">
        <is>
          <t>Electronics</t>
        </is>
      </c>
      <c r="F3212" t="inlineStr">
        <is>
          <t>Mark Fischer</t>
        </is>
      </c>
      <c r="G3212" t="inlineStr">
        <is>
          <t>Germany</t>
        </is>
      </c>
      <c r="H3212" t="inlineStr">
        <is>
          <t>Marketplace</t>
        </is>
      </c>
      <c r="I3212" t="n">
        <v>4</v>
      </c>
      <c r="J3212" s="3" t="n">
        <v>1038.16</v>
      </c>
      <c r="K3212" s="3" t="n">
        <v>51.91</v>
      </c>
      <c r="L3212" s="3" t="n">
        <v>986.25</v>
      </c>
      <c r="M3212" s="3" t="n">
        <v>570.08</v>
      </c>
      <c r="N3212" s="3" t="n">
        <v>416.17</v>
      </c>
      <c r="O3212">
        <f>TEXT(A3212,"yyyy-mm")</f>
        <v/>
      </c>
    </row>
    <row r="3213">
      <c r="A3213" s="2" t="n">
        <v>46028</v>
      </c>
      <c r="B3213" t="n">
        <v>2026</v>
      </c>
      <c r="C3213" t="inlineStr">
        <is>
          <t>January</t>
        </is>
      </c>
      <c r="D3213" t="inlineStr">
        <is>
          <t>Deluxe Toolset</t>
        </is>
      </c>
      <c r="E3213" t="inlineStr">
        <is>
          <t>Home &amp; Garden</t>
        </is>
      </c>
      <c r="F3213" t="inlineStr">
        <is>
          <t>David Moreau</t>
        </is>
      </c>
      <c r="G3213" t="inlineStr">
        <is>
          <t>Poland</t>
        </is>
      </c>
      <c r="H3213" t="inlineStr">
        <is>
          <t>Retail Store</t>
        </is>
      </c>
      <c r="I3213" t="n">
        <v>5</v>
      </c>
      <c r="J3213" s="3" t="n">
        <v>342.6</v>
      </c>
      <c r="K3213" s="3" t="n">
        <v>68.52</v>
      </c>
      <c r="L3213" s="3" t="n">
        <v>274.08</v>
      </c>
      <c r="M3213" s="3" t="n">
        <v>238.55</v>
      </c>
      <c r="N3213" s="3" t="n">
        <v>35.53</v>
      </c>
      <c r="O3213">
        <f>TEXT(A3213,"yyyy-mm")</f>
        <v/>
      </c>
    </row>
    <row r="3214">
      <c r="A3214" s="2" t="n">
        <v>46028</v>
      </c>
      <c r="B3214" t="n">
        <v>2026</v>
      </c>
      <c r="C3214" t="inlineStr">
        <is>
          <t>January</t>
        </is>
      </c>
      <c r="D3214" t="inlineStr">
        <is>
          <t>Smart Sweater</t>
        </is>
      </c>
      <c r="E3214" t="inlineStr">
        <is>
          <t>Clothing</t>
        </is>
      </c>
      <c r="F3214" t="inlineStr">
        <is>
          <t>Mark Fischer</t>
        </is>
      </c>
      <c r="G3214" t="inlineStr">
        <is>
          <t>Germany</t>
        </is>
      </c>
      <c r="H3214" t="inlineStr">
        <is>
          <t>Marketplace</t>
        </is>
      </c>
      <c r="I3214" t="n">
        <v>3</v>
      </c>
      <c r="J3214" s="3" t="n">
        <v>448.26</v>
      </c>
      <c r="K3214" s="3" t="n">
        <v>0</v>
      </c>
      <c r="L3214" s="3" t="n">
        <v>448.26</v>
      </c>
      <c r="M3214" s="3" t="n">
        <v>232.05</v>
      </c>
      <c r="N3214" s="3" t="n">
        <v>216.21</v>
      </c>
      <c r="O3214">
        <f>TEXT(A3214,"yyyy-mm")</f>
        <v/>
      </c>
    </row>
    <row r="3215">
      <c r="A3215" s="2" t="n">
        <v>46028</v>
      </c>
      <c r="B3215" t="n">
        <v>2026</v>
      </c>
      <c r="C3215" t="inlineStr">
        <is>
          <t>January</t>
        </is>
      </c>
      <c r="D3215" t="inlineStr">
        <is>
          <t>Classic Coffee Beans</t>
        </is>
      </c>
      <c r="E3215" t="inlineStr">
        <is>
          <t>Grocery</t>
        </is>
      </c>
      <c r="F3215" t="inlineStr">
        <is>
          <t>Mark Fischer</t>
        </is>
      </c>
      <c r="G3215" t="inlineStr">
        <is>
          <t>Germany</t>
        </is>
      </c>
      <c r="H3215" t="inlineStr">
        <is>
          <t>Marketplace</t>
        </is>
      </c>
      <c r="I3215" t="n">
        <v>4</v>
      </c>
      <c r="J3215" s="3" t="n">
        <v>1256.36</v>
      </c>
      <c r="K3215" s="3" t="n">
        <v>188.45</v>
      </c>
      <c r="L3215" s="3" t="n">
        <v>1067.91</v>
      </c>
      <c r="M3215" s="3" t="n">
        <v>779.04</v>
      </c>
      <c r="N3215" s="3" t="n">
        <v>288.87</v>
      </c>
      <c r="O3215">
        <f>TEXT(A3215,"yyyy-mm")</f>
        <v/>
      </c>
    </row>
    <row r="3216">
      <c r="A3216" s="2" t="n">
        <v>46028</v>
      </c>
      <c r="B3216" t="n">
        <v>2026</v>
      </c>
      <c r="C3216" t="inlineStr">
        <is>
          <t>January</t>
        </is>
      </c>
      <c r="D3216" t="inlineStr">
        <is>
          <t>Premium Tent</t>
        </is>
      </c>
      <c r="E3216" t="inlineStr">
        <is>
          <t>Sports &amp; Outdoors</t>
        </is>
      </c>
      <c r="F3216" t="inlineStr">
        <is>
          <t>Mark Fischer</t>
        </is>
      </c>
      <c r="G3216" t="inlineStr">
        <is>
          <t>Germany</t>
        </is>
      </c>
      <c r="H3216" t="inlineStr">
        <is>
          <t>Marketplace</t>
        </is>
      </c>
      <c r="I3216" t="n">
        <v>1</v>
      </c>
      <c r="J3216" s="3" t="n">
        <v>249.9</v>
      </c>
      <c r="K3216" s="3" t="n">
        <v>0</v>
      </c>
      <c r="L3216" s="3" t="n">
        <v>249.9</v>
      </c>
      <c r="M3216" s="3" t="n">
        <v>165.31</v>
      </c>
      <c r="N3216" s="3" t="n">
        <v>84.59</v>
      </c>
      <c r="O3216">
        <f>TEXT(A3216,"yyyy-mm")</f>
        <v/>
      </c>
    </row>
    <row r="3217">
      <c r="A3217" s="2" t="n">
        <v>46029</v>
      </c>
      <c r="B3217" t="n">
        <v>2026</v>
      </c>
      <c r="C3217" t="inlineStr">
        <is>
          <t>January</t>
        </is>
      </c>
      <c r="D3217" t="inlineStr">
        <is>
          <t>Smart Sweater</t>
        </is>
      </c>
      <c r="E3217" t="inlineStr">
        <is>
          <t>Clothing</t>
        </is>
      </c>
      <c r="F3217" t="inlineStr">
        <is>
          <t>Sophie Dubois</t>
        </is>
      </c>
      <c r="G3217" t="inlineStr">
        <is>
          <t>United Kingdom</t>
        </is>
      </c>
      <c r="H3217" t="inlineStr">
        <is>
          <t>Web Store</t>
        </is>
      </c>
      <c r="I3217" t="n">
        <v>5</v>
      </c>
      <c r="J3217" s="3" t="n">
        <v>717</v>
      </c>
      <c r="K3217" s="3" t="n">
        <v>143.4</v>
      </c>
      <c r="L3217" s="3" t="n">
        <v>573.6</v>
      </c>
      <c r="M3217" s="3" t="n">
        <v>386.75</v>
      </c>
      <c r="N3217" s="3" t="n">
        <v>186.85</v>
      </c>
      <c r="O3217">
        <f>TEXT(A3217,"yyyy-mm")</f>
        <v/>
      </c>
    </row>
    <row r="3218">
      <c r="A3218" s="2" t="n">
        <v>46029</v>
      </c>
      <c r="B3218" t="n">
        <v>2026</v>
      </c>
      <c r="C3218" t="inlineStr">
        <is>
          <t>January</t>
        </is>
      </c>
      <c r="D3218" t="inlineStr">
        <is>
          <t>Essential Lamp</t>
        </is>
      </c>
      <c r="E3218" t="inlineStr">
        <is>
          <t>Home &amp; Garden</t>
        </is>
      </c>
      <c r="F3218" t="inlineStr">
        <is>
          <t>Sophie Dubois</t>
        </is>
      </c>
      <c r="G3218" t="inlineStr">
        <is>
          <t>United Kingdom</t>
        </is>
      </c>
      <c r="H3218" t="inlineStr">
        <is>
          <t>Web Store</t>
        </is>
      </c>
      <c r="I3218" t="n">
        <v>5</v>
      </c>
      <c r="J3218" s="3" t="n">
        <v>339.5</v>
      </c>
      <c r="K3218" s="3" t="n">
        <v>50.92</v>
      </c>
      <c r="L3218" s="3" t="n">
        <v>288.58</v>
      </c>
      <c r="M3218" s="3" t="n">
        <v>227</v>
      </c>
      <c r="N3218" s="3" t="n">
        <v>61.57</v>
      </c>
      <c r="O3218">
        <f>TEXT(A3218,"yyyy-mm")</f>
        <v/>
      </c>
    </row>
    <row r="3219">
      <c r="A3219" s="2" t="n">
        <v>46029</v>
      </c>
      <c r="B3219" t="n">
        <v>2026</v>
      </c>
      <c r="C3219" t="inlineStr">
        <is>
          <t>January</t>
        </is>
      </c>
      <c r="D3219" t="inlineStr">
        <is>
          <t>Portable Bike Helmet</t>
        </is>
      </c>
      <c r="E3219" t="inlineStr">
        <is>
          <t>Sports &amp; Outdoors</t>
        </is>
      </c>
      <c r="F3219" t="inlineStr">
        <is>
          <t>Thomas Zielinski</t>
        </is>
      </c>
      <c r="G3219" t="inlineStr">
        <is>
          <t>Netherlands</t>
        </is>
      </c>
      <c r="H3219" t="inlineStr">
        <is>
          <t>Web Store</t>
        </is>
      </c>
      <c r="I3219" t="n">
        <v>3</v>
      </c>
      <c r="J3219" s="3" t="n">
        <v>905.76</v>
      </c>
      <c r="K3219" s="3" t="n">
        <v>0</v>
      </c>
      <c r="L3219" s="3" t="n">
        <v>905.76</v>
      </c>
      <c r="M3219" s="3" t="n">
        <v>496.11</v>
      </c>
      <c r="N3219" s="3" t="n">
        <v>409.65</v>
      </c>
      <c r="O3219">
        <f>TEXT(A3219,"yyyy-mm")</f>
        <v/>
      </c>
    </row>
    <row r="3220">
      <c r="A3220" s="2" t="n">
        <v>46029</v>
      </c>
      <c r="B3220" t="n">
        <v>2026</v>
      </c>
      <c r="C3220" t="inlineStr">
        <is>
          <t>January</t>
        </is>
      </c>
      <c r="D3220" t="inlineStr">
        <is>
          <t>Wireless Cookbook</t>
        </is>
      </c>
      <c r="E3220" t="inlineStr">
        <is>
          <t>Books</t>
        </is>
      </c>
      <c r="F3220" t="inlineStr">
        <is>
          <t>Thomas Zielinski</t>
        </is>
      </c>
      <c r="G3220" t="inlineStr">
        <is>
          <t>Netherlands</t>
        </is>
      </c>
      <c r="H3220" t="inlineStr">
        <is>
          <t>Web Store</t>
        </is>
      </c>
      <c r="I3220" t="n">
        <v>1</v>
      </c>
      <c r="J3220" s="3" t="n">
        <v>73.19</v>
      </c>
      <c r="K3220" s="3" t="n">
        <v>0</v>
      </c>
      <c r="L3220" s="3" t="n">
        <v>73.19</v>
      </c>
      <c r="M3220" s="3" t="n">
        <v>56.61</v>
      </c>
      <c r="N3220" s="3" t="n">
        <v>16.58</v>
      </c>
      <c r="O3220">
        <f>TEXT(A3220,"yyyy-mm")</f>
        <v/>
      </c>
    </row>
    <row r="3221">
      <c r="A3221" s="2" t="n">
        <v>46029</v>
      </c>
      <c r="B3221" t="n">
        <v>2026</v>
      </c>
      <c r="C3221" t="inlineStr">
        <is>
          <t>January</t>
        </is>
      </c>
      <c r="D3221" t="inlineStr">
        <is>
          <t>Essential Toolset</t>
        </is>
      </c>
      <c r="E3221" t="inlineStr">
        <is>
          <t>Home &amp; Garden</t>
        </is>
      </c>
      <c r="F3221" t="inlineStr">
        <is>
          <t>Maria Rossi</t>
        </is>
      </c>
      <c r="G3221" t="inlineStr">
        <is>
          <t>Spain</t>
        </is>
      </c>
      <c r="H3221" t="inlineStr">
        <is>
          <t>Web Store</t>
        </is>
      </c>
      <c r="I3221" t="n">
        <v>5</v>
      </c>
      <c r="J3221" s="3" t="n">
        <v>1007.95</v>
      </c>
      <c r="K3221" s="3" t="n">
        <v>0</v>
      </c>
      <c r="L3221" s="3" t="n">
        <v>1007.95</v>
      </c>
      <c r="M3221" s="3" t="n">
        <v>752.65</v>
      </c>
      <c r="N3221" s="3" t="n">
        <v>255.3</v>
      </c>
      <c r="O3221">
        <f>TEXT(A3221,"yyyy-mm")</f>
        <v/>
      </c>
    </row>
    <row r="3222">
      <c r="A3222" s="2" t="n">
        <v>46029</v>
      </c>
      <c r="B3222" t="n">
        <v>2026</v>
      </c>
      <c r="C3222" t="inlineStr">
        <is>
          <t>January</t>
        </is>
      </c>
      <c r="D3222" t="inlineStr">
        <is>
          <t>Portable Puzzle</t>
        </is>
      </c>
      <c r="E3222" t="inlineStr">
        <is>
          <t>Toys &amp; Games</t>
        </is>
      </c>
      <c r="F3222" t="inlineStr">
        <is>
          <t>Thomas Zielinski</t>
        </is>
      </c>
      <c r="G3222" t="inlineStr">
        <is>
          <t>Netherlands</t>
        </is>
      </c>
      <c r="H3222" t="inlineStr">
        <is>
          <t>Web Store</t>
        </is>
      </c>
      <c r="I3222" t="n">
        <v>3</v>
      </c>
      <c r="J3222" s="3" t="n">
        <v>942.8099999999999</v>
      </c>
      <c r="K3222" s="3" t="n">
        <v>0</v>
      </c>
      <c r="L3222" s="3" t="n">
        <v>942.8099999999999</v>
      </c>
      <c r="M3222" s="3" t="n">
        <v>520.98</v>
      </c>
      <c r="N3222" s="3" t="n">
        <v>421.83</v>
      </c>
      <c r="O3222">
        <f>TEXT(A3222,"yyyy-mm")</f>
        <v/>
      </c>
    </row>
    <row r="3223">
      <c r="A3223" s="2" t="n">
        <v>46029</v>
      </c>
      <c r="B3223" t="n">
        <v>2026</v>
      </c>
      <c r="C3223" t="inlineStr">
        <is>
          <t>January</t>
        </is>
      </c>
      <c r="D3223" t="inlineStr">
        <is>
          <t>Classic Coffee Beans</t>
        </is>
      </c>
      <c r="E3223" t="inlineStr">
        <is>
          <t>Grocery</t>
        </is>
      </c>
      <c r="F3223" t="inlineStr">
        <is>
          <t>Thomas Zielinski</t>
        </is>
      </c>
      <c r="G3223" t="inlineStr">
        <is>
          <t>Netherlands</t>
        </is>
      </c>
      <c r="H3223" t="inlineStr">
        <is>
          <t>Web Store</t>
        </is>
      </c>
      <c r="I3223" t="n">
        <v>2</v>
      </c>
      <c r="J3223" s="3" t="n">
        <v>641.84</v>
      </c>
      <c r="K3223" s="3" t="n">
        <v>0</v>
      </c>
      <c r="L3223" s="3" t="n">
        <v>641.84</v>
      </c>
      <c r="M3223" s="3" t="n">
        <v>389.52</v>
      </c>
      <c r="N3223" s="3" t="n">
        <v>252.32</v>
      </c>
      <c r="O3223">
        <f>TEXT(A3223,"yyyy-mm")</f>
        <v/>
      </c>
    </row>
    <row r="3224">
      <c r="A3224" s="2" t="n">
        <v>46029</v>
      </c>
      <c r="B3224" t="n">
        <v>2026</v>
      </c>
      <c r="C3224" t="inlineStr">
        <is>
          <t>January</t>
        </is>
      </c>
      <c r="D3224" t="inlineStr">
        <is>
          <t>Ultra Backpack</t>
        </is>
      </c>
      <c r="E3224" t="inlineStr">
        <is>
          <t>Sports &amp; Outdoors</t>
        </is>
      </c>
      <c r="F3224" t="inlineStr">
        <is>
          <t>Maria Rossi</t>
        </is>
      </c>
      <c r="G3224" t="inlineStr">
        <is>
          <t>Spain</t>
        </is>
      </c>
      <c r="H3224" t="inlineStr">
        <is>
          <t>Web Store</t>
        </is>
      </c>
      <c r="I3224" t="n">
        <v>4</v>
      </c>
      <c r="J3224" s="3" t="n">
        <v>1184.44</v>
      </c>
      <c r="K3224" s="3" t="n">
        <v>59.22</v>
      </c>
      <c r="L3224" s="3" t="n">
        <v>1125.22</v>
      </c>
      <c r="M3224" s="3" t="n">
        <v>694.76</v>
      </c>
      <c r="N3224" s="3" t="n">
        <v>430.46</v>
      </c>
      <c r="O3224">
        <f>TEXT(A3224,"yyyy-mm")</f>
        <v/>
      </c>
    </row>
    <row r="3225">
      <c r="A3225" s="2" t="n">
        <v>46030</v>
      </c>
      <c r="B3225" t="n">
        <v>2026</v>
      </c>
      <c r="C3225" t="inlineStr">
        <is>
          <t>January</t>
        </is>
      </c>
      <c r="D3225" t="inlineStr">
        <is>
          <t>Wireless Coffee Beans</t>
        </is>
      </c>
      <c r="E3225" t="inlineStr">
        <is>
          <t>Grocery</t>
        </is>
      </c>
      <c r="F3225" t="inlineStr">
        <is>
          <t>Nina Bianchi</t>
        </is>
      </c>
      <c r="G3225" t="inlineStr">
        <is>
          <t>Italy</t>
        </is>
      </c>
      <c r="H3225" t="inlineStr">
        <is>
          <t>Web Store</t>
        </is>
      </c>
      <c r="I3225" t="n">
        <v>1</v>
      </c>
      <c r="J3225" s="3" t="n">
        <v>224.36</v>
      </c>
      <c r="K3225" s="3" t="n">
        <v>44.87</v>
      </c>
      <c r="L3225" s="3" t="n">
        <v>179.49</v>
      </c>
      <c r="M3225" s="3" t="n">
        <v>130.13</v>
      </c>
      <c r="N3225" s="3" t="n">
        <v>49.36</v>
      </c>
      <c r="O3225">
        <f>TEXT(A3225,"yyyy-mm")</f>
        <v/>
      </c>
    </row>
    <row r="3226">
      <c r="A3226" s="2" t="n">
        <v>46030</v>
      </c>
      <c r="B3226" t="n">
        <v>2026</v>
      </c>
      <c r="C3226" t="inlineStr">
        <is>
          <t>January</t>
        </is>
      </c>
      <c r="D3226" t="inlineStr">
        <is>
          <t>Portable Pasta</t>
        </is>
      </c>
      <c r="E3226" t="inlineStr">
        <is>
          <t>Grocery</t>
        </is>
      </c>
      <c r="F3226" t="inlineStr">
        <is>
          <t>Nina Bianchi</t>
        </is>
      </c>
      <c r="G3226" t="inlineStr">
        <is>
          <t>Italy</t>
        </is>
      </c>
      <c r="H3226" t="inlineStr">
        <is>
          <t>Web Store</t>
        </is>
      </c>
      <c r="I3226" t="n">
        <v>4</v>
      </c>
      <c r="J3226" s="3" t="n">
        <v>147.64</v>
      </c>
      <c r="K3226" s="3" t="n">
        <v>0</v>
      </c>
      <c r="L3226" s="3" t="n">
        <v>147.64</v>
      </c>
      <c r="M3226" s="3" t="n">
        <v>111</v>
      </c>
      <c r="N3226" s="3" t="n">
        <v>36.64</v>
      </c>
      <c r="O3226">
        <f>TEXT(A3226,"yyyy-mm")</f>
        <v/>
      </c>
    </row>
    <row r="3227">
      <c r="A3227" s="2" t="n">
        <v>46030</v>
      </c>
      <c r="B3227" t="n">
        <v>2026</v>
      </c>
      <c r="C3227" t="inlineStr">
        <is>
          <t>January</t>
        </is>
      </c>
      <c r="D3227" t="inlineStr">
        <is>
          <t>Compact Biography</t>
        </is>
      </c>
      <c r="E3227" t="inlineStr">
        <is>
          <t>Books</t>
        </is>
      </c>
      <c r="F3227" t="inlineStr">
        <is>
          <t>Maria Dubois</t>
        </is>
      </c>
      <c r="G3227" t="inlineStr">
        <is>
          <t>Spain</t>
        </is>
      </c>
      <c r="H3227" t="inlineStr">
        <is>
          <t>Retail Store</t>
        </is>
      </c>
      <c r="I3227" t="n">
        <v>4</v>
      </c>
      <c r="J3227" s="3" t="n">
        <v>996.16</v>
      </c>
      <c r="K3227" s="3" t="n">
        <v>49.81</v>
      </c>
      <c r="L3227" s="3" t="n">
        <v>946.35</v>
      </c>
      <c r="M3227" s="3" t="n">
        <v>561.3200000000001</v>
      </c>
      <c r="N3227" s="3" t="n">
        <v>385.03</v>
      </c>
      <c r="O3227">
        <f>TEXT(A3227,"yyyy-mm")</f>
        <v/>
      </c>
    </row>
    <row r="3228">
      <c r="A3228" s="2" t="n">
        <v>46030</v>
      </c>
      <c r="B3228" t="n">
        <v>2026</v>
      </c>
      <c r="C3228" t="inlineStr">
        <is>
          <t>January</t>
        </is>
      </c>
      <c r="D3228" t="inlineStr">
        <is>
          <t>Deluxe Puzzle</t>
        </is>
      </c>
      <c r="E3228" t="inlineStr">
        <is>
          <t>Toys &amp; Games</t>
        </is>
      </c>
      <c r="F3228" t="inlineStr">
        <is>
          <t>Maria Dubois</t>
        </is>
      </c>
      <c r="G3228" t="inlineStr">
        <is>
          <t>Spain</t>
        </is>
      </c>
      <c r="H3228" t="inlineStr">
        <is>
          <t>Retail Store</t>
        </is>
      </c>
      <c r="I3228" t="n">
        <v>2</v>
      </c>
      <c r="J3228" s="3" t="n">
        <v>436.7</v>
      </c>
      <c r="K3228" s="3" t="n">
        <v>0</v>
      </c>
      <c r="L3228" s="3" t="n">
        <v>436.7</v>
      </c>
      <c r="M3228" s="3" t="n">
        <v>222.34</v>
      </c>
      <c r="N3228" s="3" t="n">
        <v>214.36</v>
      </c>
      <c r="O3228">
        <f>TEXT(A3228,"yyyy-mm")</f>
        <v/>
      </c>
    </row>
    <row r="3229">
      <c r="A3229" s="2" t="n">
        <v>46030</v>
      </c>
      <c r="B3229" t="n">
        <v>2026</v>
      </c>
      <c r="C3229" t="inlineStr">
        <is>
          <t>January</t>
        </is>
      </c>
      <c r="D3229" t="inlineStr">
        <is>
          <t>Portable Tea Set</t>
        </is>
      </c>
      <c r="E3229" t="inlineStr">
        <is>
          <t>Grocery</t>
        </is>
      </c>
      <c r="F3229" t="inlineStr">
        <is>
          <t>Maria Dubois</t>
        </is>
      </c>
      <c r="G3229" t="inlineStr">
        <is>
          <t>Spain</t>
        </is>
      </c>
      <c r="H3229" t="inlineStr">
        <is>
          <t>Retail Store</t>
        </is>
      </c>
      <c r="I3229" t="n">
        <v>3</v>
      </c>
      <c r="J3229" s="3" t="n">
        <v>836.52</v>
      </c>
      <c r="K3229" s="3" t="n">
        <v>83.65000000000001</v>
      </c>
      <c r="L3229" s="3" t="n">
        <v>752.87</v>
      </c>
      <c r="M3229" s="3" t="n">
        <v>564.36</v>
      </c>
      <c r="N3229" s="3" t="n">
        <v>188.51</v>
      </c>
      <c r="O3229">
        <f>TEXT(A3229,"yyyy-mm")</f>
        <v/>
      </c>
    </row>
    <row r="3230">
      <c r="A3230" s="2" t="n">
        <v>46030</v>
      </c>
      <c r="B3230" t="n">
        <v>2026</v>
      </c>
      <c r="C3230" t="inlineStr">
        <is>
          <t>January</t>
        </is>
      </c>
      <c r="D3230" t="inlineStr">
        <is>
          <t>Premium Tent</t>
        </is>
      </c>
      <c r="E3230" t="inlineStr">
        <is>
          <t>Sports &amp; Outdoors</t>
        </is>
      </c>
      <c r="F3230" t="inlineStr">
        <is>
          <t>Maria Dubois</t>
        </is>
      </c>
      <c r="G3230" t="inlineStr">
        <is>
          <t>Spain</t>
        </is>
      </c>
      <c r="H3230" t="inlineStr">
        <is>
          <t>Retail Store</t>
        </is>
      </c>
      <c r="I3230" t="n">
        <v>4</v>
      </c>
      <c r="J3230" s="3" t="n">
        <v>557.8</v>
      </c>
      <c r="K3230" s="3" t="n">
        <v>0</v>
      </c>
      <c r="L3230" s="3" t="n">
        <v>557.8</v>
      </c>
      <c r="M3230" s="3" t="n">
        <v>385.6</v>
      </c>
      <c r="N3230" s="3" t="n">
        <v>172.2</v>
      </c>
      <c r="O3230">
        <f>TEXT(A3230,"yyyy-mm")</f>
        <v/>
      </c>
    </row>
    <row r="3231">
      <c r="A3231" s="2" t="n">
        <v>46030</v>
      </c>
      <c r="B3231" t="n">
        <v>2026</v>
      </c>
      <c r="C3231" t="inlineStr">
        <is>
          <t>January</t>
        </is>
      </c>
      <c r="D3231" t="inlineStr">
        <is>
          <t>Premium Water Bottle</t>
        </is>
      </c>
      <c r="E3231" t="inlineStr">
        <is>
          <t>Sports &amp; Outdoors</t>
        </is>
      </c>
      <c r="F3231" t="inlineStr">
        <is>
          <t>Nina Weber</t>
        </is>
      </c>
      <c r="G3231" t="inlineStr">
        <is>
          <t>Italy</t>
        </is>
      </c>
      <c r="H3231" t="inlineStr">
        <is>
          <t>Marketplace</t>
        </is>
      </c>
      <c r="I3231" t="n">
        <v>3</v>
      </c>
      <c r="J3231" s="3" t="n">
        <v>87.39</v>
      </c>
      <c r="K3231" s="3" t="n">
        <v>0</v>
      </c>
      <c r="L3231" s="3" t="n">
        <v>87.39</v>
      </c>
      <c r="M3231" s="3" t="n">
        <v>49.89</v>
      </c>
      <c r="N3231" s="3" t="n">
        <v>37.5</v>
      </c>
      <c r="O3231">
        <f>TEXT(A3231,"yyyy-mm")</f>
        <v/>
      </c>
    </row>
    <row r="3232">
      <c r="A3232" s="2" t="n">
        <v>46030</v>
      </c>
      <c r="B3232" t="n">
        <v>2026</v>
      </c>
      <c r="C3232" t="inlineStr">
        <is>
          <t>January</t>
        </is>
      </c>
      <c r="D3232" t="inlineStr">
        <is>
          <t>Smart Camera</t>
        </is>
      </c>
      <c r="E3232" t="inlineStr">
        <is>
          <t>Electronics</t>
        </is>
      </c>
      <c r="F3232" t="inlineStr">
        <is>
          <t>Nina Weber</t>
        </is>
      </c>
      <c r="G3232" t="inlineStr">
        <is>
          <t>Italy</t>
        </is>
      </c>
      <c r="H3232" t="inlineStr">
        <is>
          <t>Marketplace</t>
        </is>
      </c>
      <c r="I3232" t="n">
        <v>2</v>
      </c>
      <c r="J3232" s="3" t="n">
        <v>604.5</v>
      </c>
      <c r="K3232" s="3" t="n">
        <v>0</v>
      </c>
      <c r="L3232" s="3" t="n">
        <v>604.5</v>
      </c>
      <c r="M3232" s="3" t="n">
        <v>334.8</v>
      </c>
      <c r="N3232" s="3" t="n">
        <v>269.7</v>
      </c>
      <c r="O3232">
        <f>TEXT(A3232,"yyyy-mm")</f>
        <v/>
      </c>
    </row>
    <row r="3233">
      <c r="A3233" s="2" t="n">
        <v>46030</v>
      </c>
      <c r="B3233" t="n">
        <v>2026</v>
      </c>
      <c r="C3233" t="inlineStr">
        <is>
          <t>January</t>
        </is>
      </c>
      <c r="D3233" t="inlineStr">
        <is>
          <t>Premium Water Bottle</t>
        </is>
      </c>
      <c r="E3233" t="inlineStr">
        <is>
          <t>Sports &amp; Outdoors</t>
        </is>
      </c>
      <c r="F3233" t="inlineStr">
        <is>
          <t>Michael Conti</t>
        </is>
      </c>
      <c r="G3233" t="inlineStr">
        <is>
          <t>Netherlands</t>
        </is>
      </c>
      <c r="H3233" t="inlineStr">
        <is>
          <t>Marketplace</t>
        </is>
      </c>
      <c r="I3233" t="n">
        <v>5</v>
      </c>
      <c r="J3233" s="3" t="n">
        <v>149.9</v>
      </c>
      <c r="K3233" s="3" t="n">
        <v>7.5</v>
      </c>
      <c r="L3233" s="3" t="n">
        <v>142.4</v>
      </c>
      <c r="M3233" s="3" t="n">
        <v>83.15000000000001</v>
      </c>
      <c r="N3233" s="3" t="n">
        <v>59.26</v>
      </c>
      <c r="O3233">
        <f>TEXT(A3233,"yyyy-mm")</f>
        <v/>
      </c>
    </row>
    <row r="3234">
      <c r="A3234" s="2" t="n">
        <v>46030</v>
      </c>
      <c r="B3234" t="n">
        <v>2026</v>
      </c>
      <c r="C3234" t="inlineStr">
        <is>
          <t>January</t>
        </is>
      </c>
      <c r="D3234" t="inlineStr">
        <is>
          <t>Compact Biography</t>
        </is>
      </c>
      <c r="E3234" t="inlineStr">
        <is>
          <t>Books</t>
        </is>
      </c>
      <c r="F3234" t="inlineStr">
        <is>
          <t>Michael Conti</t>
        </is>
      </c>
      <c r="G3234" t="inlineStr">
        <is>
          <t>Netherlands</t>
        </is>
      </c>
      <c r="H3234" t="inlineStr">
        <is>
          <t>Marketplace</t>
        </is>
      </c>
      <c r="I3234" t="n">
        <v>4</v>
      </c>
      <c r="J3234" s="3" t="n">
        <v>1027.4</v>
      </c>
      <c r="K3234" s="3" t="n">
        <v>51.37</v>
      </c>
      <c r="L3234" s="3" t="n">
        <v>976.03</v>
      </c>
      <c r="M3234" s="3" t="n">
        <v>561.3200000000001</v>
      </c>
      <c r="N3234" s="3" t="n">
        <v>414.71</v>
      </c>
      <c r="O3234">
        <f>TEXT(A3234,"yyyy-mm")</f>
        <v/>
      </c>
    </row>
    <row r="3235">
      <c r="A3235" s="2" t="n">
        <v>46030</v>
      </c>
      <c r="B3235" t="n">
        <v>2026</v>
      </c>
      <c r="C3235" t="inlineStr">
        <is>
          <t>January</t>
        </is>
      </c>
      <c r="D3235" t="inlineStr">
        <is>
          <t>Wireless Honey</t>
        </is>
      </c>
      <c r="E3235" t="inlineStr">
        <is>
          <t>Grocery</t>
        </is>
      </c>
      <c r="F3235" t="inlineStr">
        <is>
          <t>Clara Conti</t>
        </is>
      </c>
      <c r="G3235" t="inlineStr">
        <is>
          <t>France</t>
        </is>
      </c>
      <c r="H3235" t="inlineStr">
        <is>
          <t>Mobile App</t>
        </is>
      </c>
      <c r="I3235" t="n">
        <v>4</v>
      </c>
      <c r="J3235" s="3" t="n">
        <v>540.3200000000001</v>
      </c>
      <c r="K3235" s="3" t="n">
        <v>0</v>
      </c>
      <c r="L3235" s="3" t="n">
        <v>540.3200000000001</v>
      </c>
      <c r="M3235" s="3" t="n">
        <v>376.28</v>
      </c>
      <c r="N3235" s="3" t="n">
        <v>164.04</v>
      </c>
      <c r="O3235">
        <f>TEXT(A3235,"yyyy-mm")</f>
        <v/>
      </c>
    </row>
    <row r="3236">
      <c r="A3236" s="2" t="n">
        <v>46030</v>
      </c>
      <c r="B3236" t="n">
        <v>2026</v>
      </c>
      <c r="C3236" t="inlineStr">
        <is>
          <t>January</t>
        </is>
      </c>
      <c r="D3236" t="inlineStr">
        <is>
          <t>Eco Drone</t>
        </is>
      </c>
      <c r="E3236" t="inlineStr">
        <is>
          <t>Toys &amp; Games</t>
        </is>
      </c>
      <c r="F3236" t="inlineStr">
        <is>
          <t>Clara Conti</t>
        </is>
      </c>
      <c r="G3236" t="inlineStr">
        <is>
          <t>France</t>
        </is>
      </c>
      <c r="H3236" t="inlineStr">
        <is>
          <t>Mobile App</t>
        </is>
      </c>
      <c r="I3236" t="n">
        <v>4</v>
      </c>
      <c r="J3236" s="3" t="n">
        <v>791.2</v>
      </c>
      <c r="K3236" s="3" t="n">
        <v>118.68</v>
      </c>
      <c r="L3236" s="3" t="n">
        <v>672.52</v>
      </c>
      <c r="M3236" s="3" t="n">
        <v>518.36</v>
      </c>
      <c r="N3236" s="3" t="n">
        <v>154.16</v>
      </c>
      <c r="O3236">
        <f>TEXT(A3236,"yyyy-mm")</f>
        <v/>
      </c>
    </row>
    <row r="3237">
      <c r="A3237" s="2" t="n">
        <v>46030</v>
      </c>
      <c r="B3237" t="n">
        <v>2026</v>
      </c>
      <c r="C3237" t="inlineStr">
        <is>
          <t>January</t>
        </is>
      </c>
      <c r="D3237" t="inlineStr">
        <is>
          <t>Classic Bike Helmet</t>
        </is>
      </c>
      <c r="E3237" t="inlineStr">
        <is>
          <t>Sports &amp; Outdoors</t>
        </is>
      </c>
      <c r="F3237" t="inlineStr">
        <is>
          <t>Clara Conti</t>
        </is>
      </c>
      <c r="G3237" t="inlineStr">
        <is>
          <t>France</t>
        </is>
      </c>
      <c r="H3237" t="inlineStr">
        <is>
          <t>Mobile App</t>
        </is>
      </c>
      <c r="I3237" t="n">
        <v>5</v>
      </c>
      <c r="J3237" s="3" t="n">
        <v>1094.6</v>
      </c>
      <c r="K3237" s="3" t="n">
        <v>54.73</v>
      </c>
      <c r="L3237" s="3" t="n">
        <v>1039.87</v>
      </c>
      <c r="M3237" s="3" t="n">
        <v>769.05</v>
      </c>
      <c r="N3237" s="3" t="n">
        <v>270.82</v>
      </c>
      <c r="O3237">
        <f>TEXT(A3237,"yyyy-mm")</f>
        <v/>
      </c>
    </row>
    <row r="3238">
      <c r="A3238" s="2" t="n">
        <v>46031</v>
      </c>
      <c r="B3238" t="n">
        <v>2026</v>
      </c>
      <c r="C3238" t="inlineStr">
        <is>
          <t>January</t>
        </is>
      </c>
      <c r="D3238" t="inlineStr">
        <is>
          <t>Portable Puzzle</t>
        </is>
      </c>
      <c r="E3238" t="inlineStr">
        <is>
          <t>Toys &amp; Games</t>
        </is>
      </c>
      <c r="F3238" t="inlineStr">
        <is>
          <t>Sophie Brown</t>
        </is>
      </c>
      <c r="G3238" t="inlineStr">
        <is>
          <t>Poland</t>
        </is>
      </c>
      <c r="H3238" t="inlineStr">
        <is>
          <t>Marketplace</t>
        </is>
      </c>
      <c r="I3238" t="n">
        <v>5</v>
      </c>
      <c r="J3238" s="3" t="n">
        <v>1534.7</v>
      </c>
      <c r="K3238" s="3" t="n">
        <v>0</v>
      </c>
      <c r="L3238" s="3" t="n">
        <v>1534.7</v>
      </c>
      <c r="M3238" s="3" t="n">
        <v>868.3</v>
      </c>
      <c r="N3238" s="3" t="n">
        <v>666.4</v>
      </c>
      <c r="O3238">
        <f>TEXT(A3238,"yyyy-mm")</f>
        <v/>
      </c>
    </row>
    <row r="3239">
      <c r="A3239" s="2" t="n">
        <v>46031</v>
      </c>
      <c r="B3239" t="n">
        <v>2026</v>
      </c>
      <c r="C3239" t="inlineStr">
        <is>
          <t>January</t>
        </is>
      </c>
      <c r="D3239" t="inlineStr">
        <is>
          <t>Wireless Drone</t>
        </is>
      </c>
      <c r="E3239" t="inlineStr">
        <is>
          <t>Toys &amp; Games</t>
        </is>
      </c>
      <c r="F3239" t="inlineStr">
        <is>
          <t>Sophie Brown</t>
        </is>
      </c>
      <c r="G3239" t="inlineStr">
        <is>
          <t>Poland</t>
        </is>
      </c>
      <c r="H3239" t="inlineStr">
        <is>
          <t>Marketplace</t>
        </is>
      </c>
      <c r="I3239" t="n">
        <v>3</v>
      </c>
      <c r="J3239" s="3" t="n">
        <v>654.48</v>
      </c>
      <c r="K3239" s="3" t="n">
        <v>0</v>
      </c>
      <c r="L3239" s="3" t="n">
        <v>654.48</v>
      </c>
      <c r="M3239" s="3" t="n">
        <v>393.87</v>
      </c>
      <c r="N3239" s="3" t="n">
        <v>260.61</v>
      </c>
      <c r="O3239">
        <f>TEXT(A3239,"yyyy-mm")</f>
        <v/>
      </c>
    </row>
    <row r="3240">
      <c r="A3240" s="2" t="n">
        <v>46031</v>
      </c>
      <c r="B3240" t="n">
        <v>2026</v>
      </c>
      <c r="C3240" t="inlineStr">
        <is>
          <t>January</t>
        </is>
      </c>
      <c r="D3240" t="inlineStr">
        <is>
          <t>Deluxe Scarf</t>
        </is>
      </c>
      <c r="E3240" t="inlineStr">
        <is>
          <t>Clothing</t>
        </is>
      </c>
      <c r="F3240" t="inlineStr">
        <is>
          <t>Maria Nowak</t>
        </is>
      </c>
      <c r="G3240" t="inlineStr">
        <is>
          <t>Poland</t>
        </is>
      </c>
      <c r="H3240" t="inlineStr">
        <is>
          <t>Marketplace</t>
        </is>
      </c>
      <c r="I3240" t="n">
        <v>1</v>
      </c>
      <c r="J3240" s="3" t="n">
        <v>200.53</v>
      </c>
      <c r="K3240" s="3" t="n">
        <v>0</v>
      </c>
      <c r="L3240" s="3" t="n">
        <v>200.53</v>
      </c>
      <c r="M3240" s="3" t="n">
        <v>108.52</v>
      </c>
      <c r="N3240" s="3" t="n">
        <v>92.01000000000001</v>
      </c>
      <c r="O3240">
        <f>TEXT(A3240,"yyyy-mm")</f>
        <v/>
      </c>
    </row>
    <row r="3241">
      <c r="A3241" s="2" t="n">
        <v>46031</v>
      </c>
      <c r="B3241" t="n">
        <v>2026</v>
      </c>
      <c r="C3241" t="inlineStr">
        <is>
          <t>January</t>
        </is>
      </c>
      <c r="D3241" t="inlineStr">
        <is>
          <t>Smart Tea Set</t>
        </is>
      </c>
      <c r="E3241" t="inlineStr">
        <is>
          <t>Grocery</t>
        </is>
      </c>
      <c r="F3241" t="inlineStr">
        <is>
          <t>Maria Nowak</t>
        </is>
      </c>
      <c r="G3241" t="inlineStr">
        <is>
          <t>Poland</t>
        </is>
      </c>
      <c r="H3241" t="inlineStr">
        <is>
          <t>Marketplace</t>
        </is>
      </c>
      <c r="I3241" t="n">
        <v>3</v>
      </c>
      <c r="J3241" s="3" t="n">
        <v>267.99</v>
      </c>
      <c r="K3241" s="3" t="n">
        <v>53.6</v>
      </c>
      <c r="L3241" s="3" t="n">
        <v>214.39</v>
      </c>
      <c r="M3241" s="3" t="n">
        <v>185.4</v>
      </c>
      <c r="N3241" s="3" t="n">
        <v>28.99</v>
      </c>
      <c r="O3241">
        <f>TEXT(A3241,"yyyy-mm")</f>
        <v/>
      </c>
    </row>
    <row r="3242">
      <c r="A3242" s="2" t="n">
        <v>46031</v>
      </c>
      <c r="B3242" t="n">
        <v>2026</v>
      </c>
      <c r="C3242" t="inlineStr">
        <is>
          <t>January</t>
        </is>
      </c>
      <c r="D3242" t="inlineStr">
        <is>
          <t>Wireless Coffee Beans</t>
        </is>
      </c>
      <c r="E3242" t="inlineStr">
        <is>
          <t>Grocery</t>
        </is>
      </c>
      <c r="F3242" t="inlineStr">
        <is>
          <t>Maria Nowak</t>
        </is>
      </c>
      <c r="G3242" t="inlineStr">
        <is>
          <t>Poland</t>
        </is>
      </c>
      <c r="H3242" t="inlineStr">
        <is>
          <t>Marketplace</t>
        </is>
      </c>
      <c r="I3242" t="n">
        <v>5</v>
      </c>
      <c r="J3242" s="3" t="n">
        <v>595.05</v>
      </c>
      <c r="K3242" s="3" t="n">
        <v>0</v>
      </c>
      <c r="L3242" s="3" t="n">
        <v>595.05</v>
      </c>
      <c r="M3242" s="3" t="n">
        <v>396.85</v>
      </c>
      <c r="N3242" s="3" t="n">
        <v>198.2</v>
      </c>
      <c r="O3242">
        <f>TEXT(A3242,"yyyy-mm")</f>
        <v/>
      </c>
    </row>
    <row r="3243">
      <c r="A3243" s="2" t="n">
        <v>46031</v>
      </c>
      <c r="B3243" t="n">
        <v>2026</v>
      </c>
      <c r="C3243" t="inlineStr">
        <is>
          <t>January</t>
        </is>
      </c>
      <c r="D3243" t="inlineStr">
        <is>
          <t>Smart Drone</t>
        </is>
      </c>
      <c r="E3243" t="inlineStr">
        <is>
          <t>Toys &amp; Games</t>
        </is>
      </c>
      <c r="F3243" t="inlineStr">
        <is>
          <t>Maria Nowak</t>
        </is>
      </c>
      <c r="G3243" t="inlineStr">
        <is>
          <t>Poland</t>
        </is>
      </c>
      <c r="H3243" t="inlineStr">
        <is>
          <t>Marketplace</t>
        </is>
      </c>
      <c r="I3243" t="n">
        <v>3</v>
      </c>
      <c r="J3243" s="3" t="n">
        <v>642.21</v>
      </c>
      <c r="K3243" s="3" t="n">
        <v>32.11</v>
      </c>
      <c r="L3243" s="3" t="n">
        <v>610.1</v>
      </c>
      <c r="M3243" s="3" t="n">
        <v>380.85</v>
      </c>
      <c r="N3243" s="3" t="n">
        <v>229.25</v>
      </c>
      <c r="O3243">
        <f>TEXT(A3243,"yyyy-mm")</f>
        <v/>
      </c>
    </row>
    <row r="3244">
      <c r="A3244" s="2" t="n">
        <v>46031</v>
      </c>
      <c r="B3244" t="n">
        <v>2026</v>
      </c>
      <c r="C3244" t="inlineStr">
        <is>
          <t>January</t>
        </is>
      </c>
      <c r="D3244" t="inlineStr">
        <is>
          <t>Smart Charger</t>
        </is>
      </c>
      <c r="E3244" t="inlineStr">
        <is>
          <t>Electronics</t>
        </is>
      </c>
      <c r="F3244" t="inlineStr">
        <is>
          <t>Peter Martin</t>
        </is>
      </c>
      <c r="G3244" t="inlineStr">
        <is>
          <t>Germany</t>
        </is>
      </c>
      <c r="H3244" t="inlineStr">
        <is>
          <t>Marketplace</t>
        </is>
      </c>
      <c r="I3244" t="n">
        <v>1</v>
      </c>
      <c r="J3244" s="3" t="n">
        <v>243.47</v>
      </c>
      <c r="K3244" s="3" t="n">
        <v>0</v>
      </c>
      <c r="L3244" s="3" t="n">
        <v>243.47</v>
      </c>
      <c r="M3244" s="3" t="n">
        <v>142.52</v>
      </c>
      <c r="N3244" s="3" t="n">
        <v>100.95</v>
      </c>
      <c r="O3244">
        <f>TEXT(A3244,"yyyy-mm")</f>
        <v/>
      </c>
    </row>
    <row r="3245">
      <c r="A3245" s="2" t="n">
        <v>46031</v>
      </c>
      <c r="B3245" t="n">
        <v>2026</v>
      </c>
      <c r="C3245" t="inlineStr">
        <is>
          <t>January</t>
        </is>
      </c>
      <c r="D3245" t="inlineStr">
        <is>
          <t>Eco Planter</t>
        </is>
      </c>
      <c r="E3245" t="inlineStr">
        <is>
          <t>Home &amp; Garden</t>
        </is>
      </c>
      <c r="F3245" t="inlineStr">
        <is>
          <t>Peter Martin</t>
        </is>
      </c>
      <c r="G3245" t="inlineStr">
        <is>
          <t>Germany</t>
        </is>
      </c>
      <c r="H3245" t="inlineStr">
        <is>
          <t>Marketplace</t>
        </is>
      </c>
      <c r="I3245" t="n">
        <v>1</v>
      </c>
      <c r="J3245" s="3" t="n">
        <v>180.83</v>
      </c>
      <c r="K3245" s="3" t="n">
        <v>0</v>
      </c>
      <c r="L3245" s="3" t="n">
        <v>180.83</v>
      </c>
      <c r="M3245" s="3" t="n">
        <v>112.41</v>
      </c>
      <c r="N3245" s="3" t="n">
        <v>68.42</v>
      </c>
      <c r="O3245">
        <f>TEXT(A3245,"yyyy-mm")</f>
        <v/>
      </c>
    </row>
    <row r="3246">
      <c r="A3246" s="2" t="n">
        <v>46031</v>
      </c>
      <c r="B3246" t="n">
        <v>2026</v>
      </c>
      <c r="C3246" t="inlineStr">
        <is>
          <t>January</t>
        </is>
      </c>
      <c r="D3246" t="inlineStr">
        <is>
          <t>Classic Atlas</t>
        </is>
      </c>
      <c r="E3246" t="inlineStr">
        <is>
          <t>Books</t>
        </is>
      </c>
      <c r="F3246" t="inlineStr">
        <is>
          <t>Peter Martin</t>
        </is>
      </c>
      <c r="G3246" t="inlineStr">
        <is>
          <t>Germany</t>
        </is>
      </c>
      <c r="H3246" t="inlineStr">
        <is>
          <t>Marketplace</t>
        </is>
      </c>
      <c r="I3246" t="n">
        <v>1</v>
      </c>
      <c r="J3246" s="3" t="n">
        <v>62.47</v>
      </c>
      <c r="K3246" s="3" t="n">
        <v>0</v>
      </c>
      <c r="L3246" s="3" t="n">
        <v>62.47</v>
      </c>
      <c r="M3246" s="3" t="n">
        <v>34.59</v>
      </c>
      <c r="N3246" s="3" t="n">
        <v>27.88</v>
      </c>
      <c r="O3246">
        <f>TEXT(A3246,"yyyy-mm")</f>
        <v/>
      </c>
    </row>
    <row r="3247">
      <c r="A3247" s="2" t="n">
        <v>46031</v>
      </c>
      <c r="B3247" t="n">
        <v>2026</v>
      </c>
      <c r="C3247" t="inlineStr">
        <is>
          <t>January</t>
        </is>
      </c>
      <c r="D3247" t="inlineStr">
        <is>
          <t>Wireless Drone</t>
        </is>
      </c>
      <c r="E3247" t="inlineStr">
        <is>
          <t>Toys &amp; Games</t>
        </is>
      </c>
      <c r="F3247" t="inlineStr">
        <is>
          <t>Maria Moreau</t>
        </is>
      </c>
      <c r="G3247" t="inlineStr">
        <is>
          <t>United Kingdom</t>
        </is>
      </c>
      <c r="H3247" t="inlineStr">
        <is>
          <t>Mobile App</t>
        </is>
      </c>
      <c r="I3247" t="n">
        <v>3</v>
      </c>
      <c r="J3247" s="3" t="n">
        <v>685.98</v>
      </c>
      <c r="K3247" s="3" t="n">
        <v>102.9</v>
      </c>
      <c r="L3247" s="3" t="n">
        <v>583.08</v>
      </c>
      <c r="M3247" s="3" t="n">
        <v>393.87</v>
      </c>
      <c r="N3247" s="3" t="n">
        <v>189.21</v>
      </c>
      <c r="O3247">
        <f>TEXT(A3247,"yyyy-mm")</f>
        <v/>
      </c>
    </row>
    <row r="3248">
      <c r="A3248" s="2" t="n">
        <v>46031</v>
      </c>
      <c r="B3248" t="n">
        <v>2026</v>
      </c>
      <c r="C3248" t="inlineStr">
        <is>
          <t>January</t>
        </is>
      </c>
      <c r="D3248" t="inlineStr">
        <is>
          <t>Deluxe Notebook</t>
        </is>
      </c>
      <c r="E3248" t="inlineStr">
        <is>
          <t>Books</t>
        </is>
      </c>
      <c r="F3248" t="inlineStr">
        <is>
          <t>Maria Moreau</t>
        </is>
      </c>
      <c r="G3248" t="inlineStr">
        <is>
          <t>United Kingdom</t>
        </is>
      </c>
      <c r="H3248" t="inlineStr">
        <is>
          <t>Mobile App</t>
        </is>
      </c>
      <c r="I3248" t="n">
        <v>4</v>
      </c>
      <c r="J3248" s="3" t="n">
        <v>853.76</v>
      </c>
      <c r="K3248" s="3" t="n">
        <v>85.38</v>
      </c>
      <c r="L3248" s="3" t="n">
        <v>768.38</v>
      </c>
      <c r="M3248" s="3" t="n">
        <v>603.04</v>
      </c>
      <c r="N3248" s="3" t="n">
        <v>165.34</v>
      </c>
      <c r="O3248">
        <f>TEXT(A3248,"yyyy-mm")</f>
        <v/>
      </c>
    </row>
    <row r="3249">
      <c r="A3249" s="2" t="n">
        <v>46032</v>
      </c>
      <c r="B3249" t="n">
        <v>2026</v>
      </c>
      <c r="C3249" t="inlineStr">
        <is>
          <t>January</t>
        </is>
      </c>
      <c r="D3249" t="inlineStr">
        <is>
          <t>Premium Water Bottle</t>
        </is>
      </c>
      <c r="E3249" t="inlineStr">
        <is>
          <t>Sports &amp; Outdoors</t>
        </is>
      </c>
      <c r="F3249" t="inlineStr">
        <is>
          <t>Michael Moreau</t>
        </is>
      </c>
      <c r="G3249" t="inlineStr">
        <is>
          <t>United States</t>
        </is>
      </c>
      <c r="H3249" t="inlineStr">
        <is>
          <t>Mobile App</t>
        </is>
      </c>
      <c r="I3249" t="n">
        <v>2</v>
      </c>
      <c r="J3249" s="3" t="n">
        <v>236.28</v>
      </c>
      <c r="K3249" s="3" t="n">
        <v>35.44</v>
      </c>
      <c r="L3249" s="3" t="n">
        <v>200.84</v>
      </c>
      <c r="M3249" s="3" t="n">
        <v>179.24</v>
      </c>
      <c r="N3249" s="3" t="n">
        <v>21.6</v>
      </c>
      <c r="O3249">
        <f>TEXT(A3249,"yyyy-mm")</f>
        <v/>
      </c>
    </row>
    <row r="3250">
      <c r="A3250" s="2" t="n">
        <v>46032</v>
      </c>
      <c r="B3250" t="n">
        <v>2026</v>
      </c>
      <c r="C3250" t="inlineStr">
        <is>
          <t>January</t>
        </is>
      </c>
      <c r="D3250" t="inlineStr">
        <is>
          <t>Premium Tent</t>
        </is>
      </c>
      <c r="E3250" t="inlineStr">
        <is>
          <t>Sports &amp; Outdoors</t>
        </is>
      </c>
      <c r="F3250" t="inlineStr">
        <is>
          <t>Michael Moreau</t>
        </is>
      </c>
      <c r="G3250" t="inlineStr">
        <is>
          <t>United States</t>
        </is>
      </c>
      <c r="H3250" t="inlineStr">
        <is>
          <t>Mobile App</t>
        </is>
      </c>
      <c r="I3250" t="n">
        <v>5</v>
      </c>
      <c r="J3250" s="3" t="n">
        <v>1296.25</v>
      </c>
      <c r="K3250" s="3" t="n">
        <v>0</v>
      </c>
      <c r="L3250" s="3" t="n">
        <v>1296.25</v>
      </c>
      <c r="M3250" s="3" t="n">
        <v>826.55</v>
      </c>
      <c r="N3250" s="3" t="n">
        <v>469.7</v>
      </c>
      <c r="O3250">
        <f>TEXT(A3250,"yyyy-mm")</f>
        <v/>
      </c>
    </row>
    <row r="3251">
      <c r="A3251" s="2" t="n">
        <v>46032</v>
      </c>
      <c r="B3251" t="n">
        <v>2026</v>
      </c>
      <c r="C3251" t="inlineStr">
        <is>
          <t>January</t>
        </is>
      </c>
      <c r="D3251" t="inlineStr">
        <is>
          <t>Portable Notebook</t>
        </is>
      </c>
      <c r="E3251" t="inlineStr">
        <is>
          <t>Books</t>
        </is>
      </c>
      <c r="F3251" t="inlineStr">
        <is>
          <t>Michael Moreau</t>
        </is>
      </c>
      <c r="G3251" t="inlineStr">
        <is>
          <t>United States</t>
        </is>
      </c>
      <c r="H3251" t="inlineStr">
        <is>
          <t>Mobile App</t>
        </is>
      </c>
      <c r="I3251" t="n">
        <v>3</v>
      </c>
      <c r="J3251" s="3" t="n">
        <v>390.24</v>
      </c>
      <c r="K3251" s="3" t="n">
        <v>58.54</v>
      </c>
      <c r="L3251" s="3" t="n">
        <v>331.7</v>
      </c>
      <c r="M3251" s="3" t="n">
        <v>213.84</v>
      </c>
      <c r="N3251" s="3" t="n">
        <v>117.86</v>
      </c>
      <c r="O3251">
        <f>TEXT(A3251,"yyyy-mm")</f>
        <v/>
      </c>
    </row>
    <row r="3252">
      <c r="A3252" s="2" t="n">
        <v>46032</v>
      </c>
      <c r="B3252" t="n">
        <v>2026</v>
      </c>
      <c r="C3252" t="inlineStr">
        <is>
          <t>January</t>
        </is>
      </c>
      <c r="D3252" t="inlineStr">
        <is>
          <t>Portable Puzzle</t>
        </is>
      </c>
      <c r="E3252" t="inlineStr">
        <is>
          <t>Toys &amp; Games</t>
        </is>
      </c>
      <c r="F3252" t="inlineStr">
        <is>
          <t>Michael Moreau</t>
        </is>
      </c>
      <c r="G3252" t="inlineStr">
        <is>
          <t>United States</t>
        </is>
      </c>
      <c r="H3252" t="inlineStr">
        <is>
          <t>Mobile App</t>
        </is>
      </c>
      <c r="I3252" t="n">
        <v>3</v>
      </c>
      <c r="J3252" s="3" t="n">
        <v>316.59</v>
      </c>
      <c r="K3252" s="3" t="n">
        <v>0</v>
      </c>
      <c r="L3252" s="3" t="n">
        <v>316.59</v>
      </c>
      <c r="M3252" s="3" t="n">
        <v>176.4</v>
      </c>
      <c r="N3252" s="3" t="n">
        <v>140.19</v>
      </c>
      <c r="O3252">
        <f>TEXT(A3252,"yyyy-mm")</f>
        <v/>
      </c>
    </row>
    <row r="3253">
      <c r="A3253" s="2" t="n">
        <v>46033</v>
      </c>
      <c r="B3253" t="n">
        <v>2026</v>
      </c>
      <c r="C3253" t="inlineStr">
        <is>
          <t>January</t>
        </is>
      </c>
      <c r="D3253" t="inlineStr">
        <is>
          <t>Essential Cushion</t>
        </is>
      </c>
      <c r="E3253" t="inlineStr">
        <is>
          <t>Home &amp; Garden</t>
        </is>
      </c>
      <c r="F3253" t="inlineStr">
        <is>
          <t>Daniel Wilson</t>
        </is>
      </c>
      <c r="G3253" t="inlineStr">
        <is>
          <t>Italy</t>
        </is>
      </c>
      <c r="H3253" t="inlineStr">
        <is>
          <t>Marketplace</t>
        </is>
      </c>
      <c r="I3253" t="n">
        <v>5</v>
      </c>
      <c r="J3253" s="3" t="n">
        <v>233.65</v>
      </c>
      <c r="K3253" s="3" t="n">
        <v>0</v>
      </c>
      <c r="L3253" s="3" t="n">
        <v>233.65</v>
      </c>
      <c r="M3253" s="3" t="n">
        <v>152.75</v>
      </c>
      <c r="N3253" s="3" t="n">
        <v>80.90000000000001</v>
      </c>
      <c r="O3253">
        <f>TEXT(A3253,"yyyy-mm")</f>
        <v/>
      </c>
    </row>
    <row r="3254">
      <c r="A3254" s="2" t="n">
        <v>46033</v>
      </c>
      <c r="B3254" t="n">
        <v>2026</v>
      </c>
      <c r="C3254" t="inlineStr">
        <is>
          <t>January</t>
        </is>
      </c>
      <c r="D3254" t="inlineStr">
        <is>
          <t>Deluxe Scarf</t>
        </is>
      </c>
      <c r="E3254" t="inlineStr">
        <is>
          <t>Clothing</t>
        </is>
      </c>
      <c r="F3254" t="inlineStr">
        <is>
          <t>Daniel Wilson</t>
        </is>
      </c>
      <c r="G3254" t="inlineStr">
        <is>
          <t>Italy</t>
        </is>
      </c>
      <c r="H3254" t="inlineStr">
        <is>
          <t>Marketplace</t>
        </is>
      </c>
      <c r="I3254" t="n">
        <v>2</v>
      </c>
      <c r="J3254" s="3" t="n">
        <v>407.32</v>
      </c>
      <c r="K3254" s="3" t="n">
        <v>81.45999999999999</v>
      </c>
      <c r="L3254" s="3" t="n">
        <v>325.86</v>
      </c>
      <c r="M3254" s="3" t="n">
        <v>217.04</v>
      </c>
      <c r="N3254" s="3" t="n">
        <v>108.82</v>
      </c>
      <c r="O3254">
        <f>TEXT(A3254,"yyyy-mm")</f>
        <v/>
      </c>
    </row>
    <row r="3255">
      <c r="A3255" s="2" t="n">
        <v>46033</v>
      </c>
      <c r="B3255" t="n">
        <v>2026</v>
      </c>
      <c r="C3255" t="inlineStr">
        <is>
          <t>January</t>
        </is>
      </c>
      <c r="D3255" t="inlineStr">
        <is>
          <t>Compact Sunscreen</t>
        </is>
      </c>
      <c r="E3255" t="inlineStr">
        <is>
          <t>Beauty &amp; Health</t>
        </is>
      </c>
      <c r="F3255" t="inlineStr">
        <is>
          <t>Daniel Wilson</t>
        </is>
      </c>
      <c r="G3255" t="inlineStr">
        <is>
          <t>Italy</t>
        </is>
      </c>
      <c r="H3255" t="inlineStr">
        <is>
          <t>Marketplace</t>
        </is>
      </c>
      <c r="I3255" t="n">
        <v>4</v>
      </c>
      <c r="J3255" s="3" t="n">
        <v>1240.76</v>
      </c>
      <c r="K3255" s="3" t="n">
        <v>124.08</v>
      </c>
      <c r="L3255" s="3" t="n">
        <v>1116.68</v>
      </c>
      <c r="M3255" s="3" t="n">
        <v>710.64</v>
      </c>
      <c r="N3255" s="3" t="n">
        <v>406.04</v>
      </c>
      <c r="O3255">
        <f>TEXT(A3255,"yyyy-mm")</f>
        <v/>
      </c>
    </row>
    <row r="3256">
      <c r="A3256" s="2" t="n">
        <v>46033</v>
      </c>
      <c r="B3256" t="n">
        <v>2026</v>
      </c>
      <c r="C3256" t="inlineStr">
        <is>
          <t>January</t>
        </is>
      </c>
      <c r="D3256" t="inlineStr">
        <is>
          <t>Ultra Backpack</t>
        </is>
      </c>
      <c r="E3256" t="inlineStr">
        <is>
          <t>Sports &amp; Outdoors</t>
        </is>
      </c>
      <c r="F3256" t="inlineStr">
        <is>
          <t>Daniel Wilson</t>
        </is>
      </c>
      <c r="G3256" t="inlineStr">
        <is>
          <t>Italy</t>
        </is>
      </c>
      <c r="H3256" t="inlineStr">
        <is>
          <t>Marketplace</t>
        </is>
      </c>
      <c r="I3256" t="n">
        <v>1</v>
      </c>
      <c r="J3256" s="3" t="n">
        <v>316.51</v>
      </c>
      <c r="K3256" s="3" t="n">
        <v>0</v>
      </c>
      <c r="L3256" s="3" t="n">
        <v>316.51</v>
      </c>
      <c r="M3256" s="3" t="n">
        <v>173.69</v>
      </c>
      <c r="N3256" s="3" t="n">
        <v>142.82</v>
      </c>
      <c r="O3256">
        <f>TEXT(A3256,"yyyy-mm")</f>
        <v/>
      </c>
    </row>
    <row r="3257">
      <c r="A3257" s="2" t="n">
        <v>46034</v>
      </c>
      <c r="B3257" t="n">
        <v>2026</v>
      </c>
      <c r="C3257" t="inlineStr">
        <is>
          <t>January</t>
        </is>
      </c>
      <c r="D3257" t="inlineStr">
        <is>
          <t>Wireless Drone</t>
        </is>
      </c>
      <c r="E3257" t="inlineStr">
        <is>
          <t>Toys &amp; Games</t>
        </is>
      </c>
      <c r="F3257" t="inlineStr">
        <is>
          <t>Clara Nowak</t>
        </is>
      </c>
      <c r="G3257" t="inlineStr">
        <is>
          <t>United Kingdom</t>
        </is>
      </c>
      <c r="H3257" t="inlineStr">
        <is>
          <t>Marketplace</t>
        </is>
      </c>
      <c r="I3257" t="n">
        <v>1</v>
      </c>
      <c r="J3257" s="3" t="n">
        <v>220.11</v>
      </c>
      <c r="K3257" s="3" t="n">
        <v>0</v>
      </c>
      <c r="L3257" s="3" t="n">
        <v>220.11</v>
      </c>
      <c r="M3257" s="3" t="n">
        <v>131.29</v>
      </c>
      <c r="N3257" s="3" t="n">
        <v>88.81999999999999</v>
      </c>
      <c r="O3257">
        <f>TEXT(A3257,"yyyy-mm")</f>
        <v/>
      </c>
    </row>
    <row r="3258">
      <c r="A3258" s="2" t="n">
        <v>46034</v>
      </c>
      <c r="B3258" t="n">
        <v>2026</v>
      </c>
      <c r="C3258" t="inlineStr">
        <is>
          <t>January</t>
        </is>
      </c>
      <c r="D3258" t="inlineStr">
        <is>
          <t>Smart Coffee Beans</t>
        </is>
      </c>
      <c r="E3258" t="inlineStr">
        <is>
          <t>Grocery</t>
        </is>
      </c>
      <c r="F3258" t="inlineStr">
        <is>
          <t>Clara Nowak</t>
        </is>
      </c>
      <c r="G3258" t="inlineStr">
        <is>
          <t>United Kingdom</t>
        </is>
      </c>
      <c r="H3258" t="inlineStr">
        <is>
          <t>Marketplace</t>
        </is>
      </c>
      <c r="I3258" t="n">
        <v>2</v>
      </c>
      <c r="J3258" s="3" t="n">
        <v>218.58</v>
      </c>
      <c r="K3258" s="3" t="n">
        <v>0</v>
      </c>
      <c r="L3258" s="3" t="n">
        <v>218.58</v>
      </c>
      <c r="M3258" s="3" t="n">
        <v>145.7</v>
      </c>
      <c r="N3258" s="3" t="n">
        <v>72.88</v>
      </c>
      <c r="O3258">
        <f>TEXT(A3258,"yyyy-mm")</f>
        <v/>
      </c>
    </row>
    <row r="3259">
      <c r="A3259" s="2" t="n">
        <v>46035</v>
      </c>
      <c r="B3259" t="n">
        <v>2026</v>
      </c>
      <c r="C3259" t="inlineStr">
        <is>
          <t>January</t>
        </is>
      </c>
      <c r="D3259" t="inlineStr">
        <is>
          <t>Smart Coffee Beans</t>
        </is>
      </c>
      <c r="E3259" t="inlineStr">
        <is>
          <t>Grocery</t>
        </is>
      </c>
      <c r="F3259" t="inlineStr">
        <is>
          <t>Clara Martin</t>
        </is>
      </c>
      <c r="G3259" t="inlineStr">
        <is>
          <t>United States</t>
        </is>
      </c>
      <c r="H3259" t="inlineStr">
        <is>
          <t>Retail Store</t>
        </is>
      </c>
      <c r="I3259" t="n">
        <v>2</v>
      </c>
      <c r="J3259" s="3" t="n">
        <v>218.82</v>
      </c>
      <c r="K3259" s="3" t="n">
        <v>10.94</v>
      </c>
      <c r="L3259" s="3" t="n">
        <v>207.88</v>
      </c>
      <c r="M3259" s="3" t="n">
        <v>145.7</v>
      </c>
      <c r="N3259" s="3" t="n">
        <v>62.18</v>
      </c>
      <c r="O3259">
        <f>TEXT(A3259,"yyyy-mm")</f>
        <v/>
      </c>
    </row>
    <row r="3260">
      <c r="A3260" s="2" t="n">
        <v>46035</v>
      </c>
      <c r="B3260" t="n">
        <v>2026</v>
      </c>
      <c r="C3260" t="inlineStr">
        <is>
          <t>January</t>
        </is>
      </c>
      <c r="D3260" t="inlineStr">
        <is>
          <t>Ultra Vitamins</t>
        </is>
      </c>
      <c r="E3260" t="inlineStr">
        <is>
          <t>Beauty &amp; Health</t>
        </is>
      </c>
      <c r="F3260" t="inlineStr">
        <is>
          <t>Clara Martin</t>
        </is>
      </c>
      <c r="G3260" t="inlineStr">
        <is>
          <t>United States</t>
        </is>
      </c>
      <c r="H3260" t="inlineStr">
        <is>
          <t>Retail Store</t>
        </is>
      </c>
      <c r="I3260" t="n">
        <v>3</v>
      </c>
      <c r="J3260" s="3" t="n">
        <v>655.83</v>
      </c>
      <c r="K3260" s="3" t="n">
        <v>98.37</v>
      </c>
      <c r="L3260" s="3" t="n">
        <v>557.46</v>
      </c>
      <c r="M3260" s="3" t="n">
        <v>378.3</v>
      </c>
      <c r="N3260" s="3" t="n">
        <v>179.16</v>
      </c>
      <c r="O3260">
        <f>TEXT(A3260,"yyyy-mm")</f>
        <v/>
      </c>
    </row>
    <row r="3261">
      <c r="A3261" s="2" t="n">
        <v>46035</v>
      </c>
      <c r="B3261" t="n">
        <v>2026</v>
      </c>
      <c r="C3261" t="inlineStr">
        <is>
          <t>January</t>
        </is>
      </c>
      <c r="D3261" t="inlineStr">
        <is>
          <t>Compact Pasta</t>
        </is>
      </c>
      <c r="E3261" t="inlineStr">
        <is>
          <t>Grocery</t>
        </is>
      </c>
      <c r="F3261" t="inlineStr">
        <is>
          <t>Clara Martin</t>
        </is>
      </c>
      <c r="G3261" t="inlineStr">
        <is>
          <t>United States</t>
        </is>
      </c>
      <c r="H3261" t="inlineStr">
        <is>
          <t>Retail Store</t>
        </is>
      </c>
      <c r="I3261" t="n">
        <v>2</v>
      </c>
      <c r="J3261" s="3" t="n">
        <v>617.62</v>
      </c>
      <c r="K3261" s="3" t="n">
        <v>123.52</v>
      </c>
      <c r="L3261" s="3" t="n">
        <v>494.1</v>
      </c>
      <c r="M3261" s="3" t="n">
        <v>398.8</v>
      </c>
      <c r="N3261" s="3" t="n">
        <v>95.3</v>
      </c>
      <c r="O3261">
        <f>TEXT(A3261,"yyyy-mm")</f>
        <v/>
      </c>
    </row>
    <row r="3262">
      <c r="A3262" s="2" t="n">
        <v>46035</v>
      </c>
      <c r="B3262" t="n">
        <v>2026</v>
      </c>
      <c r="C3262" t="inlineStr">
        <is>
          <t>January</t>
        </is>
      </c>
      <c r="D3262" t="inlineStr">
        <is>
          <t>Premium Water Bottle</t>
        </is>
      </c>
      <c r="E3262" t="inlineStr">
        <is>
          <t>Sports &amp; Outdoors</t>
        </is>
      </c>
      <c r="F3262" t="inlineStr">
        <is>
          <t>David Wojcik</t>
        </is>
      </c>
      <c r="G3262" t="inlineStr">
        <is>
          <t>Germany</t>
        </is>
      </c>
      <c r="H3262" t="inlineStr">
        <is>
          <t>Retail Store</t>
        </is>
      </c>
      <c r="I3262" t="n">
        <v>2</v>
      </c>
      <c r="J3262" s="3" t="n">
        <v>58.96</v>
      </c>
      <c r="K3262" s="3" t="n">
        <v>0</v>
      </c>
      <c r="L3262" s="3" t="n">
        <v>58.96</v>
      </c>
      <c r="M3262" s="3" t="n">
        <v>33.26</v>
      </c>
      <c r="N3262" s="3" t="n">
        <v>25.7</v>
      </c>
      <c r="O3262">
        <f>TEXT(A3262,"yyyy-mm")</f>
        <v/>
      </c>
    </row>
    <row r="3263">
      <c r="A3263" s="2" t="n">
        <v>46035</v>
      </c>
      <c r="B3263" t="n">
        <v>2026</v>
      </c>
      <c r="C3263" t="inlineStr">
        <is>
          <t>January</t>
        </is>
      </c>
      <c r="D3263" t="inlineStr">
        <is>
          <t>Smart Olive Oil</t>
        </is>
      </c>
      <c r="E3263" t="inlineStr">
        <is>
          <t>Grocery</t>
        </is>
      </c>
      <c r="F3263" t="inlineStr">
        <is>
          <t>David Wojcik</t>
        </is>
      </c>
      <c r="G3263" t="inlineStr">
        <is>
          <t>Germany</t>
        </is>
      </c>
      <c r="H3263" t="inlineStr">
        <is>
          <t>Retail Store</t>
        </is>
      </c>
      <c r="I3263" t="n">
        <v>1</v>
      </c>
      <c r="J3263" s="3" t="n">
        <v>164.23</v>
      </c>
      <c r="K3263" s="3" t="n">
        <v>16.42</v>
      </c>
      <c r="L3263" s="3" t="n">
        <v>147.81</v>
      </c>
      <c r="M3263" s="3" t="n">
        <v>110.02</v>
      </c>
      <c r="N3263" s="3" t="n">
        <v>37.79</v>
      </c>
      <c r="O3263">
        <f>TEXT(A3263,"yyyy-mm")</f>
        <v/>
      </c>
    </row>
    <row r="3264">
      <c r="A3264" s="2" t="n">
        <v>46035</v>
      </c>
      <c r="B3264" t="n">
        <v>2026</v>
      </c>
      <c r="C3264" t="inlineStr">
        <is>
          <t>January</t>
        </is>
      </c>
      <c r="D3264" t="inlineStr">
        <is>
          <t>Classic Tea Set</t>
        </is>
      </c>
      <c r="E3264" t="inlineStr">
        <is>
          <t>Grocery</t>
        </is>
      </c>
      <c r="F3264" t="inlineStr">
        <is>
          <t>Clara Johnson</t>
        </is>
      </c>
      <c r="G3264" t="inlineStr">
        <is>
          <t>United Kingdom</t>
        </is>
      </c>
      <c r="H3264" t="inlineStr">
        <is>
          <t>Retail Store</t>
        </is>
      </c>
      <c r="I3264" t="n">
        <v>3</v>
      </c>
      <c r="J3264" s="3" t="n">
        <v>528.75</v>
      </c>
      <c r="K3264" s="3" t="n">
        <v>52.88</v>
      </c>
      <c r="L3264" s="3" t="n">
        <v>475.88</v>
      </c>
      <c r="M3264" s="3" t="n">
        <v>376.2</v>
      </c>
      <c r="N3264" s="3" t="n">
        <v>99.67</v>
      </c>
      <c r="O3264">
        <f>TEXT(A3264,"yyyy-mm")</f>
        <v/>
      </c>
    </row>
    <row r="3265">
      <c r="A3265" s="2" t="n">
        <v>46035</v>
      </c>
      <c r="B3265" t="n">
        <v>2026</v>
      </c>
      <c r="C3265" t="inlineStr">
        <is>
          <t>January</t>
        </is>
      </c>
      <c r="D3265" t="inlineStr">
        <is>
          <t>Portable Tea Set</t>
        </is>
      </c>
      <c r="E3265" t="inlineStr">
        <is>
          <t>Grocery</t>
        </is>
      </c>
      <c r="F3265" t="inlineStr">
        <is>
          <t>Clara Johnson</t>
        </is>
      </c>
      <c r="G3265" t="inlineStr">
        <is>
          <t>United Kingdom</t>
        </is>
      </c>
      <c r="H3265" t="inlineStr">
        <is>
          <t>Retail Store</t>
        </is>
      </c>
      <c r="I3265" t="n">
        <v>3</v>
      </c>
      <c r="J3265" s="3" t="n">
        <v>854.1900000000001</v>
      </c>
      <c r="K3265" s="3" t="n">
        <v>85.42</v>
      </c>
      <c r="L3265" s="3" t="n">
        <v>768.77</v>
      </c>
      <c r="M3265" s="3" t="n">
        <v>564.36</v>
      </c>
      <c r="N3265" s="3" t="n">
        <v>204.41</v>
      </c>
      <c r="O3265">
        <f>TEXT(A3265,"yyyy-mm")</f>
        <v/>
      </c>
    </row>
    <row r="3266">
      <c r="A3266" s="2" t="n">
        <v>46035</v>
      </c>
      <c r="B3266" t="n">
        <v>2026</v>
      </c>
      <c r="C3266" t="inlineStr">
        <is>
          <t>January</t>
        </is>
      </c>
      <c r="D3266" t="inlineStr">
        <is>
          <t>Portable Toolset</t>
        </is>
      </c>
      <c r="E3266" t="inlineStr">
        <is>
          <t>Home &amp; Garden</t>
        </is>
      </c>
      <c r="F3266" t="inlineStr">
        <is>
          <t>David Wojcik</t>
        </is>
      </c>
      <c r="G3266" t="inlineStr">
        <is>
          <t>Germany</t>
        </is>
      </c>
      <c r="H3266" t="inlineStr">
        <is>
          <t>Retail Store</t>
        </is>
      </c>
      <c r="I3266" t="n">
        <v>5</v>
      </c>
      <c r="J3266" s="3" t="n">
        <v>740.95</v>
      </c>
      <c r="K3266" s="3" t="n">
        <v>111.14</v>
      </c>
      <c r="L3266" s="3" t="n">
        <v>629.8099999999999</v>
      </c>
      <c r="M3266" s="3" t="n">
        <v>464.25</v>
      </c>
      <c r="N3266" s="3" t="n">
        <v>165.56</v>
      </c>
      <c r="O3266">
        <f>TEXT(A3266,"yyyy-mm")</f>
        <v/>
      </c>
    </row>
    <row r="3267">
      <c r="A3267" s="2" t="n">
        <v>46035</v>
      </c>
      <c r="B3267" t="n">
        <v>2026</v>
      </c>
      <c r="C3267" t="inlineStr">
        <is>
          <t>January</t>
        </is>
      </c>
      <c r="D3267" t="inlineStr">
        <is>
          <t>Ultra Toolset</t>
        </is>
      </c>
      <c r="E3267" t="inlineStr">
        <is>
          <t>Home &amp; Garden</t>
        </is>
      </c>
      <c r="F3267" t="inlineStr">
        <is>
          <t>Clara Johnson</t>
        </is>
      </c>
      <c r="G3267" t="inlineStr">
        <is>
          <t>United Kingdom</t>
        </is>
      </c>
      <c r="H3267" t="inlineStr">
        <is>
          <t>Retail Store</t>
        </is>
      </c>
      <c r="I3267" t="n">
        <v>4</v>
      </c>
      <c r="J3267" s="3" t="n">
        <v>1436.4</v>
      </c>
      <c r="K3267" s="3" t="n">
        <v>0</v>
      </c>
      <c r="L3267" s="3" t="n">
        <v>1436.4</v>
      </c>
      <c r="M3267" s="3" t="n">
        <v>761.6</v>
      </c>
      <c r="N3267" s="3" t="n">
        <v>674.8</v>
      </c>
      <c r="O3267">
        <f>TEXT(A3267,"yyyy-mm")</f>
        <v/>
      </c>
    </row>
    <row r="3268">
      <c r="A3268" s="2" t="n">
        <v>46035</v>
      </c>
      <c r="B3268" t="n">
        <v>2026</v>
      </c>
      <c r="C3268" t="inlineStr">
        <is>
          <t>January</t>
        </is>
      </c>
      <c r="D3268" t="inlineStr">
        <is>
          <t>Smart Charger</t>
        </is>
      </c>
      <c r="E3268" t="inlineStr">
        <is>
          <t>Electronics</t>
        </is>
      </c>
      <c r="F3268" t="inlineStr">
        <is>
          <t>David Wojcik</t>
        </is>
      </c>
      <c r="G3268" t="inlineStr">
        <is>
          <t>Germany</t>
        </is>
      </c>
      <c r="H3268" t="inlineStr">
        <is>
          <t>Retail Store</t>
        </is>
      </c>
      <c r="I3268" t="n">
        <v>5</v>
      </c>
      <c r="J3268" s="3" t="n">
        <v>189.95</v>
      </c>
      <c r="K3268" s="3" t="n">
        <v>9.5</v>
      </c>
      <c r="L3268" s="3" t="n">
        <v>180.45</v>
      </c>
      <c r="M3268" s="3" t="n">
        <v>138.2</v>
      </c>
      <c r="N3268" s="3" t="n">
        <v>42.25</v>
      </c>
      <c r="O3268">
        <f>TEXT(A3268,"yyyy-mm")</f>
        <v/>
      </c>
    </row>
    <row r="3269">
      <c r="A3269" s="2" t="n">
        <v>46036</v>
      </c>
      <c r="B3269" t="n">
        <v>2026</v>
      </c>
      <c r="C3269" t="inlineStr">
        <is>
          <t>January</t>
        </is>
      </c>
      <c r="D3269" t="inlineStr">
        <is>
          <t>Portable Puzzle</t>
        </is>
      </c>
      <c r="E3269" t="inlineStr">
        <is>
          <t>Toys &amp; Games</t>
        </is>
      </c>
      <c r="F3269" t="inlineStr">
        <is>
          <t>Emma Fischer</t>
        </is>
      </c>
      <c r="G3269" t="inlineStr">
        <is>
          <t>Spain</t>
        </is>
      </c>
      <c r="H3269" t="inlineStr">
        <is>
          <t>Retail Store</t>
        </is>
      </c>
      <c r="I3269" t="n">
        <v>3</v>
      </c>
      <c r="J3269" s="3" t="n">
        <v>316.44</v>
      </c>
      <c r="K3269" s="3" t="n">
        <v>63.29</v>
      </c>
      <c r="L3269" s="3" t="n">
        <v>253.15</v>
      </c>
      <c r="M3269" s="3" t="n">
        <v>176.4</v>
      </c>
      <c r="N3269" s="3" t="n">
        <v>76.75</v>
      </c>
      <c r="O3269">
        <f>TEXT(A3269,"yyyy-mm")</f>
        <v/>
      </c>
    </row>
    <row r="3270">
      <c r="A3270" s="2" t="n">
        <v>46036</v>
      </c>
      <c r="B3270" t="n">
        <v>2026</v>
      </c>
      <c r="C3270" t="inlineStr">
        <is>
          <t>January</t>
        </is>
      </c>
      <c r="D3270" t="inlineStr">
        <is>
          <t>Essential Charger</t>
        </is>
      </c>
      <c r="E3270" t="inlineStr">
        <is>
          <t>Electronics</t>
        </is>
      </c>
      <c r="F3270" t="inlineStr">
        <is>
          <t>Julia Zielinski</t>
        </is>
      </c>
      <c r="G3270" t="inlineStr">
        <is>
          <t>Netherlands</t>
        </is>
      </c>
      <c r="H3270" t="inlineStr">
        <is>
          <t>Marketplace</t>
        </is>
      </c>
      <c r="I3270" t="n">
        <v>5</v>
      </c>
      <c r="J3270" s="3" t="n">
        <v>210.7</v>
      </c>
      <c r="K3270" s="3" t="n">
        <v>21.07</v>
      </c>
      <c r="L3270" s="3" t="n">
        <v>189.63</v>
      </c>
      <c r="M3270" s="3" t="n">
        <v>145.5</v>
      </c>
      <c r="N3270" s="3" t="n">
        <v>44.13</v>
      </c>
      <c r="O3270">
        <f>TEXT(A3270,"yyyy-mm")</f>
        <v/>
      </c>
    </row>
    <row r="3271">
      <c r="A3271" s="2" t="n">
        <v>46036</v>
      </c>
      <c r="B3271" t="n">
        <v>2026</v>
      </c>
      <c r="C3271" t="inlineStr">
        <is>
          <t>January</t>
        </is>
      </c>
      <c r="D3271" t="inlineStr">
        <is>
          <t>Deluxe Puzzle</t>
        </is>
      </c>
      <c r="E3271" t="inlineStr">
        <is>
          <t>Toys &amp; Games</t>
        </is>
      </c>
      <c r="F3271" t="inlineStr">
        <is>
          <t>Julia Zielinski</t>
        </is>
      </c>
      <c r="G3271" t="inlineStr">
        <is>
          <t>Netherlands</t>
        </is>
      </c>
      <c r="H3271" t="inlineStr">
        <is>
          <t>Marketplace</t>
        </is>
      </c>
      <c r="I3271" t="n">
        <v>3</v>
      </c>
      <c r="J3271" s="3" t="n">
        <v>632.61</v>
      </c>
      <c r="K3271" s="3" t="n">
        <v>0</v>
      </c>
      <c r="L3271" s="3" t="n">
        <v>632.61</v>
      </c>
      <c r="M3271" s="3" t="n">
        <v>333.51</v>
      </c>
      <c r="N3271" s="3" t="n">
        <v>299.1</v>
      </c>
      <c r="O3271">
        <f>TEXT(A3271,"yyyy-mm")</f>
        <v/>
      </c>
    </row>
    <row r="3272">
      <c r="A3272" s="2" t="n">
        <v>46036</v>
      </c>
      <c r="B3272" t="n">
        <v>2026</v>
      </c>
      <c r="C3272" t="inlineStr">
        <is>
          <t>January</t>
        </is>
      </c>
      <c r="D3272" t="inlineStr">
        <is>
          <t>Deluxe Headphones</t>
        </is>
      </c>
      <c r="E3272" t="inlineStr">
        <is>
          <t>Electronics</t>
        </is>
      </c>
      <c r="F3272" t="inlineStr">
        <is>
          <t>Julia Zielinski</t>
        </is>
      </c>
      <c r="G3272" t="inlineStr">
        <is>
          <t>Netherlands</t>
        </is>
      </c>
      <c r="H3272" t="inlineStr">
        <is>
          <t>Marketplace</t>
        </is>
      </c>
      <c r="I3272" t="n">
        <v>4</v>
      </c>
      <c r="J3272" s="3" t="n">
        <v>300.12</v>
      </c>
      <c r="K3272" s="3" t="n">
        <v>0</v>
      </c>
      <c r="L3272" s="3" t="n">
        <v>300.12</v>
      </c>
      <c r="M3272" s="3" t="n">
        <v>210</v>
      </c>
      <c r="N3272" s="3" t="n">
        <v>90.12</v>
      </c>
      <c r="O3272">
        <f>TEXT(A3272,"yyyy-mm")</f>
        <v/>
      </c>
    </row>
    <row r="3273">
      <c r="A3273" s="2" t="n">
        <v>46036</v>
      </c>
      <c r="B3273" t="n">
        <v>2026</v>
      </c>
      <c r="C3273" t="inlineStr">
        <is>
          <t>January</t>
        </is>
      </c>
      <c r="D3273" t="inlineStr">
        <is>
          <t>Smart Jeans</t>
        </is>
      </c>
      <c r="E3273" t="inlineStr">
        <is>
          <t>Clothing</t>
        </is>
      </c>
      <c r="F3273" t="inlineStr">
        <is>
          <t>Julia Zielinski</t>
        </is>
      </c>
      <c r="G3273" t="inlineStr">
        <is>
          <t>Netherlands</t>
        </is>
      </c>
      <c r="H3273" t="inlineStr">
        <is>
          <t>Marketplace</t>
        </is>
      </c>
      <c r="I3273" t="n">
        <v>4</v>
      </c>
      <c r="J3273" s="3" t="n">
        <v>1113.4</v>
      </c>
      <c r="K3273" s="3" t="n">
        <v>0</v>
      </c>
      <c r="L3273" s="3" t="n">
        <v>1113.4</v>
      </c>
      <c r="M3273" s="3" t="n">
        <v>774.5599999999999</v>
      </c>
      <c r="N3273" s="3" t="n">
        <v>338.84</v>
      </c>
      <c r="O3273">
        <f>TEXT(A3273,"yyyy-mm")</f>
        <v/>
      </c>
    </row>
    <row r="3274">
      <c r="A3274" s="2" t="n">
        <v>46037</v>
      </c>
      <c r="B3274" t="n">
        <v>2026</v>
      </c>
      <c r="C3274" t="inlineStr">
        <is>
          <t>January</t>
        </is>
      </c>
      <c r="D3274" t="inlineStr">
        <is>
          <t>Smart Honey</t>
        </is>
      </c>
      <c r="E3274" t="inlineStr">
        <is>
          <t>Grocery</t>
        </is>
      </c>
      <c r="F3274" t="inlineStr">
        <is>
          <t>David Wojcik</t>
        </is>
      </c>
      <c r="G3274" t="inlineStr">
        <is>
          <t>Germany</t>
        </is>
      </c>
      <c r="H3274" t="inlineStr">
        <is>
          <t>Web Store</t>
        </is>
      </c>
      <c r="I3274" t="n">
        <v>1</v>
      </c>
      <c r="J3274" s="3" t="n">
        <v>128.22</v>
      </c>
      <c r="K3274" s="3" t="n">
        <v>0</v>
      </c>
      <c r="L3274" s="3" t="n">
        <v>128.22</v>
      </c>
      <c r="M3274" s="3" t="n">
        <v>71.44</v>
      </c>
      <c r="N3274" s="3" t="n">
        <v>56.78</v>
      </c>
      <c r="O3274">
        <f>TEXT(A3274,"yyyy-mm")</f>
        <v/>
      </c>
    </row>
    <row r="3275">
      <c r="A3275" s="2" t="n">
        <v>46037</v>
      </c>
      <c r="B3275" t="n">
        <v>2026</v>
      </c>
      <c r="C3275" t="inlineStr">
        <is>
          <t>January</t>
        </is>
      </c>
      <c r="D3275" t="inlineStr">
        <is>
          <t>Ultra Backpack</t>
        </is>
      </c>
      <c r="E3275" t="inlineStr">
        <is>
          <t>Sports &amp; Outdoors</t>
        </is>
      </c>
      <c r="F3275" t="inlineStr">
        <is>
          <t>David Wojcik</t>
        </is>
      </c>
      <c r="G3275" t="inlineStr">
        <is>
          <t>Germany</t>
        </is>
      </c>
      <c r="H3275" t="inlineStr">
        <is>
          <t>Web Store</t>
        </is>
      </c>
      <c r="I3275" t="n">
        <v>3</v>
      </c>
      <c r="J3275" s="3" t="n">
        <v>955.59</v>
      </c>
      <c r="K3275" s="3" t="n">
        <v>191.12</v>
      </c>
      <c r="L3275" s="3" t="n">
        <v>764.47</v>
      </c>
      <c r="M3275" s="3" t="n">
        <v>521.0700000000001</v>
      </c>
      <c r="N3275" s="3" t="n">
        <v>243.4</v>
      </c>
      <c r="O3275">
        <f>TEXT(A3275,"yyyy-mm")</f>
        <v/>
      </c>
    </row>
    <row r="3276">
      <c r="A3276" s="2" t="n">
        <v>46037</v>
      </c>
      <c r="B3276" t="n">
        <v>2026</v>
      </c>
      <c r="C3276" t="inlineStr">
        <is>
          <t>January</t>
        </is>
      </c>
      <c r="D3276" t="inlineStr">
        <is>
          <t>Classic Charger</t>
        </is>
      </c>
      <c r="E3276" t="inlineStr">
        <is>
          <t>Electronics</t>
        </is>
      </c>
      <c r="F3276" t="inlineStr">
        <is>
          <t>David Wojcik</t>
        </is>
      </c>
      <c r="G3276" t="inlineStr">
        <is>
          <t>Germany</t>
        </is>
      </c>
      <c r="H3276" t="inlineStr">
        <is>
          <t>Web Store</t>
        </is>
      </c>
      <c r="I3276" t="n">
        <v>5</v>
      </c>
      <c r="J3276" s="3" t="n">
        <v>482.15</v>
      </c>
      <c r="K3276" s="3" t="n">
        <v>96.43000000000001</v>
      </c>
      <c r="L3276" s="3" t="n">
        <v>385.72</v>
      </c>
      <c r="M3276" s="3" t="n">
        <v>311.05</v>
      </c>
      <c r="N3276" s="3" t="n">
        <v>74.67</v>
      </c>
      <c r="O3276">
        <f>TEXT(A3276,"yyyy-mm")</f>
        <v/>
      </c>
    </row>
    <row r="3277">
      <c r="A3277" s="2" t="n">
        <v>46037</v>
      </c>
      <c r="B3277" t="n">
        <v>2026</v>
      </c>
      <c r="C3277" t="inlineStr">
        <is>
          <t>January</t>
        </is>
      </c>
      <c r="D3277" t="inlineStr">
        <is>
          <t>Compact Jacket</t>
        </is>
      </c>
      <c r="E3277" t="inlineStr">
        <is>
          <t>Clothing</t>
        </is>
      </c>
      <c r="F3277" t="inlineStr">
        <is>
          <t>Olivia Moreau</t>
        </is>
      </c>
      <c r="G3277" t="inlineStr">
        <is>
          <t>Italy</t>
        </is>
      </c>
      <c r="H3277" t="inlineStr">
        <is>
          <t>Mobile App</t>
        </is>
      </c>
      <c r="I3277" t="n">
        <v>2</v>
      </c>
      <c r="J3277" s="3" t="n">
        <v>72.73999999999999</v>
      </c>
      <c r="K3277" s="3" t="n">
        <v>7.27</v>
      </c>
      <c r="L3277" s="3" t="n">
        <v>65.47</v>
      </c>
      <c r="M3277" s="3" t="n">
        <v>40.8</v>
      </c>
      <c r="N3277" s="3" t="n">
        <v>24.67</v>
      </c>
      <c r="O3277">
        <f>TEXT(A3277,"yyyy-mm")</f>
        <v/>
      </c>
    </row>
    <row r="3278">
      <c r="A3278" s="2" t="n">
        <v>46037</v>
      </c>
      <c r="B3278" t="n">
        <v>2026</v>
      </c>
      <c r="C3278" t="inlineStr">
        <is>
          <t>January</t>
        </is>
      </c>
      <c r="D3278" t="inlineStr">
        <is>
          <t>Essential Planter</t>
        </is>
      </c>
      <c r="E3278" t="inlineStr">
        <is>
          <t>Home &amp; Garden</t>
        </is>
      </c>
      <c r="F3278" t="inlineStr">
        <is>
          <t>Sophie Wilson</t>
        </is>
      </c>
      <c r="G3278" t="inlineStr">
        <is>
          <t>Germany</t>
        </is>
      </c>
      <c r="H3278" t="inlineStr">
        <is>
          <t>Marketplace</t>
        </is>
      </c>
      <c r="I3278" t="n">
        <v>1</v>
      </c>
      <c r="J3278" s="3" t="n">
        <v>26.34</v>
      </c>
      <c r="K3278" s="3" t="n">
        <v>5.27</v>
      </c>
      <c r="L3278" s="3" t="n">
        <v>21.07</v>
      </c>
      <c r="M3278" s="3" t="n">
        <v>19.64</v>
      </c>
      <c r="N3278" s="3" t="n">
        <v>1.43</v>
      </c>
      <c r="O3278">
        <f>TEXT(A3278,"yyyy-mm")</f>
        <v/>
      </c>
    </row>
    <row r="3279">
      <c r="A3279" s="2" t="n">
        <v>46037</v>
      </c>
      <c r="B3279" t="n">
        <v>2026</v>
      </c>
      <c r="C3279" t="inlineStr">
        <is>
          <t>January</t>
        </is>
      </c>
      <c r="D3279" t="inlineStr">
        <is>
          <t>Smart Camera</t>
        </is>
      </c>
      <c r="E3279" t="inlineStr">
        <is>
          <t>Electronics</t>
        </is>
      </c>
      <c r="F3279" t="inlineStr">
        <is>
          <t>Sophie Wilson</t>
        </is>
      </c>
      <c r="G3279" t="inlineStr">
        <is>
          <t>Germany</t>
        </is>
      </c>
      <c r="H3279" t="inlineStr">
        <is>
          <t>Marketplace</t>
        </is>
      </c>
      <c r="I3279" t="n">
        <v>4</v>
      </c>
      <c r="J3279" s="3" t="n">
        <v>1229</v>
      </c>
      <c r="K3279" s="3" t="n">
        <v>61.45</v>
      </c>
      <c r="L3279" s="3" t="n">
        <v>1167.55</v>
      </c>
      <c r="M3279" s="3" t="n">
        <v>669.6</v>
      </c>
      <c r="N3279" s="3" t="n">
        <v>497.95</v>
      </c>
      <c r="O3279">
        <f>TEXT(A3279,"yyyy-mm")</f>
        <v/>
      </c>
    </row>
    <row r="3280">
      <c r="A3280" s="2" t="n">
        <v>46037</v>
      </c>
      <c r="B3280" t="n">
        <v>2026</v>
      </c>
      <c r="C3280" t="inlineStr">
        <is>
          <t>January</t>
        </is>
      </c>
      <c r="D3280" t="inlineStr">
        <is>
          <t>Premium Water Bottle</t>
        </is>
      </c>
      <c r="E3280" t="inlineStr">
        <is>
          <t>Sports &amp; Outdoors</t>
        </is>
      </c>
      <c r="F3280" t="inlineStr">
        <is>
          <t>Mark Zielinski</t>
        </is>
      </c>
      <c r="G3280" t="inlineStr">
        <is>
          <t>United Kingdom</t>
        </is>
      </c>
      <c r="H3280" t="inlineStr">
        <is>
          <t>Retail Store</t>
        </is>
      </c>
      <c r="I3280" t="n">
        <v>2</v>
      </c>
      <c r="J3280" s="3" t="n">
        <v>589.0599999999999</v>
      </c>
      <c r="K3280" s="3" t="n">
        <v>58.91</v>
      </c>
      <c r="L3280" s="3" t="n">
        <v>530.15</v>
      </c>
      <c r="M3280" s="3" t="n">
        <v>362.32</v>
      </c>
      <c r="N3280" s="3" t="n">
        <v>167.83</v>
      </c>
      <c r="O3280">
        <f>TEXT(A3280,"yyyy-mm")</f>
        <v/>
      </c>
    </row>
    <row r="3281">
      <c r="A3281" s="2" t="n">
        <v>46038</v>
      </c>
      <c r="B3281" t="n">
        <v>2026</v>
      </c>
      <c r="C3281" t="inlineStr">
        <is>
          <t>January</t>
        </is>
      </c>
      <c r="D3281" t="inlineStr">
        <is>
          <t>Eco Planter</t>
        </is>
      </c>
      <c r="E3281" t="inlineStr">
        <is>
          <t>Home &amp; Garden</t>
        </is>
      </c>
      <c r="F3281" t="inlineStr">
        <is>
          <t>Laura Schmidt</t>
        </is>
      </c>
      <c r="G3281" t="inlineStr">
        <is>
          <t>United States</t>
        </is>
      </c>
      <c r="H3281" t="inlineStr">
        <is>
          <t>Retail Store</t>
        </is>
      </c>
      <c r="I3281" t="n">
        <v>4</v>
      </c>
      <c r="J3281" s="3" t="n">
        <v>722.16</v>
      </c>
      <c r="K3281" s="3" t="n">
        <v>72.22</v>
      </c>
      <c r="L3281" s="3" t="n">
        <v>649.9400000000001</v>
      </c>
      <c r="M3281" s="3" t="n">
        <v>449.64</v>
      </c>
      <c r="N3281" s="3" t="n">
        <v>200.3</v>
      </c>
      <c r="O3281">
        <f>TEXT(A3281,"yyyy-mm")</f>
        <v/>
      </c>
    </row>
    <row r="3282">
      <c r="A3282" s="2" t="n">
        <v>46038</v>
      </c>
      <c r="B3282" t="n">
        <v>2026</v>
      </c>
      <c r="C3282" t="inlineStr">
        <is>
          <t>January</t>
        </is>
      </c>
      <c r="D3282" t="inlineStr">
        <is>
          <t>Smart Charger</t>
        </is>
      </c>
      <c r="E3282" t="inlineStr">
        <is>
          <t>Electronics</t>
        </is>
      </c>
      <c r="F3282" t="inlineStr">
        <is>
          <t>Laura Schmidt</t>
        </is>
      </c>
      <c r="G3282" t="inlineStr">
        <is>
          <t>United States</t>
        </is>
      </c>
      <c r="H3282" t="inlineStr">
        <is>
          <t>Retail Store</t>
        </is>
      </c>
      <c r="I3282" t="n">
        <v>2</v>
      </c>
      <c r="J3282" s="3" t="n">
        <v>81.78</v>
      </c>
      <c r="K3282" s="3" t="n">
        <v>4.09</v>
      </c>
      <c r="L3282" s="3" t="n">
        <v>77.69</v>
      </c>
      <c r="M3282" s="3" t="n">
        <v>55.28</v>
      </c>
      <c r="N3282" s="3" t="n">
        <v>22.41</v>
      </c>
      <c r="O3282">
        <f>TEXT(A3282,"yyyy-mm")</f>
        <v/>
      </c>
    </row>
    <row r="3283">
      <c r="A3283" s="2" t="n">
        <v>46039</v>
      </c>
      <c r="B3283" t="n">
        <v>2026</v>
      </c>
      <c r="C3283" t="inlineStr">
        <is>
          <t>January</t>
        </is>
      </c>
      <c r="D3283" t="inlineStr">
        <is>
          <t>Premium Water Bottle</t>
        </is>
      </c>
      <c r="E3283" t="inlineStr">
        <is>
          <t>Sports &amp; Outdoors</t>
        </is>
      </c>
      <c r="F3283" t="inlineStr">
        <is>
          <t>Robert Wilson</t>
        </is>
      </c>
      <c r="G3283" t="inlineStr">
        <is>
          <t>Germany</t>
        </is>
      </c>
      <c r="H3283" t="inlineStr">
        <is>
          <t>Retail Store</t>
        </is>
      </c>
      <c r="I3283" t="n">
        <v>3</v>
      </c>
      <c r="J3283" s="3" t="n">
        <v>952.89</v>
      </c>
      <c r="K3283" s="3" t="n">
        <v>0</v>
      </c>
      <c r="L3283" s="3" t="n">
        <v>952.89</v>
      </c>
      <c r="M3283" s="3" t="n">
        <v>543.48</v>
      </c>
      <c r="N3283" s="3" t="n">
        <v>409.41</v>
      </c>
      <c r="O3283">
        <f>TEXT(A3283,"yyyy-mm")</f>
        <v/>
      </c>
    </row>
    <row r="3284">
      <c r="A3284" s="2" t="n">
        <v>46039</v>
      </c>
      <c r="B3284" t="n">
        <v>2026</v>
      </c>
      <c r="C3284" t="inlineStr">
        <is>
          <t>January</t>
        </is>
      </c>
      <c r="D3284" t="inlineStr">
        <is>
          <t>Eco Backpack</t>
        </is>
      </c>
      <c r="E3284" t="inlineStr">
        <is>
          <t>Sports &amp; Outdoors</t>
        </is>
      </c>
      <c r="F3284" t="inlineStr">
        <is>
          <t>Maria Wilson</t>
        </is>
      </c>
      <c r="G3284" t="inlineStr">
        <is>
          <t>Poland</t>
        </is>
      </c>
      <c r="H3284" t="inlineStr">
        <is>
          <t>Retail Store</t>
        </is>
      </c>
      <c r="I3284" t="n">
        <v>3</v>
      </c>
      <c r="J3284" s="3" t="n">
        <v>767.1</v>
      </c>
      <c r="K3284" s="3" t="n">
        <v>76.70999999999999</v>
      </c>
      <c r="L3284" s="3" t="n">
        <v>690.39</v>
      </c>
      <c r="M3284" s="3" t="n">
        <v>439.74</v>
      </c>
      <c r="N3284" s="3" t="n">
        <v>250.65</v>
      </c>
      <c r="O3284">
        <f>TEXT(A3284,"yyyy-mm")</f>
        <v/>
      </c>
    </row>
    <row r="3285">
      <c r="A3285" s="2" t="n">
        <v>46039</v>
      </c>
      <c r="B3285" t="n">
        <v>2026</v>
      </c>
      <c r="C3285" t="inlineStr">
        <is>
          <t>January</t>
        </is>
      </c>
      <c r="D3285" t="inlineStr">
        <is>
          <t>Eco Tent</t>
        </is>
      </c>
      <c r="E3285" t="inlineStr">
        <is>
          <t>Sports &amp; Outdoors</t>
        </is>
      </c>
      <c r="F3285" t="inlineStr">
        <is>
          <t>Maria Wilson</t>
        </is>
      </c>
      <c r="G3285" t="inlineStr">
        <is>
          <t>Poland</t>
        </is>
      </c>
      <c r="H3285" t="inlineStr">
        <is>
          <t>Retail Store</t>
        </is>
      </c>
      <c r="I3285" t="n">
        <v>5</v>
      </c>
      <c r="J3285" s="3" t="n">
        <v>1302.8</v>
      </c>
      <c r="K3285" s="3" t="n">
        <v>0</v>
      </c>
      <c r="L3285" s="3" t="n">
        <v>1302.8</v>
      </c>
      <c r="M3285" s="3" t="n">
        <v>675.15</v>
      </c>
      <c r="N3285" s="3" t="n">
        <v>627.65</v>
      </c>
      <c r="O3285">
        <f>TEXT(A3285,"yyyy-mm")</f>
        <v/>
      </c>
    </row>
    <row r="3286">
      <c r="A3286" s="2" t="n">
        <v>46040</v>
      </c>
      <c r="B3286" t="n">
        <v>2026</v>
      </c>
      <c r="C3286" t="inlineStr">
        <is>
          <t>January</t>
        </is>
      </c>
      <c r="D3286" t="inlineStr">
        <is>
          <t>Essential Toolset</t>
        </is>
      </c>
      <c r="E3286" t="inlineStr">
        <is>
          <t>Home &amp; Garden</t>
        </is>
      </c>
      <c r="F3286" t="inlineStr">
        <is>
          <t>Julia Zielinski</t>
        </is>
      </c>
      <c r="G3286" t="inlineStr">
        <is>
          <t>Netherlands</t>
        </is>
      </c>
      <c r="H3286" t="inlineStr">
        <is>
          <t>Mobile App</t>
        </is>
      </c>
      <c r="I3286" t="n">
        <v>1</v>
      </c>
      <c r="J3286" s="3" t="n">
        <v>208.16</v>
      </c>
      <c r="K3286" s="3" t="n">
        <v>20.82</v>
      </c>
      <c r="L3286" s="3" t="n">
        <v>187.34</v>
      </c>
      <c r="M3286" s="3" t="n">
        <v>150.53</v>
      </c>
      <c r="N3286" s="3" t="n">
        <v>36.81</v>
      </c>
      <c r="O3286">
        <f>TEXT(A3286,"yyyy-mm")</f>
        <v/>
      </c>
    </row>
    <row r="3287">
      <c r="A3287" s="2" t="n">
        <v>46040</v>
      </c>
      <c r="B3287" t="n">
        <v>2026</v>
      </c>
      <c r="C3287" t="inlineStr">
        <is>
          <t>January</t>
        </is>
      </c>
      <c r="D3287" t="inlineStr">
        <is>
          <t>Classic Tea Set</t>
        </is>
      </c>
      <c r="E3287" t="inlineStr">
        <is>
          <t>Grocery</t>
        </is>
      </c>
      <c r="F3287" t="inlineStr">
        <is>
          <t>Julia Zielinski</t>
        </is>
      </c>
      <c r="G3287" t="inlineStr">
        <is>
          <t>Netherlands</t>
        </is>
      </c>
      <c r="H3287" t="inlineStr">
        <is>
          <t>Mobile App</t>
        </is>
      </c>
      <c r="I3287" t="n">
        <v>4</v>
      </c>
      <c r="J3287" s="3" t="n">
        <v>715.72</v>
      </c>
      <c r="K3287" s="3" t="n">
        <v>0</v>
      </c>
      <c r="L3287" s="3" t="n">
        <v>715.72</v>
      </c>
      <c r="M3287" s="3" t="n">
        <v>501.6</v>
      </c>
      <c r="N3287" s="3" t="n">
        <v>214.12</v>
      </c>
      <c r="O3287">
        <f>TEXT(A3287,"yyyy-mm")</f>
        <v/>
      </c>
    </row>
    <row r="3288">
      <c r="A3288" s="2" t="n">
        <v>46040</v>
      </c>
      <c r="B3288" t="n">
        <v>2026</v>
      </c>
      <c r="C3288" t="inlineStr">
        <is>
          <t>January</t>
        </is>
      </c>
      <c r="D3288" t="inlineStr">
        <is>
          <t>Portable Toolset</t>
        </is>
      </c>
      <c r="E3288" t="inlineStr">
        <is>
          <t>Home &amp; Garden</t>
        </is>
      </c>
      <c r="F3288" t="inlineStr">
        <is>
          <t>Julia Zielinski</t>
        </is>
      </c>
      <c r="G3288" t="inlineStr">
        <is>
          <t>Netherlands</t>
        </is>
      </c>
      <c r="H3288" t="inlineStr">
        <is>
          <t>Mobile App</t>
        </is>
      </c>
      <c r="I3288" t="n">
        <v>1</v>
      </c>
      <c r="J3288" s="3" t="n">
        <v>88.86</v>
      </c>
      <c r="K3288" s="3" t="n">
        <v>17.77</v>
      </c>
      <c r="L3288" s="3" t="n">
        <v>71.09</v>
      </c>
      <c r="M3288" s="3" t="n">
        <v>50.54</v>
      </c>
      <c r="N3288" s="3" t="n">
        <v>20.55</v>
      </c>
      <c r="O3288">
        <f>TEXT(A3288,"yyyy-mm")</f>
        <v/>
      </c>
    </row>
    <row r="3289">
      <c r="A3289" s="2" t="n">
        <v>46040</v>
      </c>
      <c r="B3289" t="n">
        <v>2026</v>
      </c>
      <c r="C3289" t="inlineStr">
        <is>
          <t>January</t>
        </is>
      </c>
      <c r="D3289" t="inlineStr">
        <is>
          <t>Deluxe Headphones</t>
        </is>
      </c>
      <c r="E3289" t="inlineStr">
        <is>
          <t>Electronics</t>
        </is>
      </c>
      <c r="F3289" t="inlineStr">
        <is>
          <t>David Wojcik</t>
        </is>
      </c>
      <c r="G3289" t="inlineStr">
        <is>
          <t>Germany</t>
        </is>
      </c>
      <c r="H3289" t="inlineStr">
        <is>
          <t>Retail Store</t>
        </is>
      </c>
      <c r="I3289" t="n">
        <v>2</v>
      </c>
      <c r="J3289" s="3" t="n">
        <v>146.54</v>
      </c>
      <c r="K3289" s="3" t="n">
        <v>0</v>
      </c>
      <c r="L3289" s="3" t="n">
        <v>146.54</v>
      </c>
      <c r="M3289" s="3" t="n">
        <v>105</v>
      </c>
      <c r="N3289" s="3" t="n">
        <v>41.54</v>
      </c>
      <c r="O3289">
        <f>TEXT(A3289,"yyyy-mm")</f>
        <v/>
      </c>
    </row>
    <row r="3290">
      <c r="A3290" s="2" t="n">
        <v>46040</v>
      </c>
      <c r="B3290" t="n">
        <v>2026</v>
      </c>
      <c r="C3290" t="inlineStr">
        <is>
          <t>January</t>
        </is>
      </c>
      <c r="D3290" t="inlineStr">
        <is>
          <t>Essential Pasta</t>
        </is>
      </c>
      <c r="E3290" t="inlineStr">
        <is>
          <t>Grocery</t>
        </is>
      </c>
      <c r="F3290" t="inlineStr">
        <is>
          <t>David Wojcik</t>
        </is>
      </c>
      <c r="G3290" t="inlineStr">
        <is>
          <t>Germany</t>
        </is>
      </c>
      <c r="H3290" t="inlineStr">
        <is>
          <t>Retail Store</t>
        </is>
      </c>
      <c r="I3290" t="n">
        <v>2</v>
      </c>
      <c r="J3290" s="3" t="n">
        <v>112.54</v>
      </c>
      <c r="K3290" s="3" t="n">
        <v>5.63</v>
      </c>
      <c r="L3290" s="3" t="n">
        <v>106.91</v>
      </c>
      <c r="M3290" s="3" t="n">
        <v>71.62</v>
      </c>
      <c r="N3290" s="3" t="n">
        <v>35.29</v>
      </c>
      <c r="O3290">
        <f>TEXT(A3290,"yyyy-mm")</f>
        <v/>
      </c>
    </row>
    <row r="3291">
      <c r="A3291" s="2" t="n">
        <v>46040</v>
      </c>
      <c r="B3291" t="n">
        <v>2026</v>
      </c>
      <c r="C3291" t="inlineStr">
        <is>
          <t>January</t>
        </is>
      </c>
      <c r="D3291" t="inlineStr">
        <is>
          <t>Smart Face Cream</t>
        </is>
      </c>
      <c r="E3291" t="inlineStr">
        <is>
          <t>Beauty &amp; Health</t>
        </is>
      </c>
      <c r="F3291" t="inlineStr">
        <is>
          <t>Thomas Conti</t>
        </is>
      </c>
      <c r="G3291" t="inlineStr">
        <is>
          <t>United States</t>
        </is>
      </c>
      <c r="H3291" t="inlineStr">
        <is>
          <t>Marketplace</t>
        </is>
      </c>
      <c r="I3291" t="n">
        <v>1</v>
      </c>
      <c r="J3291" s="3" t="n">
        <v>273.78</v>
      </c>
      <c r="K3291" s="3" t="n">
        <v>0</v>
      </c>
      <c r="L3291" s="3" t="n">
        <v>273.78</v>
      </c>
      <c r="M3291" s="3" t="n">
        <v>193.14</v>
      </c>
      <c r="N3291" s="3" t="n">
        <v>80.64</v>
      </c>
      <c r="O3291">
        <f>TEXT(A3291,"yyyy-mm")</f>
        <v/>
      </c>
    </row>
    <row r="3292">
      <c r="A3292" s="2" t="n">
        <v>46040</v>
      </c>
      <c r="B3292" t="n">
        <v>2026</v>
      </c>
      <c r="C3292" t="inlineStr">
        <is>
          <t>January</t>
        </is>
      </c>
      <c r="D3292" t="inlineStr">
        <is>
          <t>Eco Biography</t>
        </is>
      </c>
      <c r="E3292" t="inlineStr">
        <is>
          <t>Books</t>
        </is>
      </c>
      <c r="F3292" t="inlineStr">
        <is>
          <t>Thomas Conti</t>
        </is>
      </c>
      <c r="G3292" t="inlineStr">
        <is>
          <t>United States</t>
        </is>
      </c>
      <c r="H3292" t="inlineStr">
        <is>
          <t>Marketplace</t>
        </is>
      </c>
      <c r="I3292" t="n">
        <v>2</v>
      </c>
      <c r="J3292" s="3" t="n">
        <v>243.04</v>
      </c>
      <c r="K3292" s="3" t="n">
        <v>12.15</v>
      </c>
      <c r="L3292" s="3" t="n">
        <v>230.89</v>
      </c>
      <c r="M3292" s="3" t="n">
        <v>142.04</v>
      </c>
      <c r="N3292" s="3" t="n">
        <v>88.84999999999999</v>
      </c>
      <c r="O3292">
        <f>TEXT(A3292,"yyyy-mm")</f>
        <v/>
      </c>
    </row>
    <row r="3293">
      <c r="A3293" s="2" t="n">
        <v>46040</v>
      </c>
      <c r="B3293" t="n">
        <v>2026</v>
      </c>
      <c r="C3293" t="inlineStr">
        <is>
          <t>January</t>
        </is>
      </c>
      <c r="D3293" t="inlineStr">
        <is>
          <t>Deluxe Cookbook</t>
        </is>
      </c>
      <c r="E3293" t="inlineStr">
        <is>
          <t>Books</t>
        </is>
      </c>
      <c r="F3293" t="inlineStr">
        <is>
          <t>Thomas Conti</t>
        </is>
      </c>
      <c r="G3293" t="inlineStr">
        <is>
          <t>United States</t>
        </is>
      </c>
      <c r="H3293" t="inlineStr">
        <is>
          <t>Marketplace</t>
        </is>
      </c>
      <c r="I3293" t="n">
        <v>5</v>
      </c>
      <c r="J3293" s="3" t="n">
        <v>707</v>
      </c>
      <c r="K3293" s="3" t="n">
        <v>35.35</v>
      </c>
      <c r="L3293" s="3" t="n">
        <v>671.65</v>
      </c>
      <c r="M3293" s="3" t="n">
        <v>426.35</v>
      </c>
      <c r="N3293" s="3" t="n">
        <v>245.3</v>
      </c>
      <c r="O3293">
        <f>TEXT(A3293,"yyyy-mm")</f>
        <v/>
      </c>
    </row>
    <row r="3294">
      <c r="A3294" s="2" t="n">
        <v>46040</v>
      </c>
      <c r="B3294" t="n">
        <v>2026</v>
      </c>
      <c r="C3294" t="inlineStr">
        <is>
          <t>January</t>
        </is>
      </c>
      <c r="D3294" t="inlineStr">
        <is>
          <t>Essential Vitamins</t>
        </is>
      </c>
      <c r="E3294" t="inlineStr">
        <is>
          <t>Beauty &amp; Health</t>
        </is>
      </c>
      <c r="F3294" t="inlineStr">
        <is>
          <t>Julia Nowak</t>
        </is>
      </c>
      <c r="G3294" t="inlineStr">
        <is>
          <t>Germany</t>
        </is>
      </c>
      <c r="H3294" t="inlineStr">
        <is>
          <t>Mobile App</t>
        </is>
      </c>
      <c r="I3294" t="n">
        <v>5</v>
      </c>
      <c r="J3294" s="3" t="n">
        <v>901.6</v>
      </c>
      <c r="K3294" s="3" t="n">
        <v>45.08</v>
      </c>
      <c r="L3294" s="3" t="n">
        <v>856.52</v>
      </c>
      <c r="M3294" s="3" t="n">
        <v>551.5</v>
      </c>
      <c r="N3294" s="3" t="n">
        <v>305.02</v>
      </c>
      <c r="O3294">
        <f>TEXT(A3294,"yyyy-mm")</f>
        <v/>
      </c>
    </row>
    <row r="3295">
      <c r="A3295" s="2" t="n">
        <v>46040</v>
      </c>
      <c r="B3295" t="n">
        <v>2026</v>
      </c>
      <c r="C3295" t="inlineStr">
        <is>
          <t>January</t>
        </is>
      </c>
      <c r="D3295" t="inlineStr">
        <is>
          <t>Smart Camera</t>
        </is>
      </c>
      <c r="E3295" t="inlineStr">
        <is>
          <t>Electronics</t>
        </is>
      </c>
      <c r="F3295" t="inlineStr">
        <is>
          <t>Julia Nowak</t>
        </is>
      </c>
      <c r="G3295" t="inlineStr">
        <is>
          <t>Germany</t>
        </is>
      </c>
      <c r="H3295" t="inlineStr">
        <is>
          <t>Mobile App</t>
        </is>
      </c>
      <c r="I3295" t="n">
        <v>3</v>
      </c>
      <c r="J3295" s="3" t="n">
        <v>970.29</v>
      </c>
      <c r="K3295" s="3" t="n">
        <v>48.51</v>
      </c>
      <c r="L3295" s="3" t="n">
        <v>921.78</v>
      </c>
      <c r="M3295" s="3" t="n">
        <v>502.2</v>
      </c>
      <c r="N3295" s="3" t="n">
        <v>419.58</v>
      </c>
      <c r="O3295">
        <f>TEXT(A3295,"yyyy-mm")</f>
        <v/>
      </c>
    </row>
    <row r="3296">
      <c r="A3296" s="2" t="n">
        <v>46040</v>
      </c>
      <c r="B3296" t="n">
        <v>2026</v>
      </c>
      <c r="C3296" t="inlineStr">
        <is>
          <t>January</t>
        </is>
      </c>
      <c r="D3296" t="inlineStr">
        <is>
          <t>Compact Sunscreen</t>
        </is>
      </c>
      <c r="E3296" t="inlineStr">
        <is>
          <t>Beauty &amp; Health</t>
        </is>
      </c>
      <c r="F3296" t="inlineStr">
        <is>
          <t>Julia Nowak</t>
        </is>
      </c>
      <c r="G3296" t="inlineStr">
        <is>
          <t>Germany</t>
        </is>
      </c>
      <c r="H3296" t="inlineStr">
        <is>
          <t>Mobile App</t>
        </is>
      </c>
      <c r="I3296" t="n">
        <v>4</v>
      </c>
      <c r="J3296" s="3" t="n">
        <v>1161.28</v>
      </c>
      <c r="K3296" s="3" t="n">
        <v>116.13</v>
      </c>
      <c r="L3296" s="3" t="n">
        <v>1045.15</v>
      </c>
      <c r="M3296" s="3" t="n">
        <v>710.64</v>
      </c>
      <c r="N3296" s="3" t="n">
        <v>334.51</v>
      </c>
      <c r="O3296">
        <f>TEXT(A3296,"yyyy-mm")</f>
        <v/>
      </c>
    </row>
    <row r="3297">
      <c r="A3297" s="2" t="n">
        <v>46041</v>
      </c>
      <c r="B3297" t="n">
        <v>2026</v>
      </c>
      <c r="C3297" t="inlineStr">
        <is>
          <t>January</t>
        </is>
      </c>
      <c r="D3297" t="inlineStr">
        <is>
          <t>Eco Biography</t>
        </is>
      </c>
      <c r="E3297" t="inlineStr">
        <is>
          <t>Books</t>
        </is>
      </c>
      <c r="F3297" t="inlineStr">
        <is>
          <t>Olivia Kowalski</t>
        </is>
      </c>
      <c r="G3297" t="inlineStr">
        <is>
          <t>Poland</t>
        </is>
      </c>
      <c r="H3297" t="inlineStr">
        <is>
          <t>Retail Store</t>
        </is>
      </c>
      <c r="I3297" t="n">
        <v>2</v>
      </c>
      <c r="J3297" s="3" t="n">
        <v>233.8</v>
      </c>
      <c r="K3297" s="3" t="n">
        <v>11.69</v>
      </c>
      <c r="L3297" s="3" t="n">
        <v>222.11</v>
      </c>
      <c r="M3297" s="3" t="n">
        <v>142.04</v>
      </c>
      <c r="N3297" s="3" t="n">
        <v>80.06999999999999</v>
      </c>
      <c r="O3297">
        <f>TEXT(A3297,"yyyy-mm")</f>
        <v/>
      </c>
    </row>
    <row r="3298">
      <c r="A3298" s="2" t="n">
        <v>46041</v>
      </c>
      <c r="B3298" t="n">
        <v>2026</v>
      </c>
      <c r="C3298" t="inlineStr">
        <is>
          <t>January</t>
        </is>
      </c>
      <c r="D3298" t="inlineStr">
        <is>
          <t>Eco Tent</t>
        </is>
      </c>
      <c r="E3298" t="inlineStr">
        <is>
          <t>Sports &amp; Outdoors</t>
        </is>
      </c>
      <c r="F3298" t="inlineStr">
        <is>
          <t>Olivia Kowalski</t>
        </is>
      </c>
      <c r="G3298" t="inlineStr">
        <is>
          <t>Poland</t>
        </is>
      </c>
      <c r="H3298" t="inlineStr">
        <is>
          <t>Retail Store</t>
        </is>
      </c>
      <c r="I3298" t="n">
        <v>2</v>
      </c>
      <c r="J3298" s="3" t="n">
        <v>138.68</v>
      </c>
      <c r="K3298" s="3" t="n">
        <v>0</v>
      </c>
      <c r="L3298" s="3" t="n">
        <v>138.68</v>
      </c>
      <c r="M3298" s="3" t="n">
        <v>87.7</v>
      </c>
      <c r="N3298" s="3" t="n">
        <v>50.98</v>
      </c>
      <c r="O3298">
        <f>TEXT(A3298,"yyyy-mm")</f>
        <v/>
      </c>
    </row>
    <row r="3299">
      <c r="A3299" s="2" t="n">
        <v>46041</v>
      </c>
      <c r="B3299" t="n">
        <v>2026</v>
      </c>
      <c r="C3299" t="inlineStr">
        <is>
          <t>January</t>
        </is>
      </c>
      <c r="D3299" t="inlineStr">
        <is>
          <t>Deluxe Headphones</t>
        </is>
      </c>
      <c r="E3299" t="inlineStr">
        <is>
          <t>Electronics</t>
        </is>
      </c>
      <c r="F3299" t="inlineStr">
        <is>
          <t>Maria Muller</t>
        </is>
      </c>
      <c r="G3299" t="inlineStr">
        <is>
          <t>Netherlands</t>
        </is>
      </c>
      <c r="H3299" t="inlineStr">
        <is>
          <t>Marketplace</t>
        </is>
      </c>
      <c r="I3299" t="n">
        <v>4</v>
      </c>
      <c r="J3299" s="3" t="n">
        <v>299.04</v>
      </c>
      <c r="K3299" s="3" t="n">
        <v>0</v>
      </c>
      <c r="L3299" s="3" t="n">
        <v>299.04</v>
      </c>
      <c r="M3299" s="3" t="n">
        <v>210</v>
      </c>
      <c r="N3299" s="3" t="n">
        <v>89.04000000000001</v>
      </c>
      <c r="O3299">
        <f>TEXT(A3299,"yyyy-mm")</f>
        <v/>
      </c>
    </row>
    <row r="3300">
      <c r="A3300" s="2" t="n">
        <v>46041</v>
      </c>
      <c r="B3300" t="n">
        <v>2026</v>
      </c>
      <c r="C3300" t="inlineStr">
        <is>
          <t>January</t>
        </is>
      </c>
      <c r="D3300" t="inlineStr">
        <is>
          <t>Wireless Honey</t>
        </is>
      </c>
      <c r="E3300" t="inlineStr">
        <is>
          <t>Grocery</t>
        </is>
      </c>
      <c r="F3300" t="inlineStr">
        <is>
          <t>Maria Muller</t>
        </is>
      </c>
      <c r="G3300" t="inlineStr">
        <is>
          <t>Netherlands</t>
        </is>
      </c>
      <c r="H3300" t="inlineStr">
        <is>
          <t>Marketplace</t>
        </is>
      </c>
      <c r="I3300" t="n">
        <v>3</v>
      </c>
      <c r="J3300" s="3" t="n">
        <v>390.57</v>
      </c>
      <c r="K3300" s="3" t="n">
        <v>78.11</v>
      </c>
      <c r="L3300" s="3" t="n">
        <v>312.46</v>
      </c>
      <c r="M3300" s="3" t="n">
        <v>282.21</v>
      </c>
      <c r="N3300" s="3" t="n">
        <v>30.25</v>
      </c>
      <c r="O3300">
        <f>TEXT(A3300,"yyyy-mm")</f>
        <v/>
      </c>
    </row>
    <row r="3301">
      <c r="A3301" s="2" t="n">
        <v>46041</v>
      </c>
      <c r="B3301" t="n">
        <v>2026</v>
      </c>
      <c r="C3301" t="inlineStr">
        <is>
          <t>January</t>
        </is>
      </c>
      <c r="D3301" t="inlineStr">
        <is>
          <t>Ultra Backpack</t>
        </is>
      </c>
      <c r="E3301" t="inlineStr">
        <is>
          <t>Sports &amp; Outdoors</t>
        </is>
      </c>
      <c r="F3301" t="inlineStr">
        <is>
          <t>Maria Muller</t>
        </is>
      </c>
      <c r="G3301" t="inlineStr">
        <is>
          <t>Netherlands</t>
        </is>
      </c>
      <c r="H3301" t="inlineStr">
        <is>
          <t>Marketplace</t>
        </is>
      </c>
      <c r="I3301" t="n">
        <v>5</v>
      </c>
      <c r="J3301" s="3" t="n">
        <v>1521.35</v>
      </c>
      <c r="K3301" s="3" t="n">
        <v>304.27</v>
      </c>
      <c r="L3301" s="3" t="n">
        <v>1217.08</v>
      </c>
      <c r="M3301" s="3" t="n">
        <v>868.45</v>
      </c>
      <c r="N3301" s="3" t="n">
        <v>348.63</v>
      </c>
      <c r="O3301">
        <f>TEXT(A3301,"yyyy-mm")</f>
        <v/>
      </c>
    </row>
    <row r="3302">
      <c r="A3302" s="2" t="n">
        <v>46042</v>
      </c>
      <c r="B3302" t="n">
        <v>2026</v>
      </c>
      <c r="C3302" t="inlineStr">
        <is>
          <t>January</t>
        </is>
      </c>
      <c r="D3302" t="inlineStr">
        <is>
          <t>Eco Tent</t>
        </is>
      </c>
      <c r="E3302" t="inlineStr">
        <is>
          <t>Sports &amp; Outdoors</t>
        </is>
      </c>
      <c r="F3302" t="inlineStr">
        <is>
          <t>David Nowak</t>
        </is>
      </c>
      <c r="G3302" t="inlineStr">
        <is>
          <t>Germany</t>
        </is>
      </c>
      <c r="H3302" t="inlineStr">
        <is>
          <t>Mobile App</t>
        </is>
      </c>
      <c r="I3302" t="n">
        <v>2</v>
      </c>
      <c r="J3302" s="3" t="n">
        <v>128.04</v>
      </c>
      <c r="K3302" s="3" t="n">
        <v>19.21</v>
      </c>
      <c r="L3302" s="3" t="n">
        <v>108.83</v>
      </c>
      <c r="M3302" s="3" t="n">
        <v>87.7</v>
      </c>
      <c r="N3302" s="3" t="n">
        <v>21.13</v>
      </c>
      <c r="O3302">
        <f>TEXT(A3302,"yyyy-mm")</f>
        <v/>
      </c>
    </row>
    <row r="3303">
      <c r="A3303" s="2" t="n">
        <v>46042</v>
      </c>
      <c r="B3303" t="n">
        <v>2026</v>
      </c>
      <c r="C3303" t="inlineStr">
        <is>
          <t>January</t>
        </is>
      </c>
      <c r="D3303" t="inlineStr">
        <is>
          <t>Portable Speaker</t>
        </is>
      </c>
      <c r="E3303" t="inlineStr">
        <is>
          <t>Electronics</t>
        </is>
      </c>
      <c r="F3303" t="inlineStr">
        <is>
          <t>David Nowak</t>
        </is>
      </c>
      <c r="G3303" t="inlineStr">
        <is>
          <t>Germany</t>
        </is>
      </c>
      <c r="H3303" t="inlineStr">
        <is>
          <t>Mobile App</t>
        </is>
      </c>
      <c r="I3303" t="n">
        <v>5</v>
      </c>
      <c r="J3303" s="3" t="n">
        <v>1661.4</v>
      </c>
      <c r="K3303" s="3" t="n">
        <v>332.28</v>
      </c>
      <c r="L3303" s="3" t="n">
        <v>1329.12</v>
      </c>
      <c r="M3303" s="3" t="n">
        <v>874.15</v>
      </c>
      <c r="N3303" s="3" t="n">
        <v>454.97</v>
      </c>
      <c r="O3303">
        <f>TEXT(A3303,"yyyy-mm")</f>
        <v/>
      </c>
    </row>
    <row r="3304">
      <c r="A3304" s="2" t="n">
        <v>46042</v>
      </c>
      <c r="B3304" t="n">
        <v>2026</v>
      </c>
      <c r="C3304" t="inlineStr">
        <is>
          <t>January</t>
        </is>
      </c>
      <c r="D3304" t="inlineStr">
        <is>
          <t>Premium Water Bottle</t>
        </is>
      </c>
      <c r="E3304" t="inlineStr">
        <is>
          <t>Sports &amp; Outdoors</t>
        </is>
      </c>
      <c r="F3304" t="inlineStr">
        <is>
          <t>David Nowak</t>
        </is>
      </c>
      <c r="G3304" t="inlineStr">
        <is>
          <t>Germany</t>
        </is>
      </c>
      <c r="H3304" t="inlineStr">
        <is>
          <t>Mobile App</t>
        </is>
      </c>
      <c r="I3304" t="n">
        <v>1</v>
      </c>
      <c r="J3304" s="3" t="n">
        <v>118.98</v>
      </c>
      <c r="K3304" s="3" t="n">
        <v>0</v>
      </c>
      <c r="L3304" s="3" t="n">
        <v>118.98</v>
      </c>
      <c r="M3304" s="3" t="n">
        <v>89.62</v>
      </c>
      <c r="N3304" s="3" t="n">
        <v>29.36</v>
      </c>
      <c r="O3304">
        <f>TEXT(A3304,"yyyy-mm")</f>
        <v/>
      </c>
    </row>
    <row r="3305">
      <c r="A3305" s="2" t="n">
        <v>46042</v>
      </c>
      <c r="B3305" t="n">
        <v>2026</v>
      </c>
      <c r="C3305" t="inlineStr">
        <is>
          <t>January</t>
        </is>
      </c>
      <c r="D3305" t="inlineStr">
        <is>
          <t>Wireless Cookbook</t>
        </is>
      </c>
      <c r="E3305" t="inlineStr">
        <is>
          <t>Books</t>
        </is>
      </c>
      <c r="F3305" t="inlineStr">
        <is>
          <t>Peter Garcia</t>
        </is>
      </c>
      <c r="G3305" t="inlineStr">
        <is>
          <t>Poland</t>
        </is>
      </c>
      <c r="H3305" t="inlineStr">
        <is>
          <t>Mobile App</t>
        </is>
      </c>
      <c r="I3305" t="n">
        <v>1</v>
      </c>
      <c r="J3305" s="3" t="n">
        <v>74.31999999999999</v>
      </c>
      <c r="K3305" s="3" t="n">
        <v>14.86</v>
      </c>
      <c r="L3305" s="3" t="n">
        <v>59.46</v>
      </c>
      <c r="M3305" s="3" t="n">
        <v>56.61</v>
      </c>
      <c r="N3305" s="3" t="n">
        <v>2.85</v>
      </c>
      <c r="O3305">
        <f>TEXT(A3305,"yyyy-mm")</f>
        <v/>
      </c>
    </row>
    <row r="3306">
      <c r="A3306" s="2" t="n">
        <v>46042</v>
      </c>
      <c r="B3306" t="n">
        <v>2026</v>
      </c>
      <c r="C3306" t="inlineStr">
        <is>
          <t>January</t>
        </is>
      </c>
      <c r="D3306" t="inlineStr">
        <is>
          <t>Eco Biography</t>
        </is>
      </c>
      <c r="E3306" t="inlineStr">
        <is>
          <t>Books</t>
        </is>
      </c>
      <c r="F3306" t="inlineStr">
        <is>
          <t>Peter Garcia</t>
        </is>
      </c>
      <c r="G3306" t="inlineStr">
        <is>
          <t>Poland</t>
        </is>
      </c>
      <c r="H3306" t="inlineStr">
        <is>
          <t>Mobile App</t>
        </is>
      </c>
      <c r="I3306" t="n">
        <v>4</v>
      </c>
      <c r="J3306" s="3" t="n">
        <v>468</v>
      </c>
      <c r="K3306" s="3" t="n">
        <v>23.4</v>
      </c>
      <c r="L3306" s="3" t="n">
        <v>444.6</v>
      </c>
      <c r="M3306" s="3" t="n">
        <v>284.08</v>
      </c>
      <c r="N3306" s="3" t="n">
        <v>160.52</v>
      </c>
      <c r="O3306">
        <f>TEXT(A3306,"yyyy-mm")</f>
        <v/>
      </c>
    </row>
    <row r="3307">
      <c r="A3307" s="2" t="n">
        <v>46042</v>
      </c>
      <c r="B3307" t="n">
        <v>2026</v>
      </c>
      <c r="C3307" t="inlineStr">
        <is>
          <t>January</t>
        </is>
      </c>
      <c r="D3307" t="inlineStr">
        <is>
          <t>Eco Tent</t>
        </is>
      </c>
      <c r="E3307" t="inlineStr">
        <is>
          <t>Sports &amp; Outdoors</t>
        </is>
      </c>
      <c r="F3307" t="inlineStr">
        <is>
          <t>Peter Garcia</t>
        </is>
      </c>
      <c r="G3307" t="inlineStr">
        <is>
          <t>Poland</t>
        </is>
      </c>
      <c r="H3307" t="inlineStr">
        <is>
          <t>Mobile App</t>
        </is>
      </c>
      <c r="I3307" t="n">
        <v>2</v>
      </c>
      <c r="J3307" s="3" t="n">
        <v>131.7</v>
      </c>
      <c r="K3307" s="3" t="n">
        <v>6.58</v>
      </c>
      <c r="L3307" s="3" t="n">
        <v>125.12</v>
      </c>
      <c r="M3307" s="3" t="n">
        <v>87.7</v>
      </c>
      <c r="N3307" s="3" t="n">
        <v>37.41</v>
      </c>
      <c r="O3307">
        <f>TEXT(A3307,"yyyy-mm")</f>
        <v/>
      </c>
    </row>
    <row r="3308">
      <c r="A3308" s="2" t="n">
        <v>46042</v>
      </c>
      <c r="B3308" t="n">
        <v>2026</v>
      </c>
      <c r="C3308" t="inlineStr">
        <is>
          <t>January</t>
        </is>
      </c>
      <c r="D3308" t="inlineStr">
        <is>
          <t>Ultra Rug</t>
        </is>
      </c>
      <c r="E3308" t="inlineStr">
        <is>
          <t>Home &amp; Garden</t>
        </is>
      </c>
      <c r="F3308" t="inlineStr">
        <is>
          <t>Peter Garcia</t>
        </is>
      </c>
      <c r="G3308" t="inlineStr">
        <is>
          <t>Poland</t>
        </is>
      </c>
      <c r="H3308" t="inlineStr">
        <is>
          <t>Mobile App</t>
        </is>
      </c>
      <c r="I3308" t="n">
        <v>1</v>
      </c>
      <c r="J3308" s="3" t="n">
        <v>51.62</v>
      </c>
      <c r="K3308" s="3" t="n">
        <v>0</v>
      </c>
      <c r="L3308" s="3" t="n">
        <v>51.62</v>
      </c>
      <c r="M3308" s="3" t="n">
        <v>32.91</v>
      </c>
      <c r="N3308" s="3" t="n">
        <v>18.71</v>
      </c>
      <c r="O3308">
        <f>TEXT(A3308,"yyyy-mm")</f>
        <v/>
      </c>
    </row>
    <row r="3309">
      <c r="A3309" s="2" t="n">
        <v>46042</v>
      </c>
      <c r="B3309" t="n">
        <v>2026</v>
      </c>
      <c r="C3309" t="inlineStr">
        <is>
          <t>January</t>
        </is>
      </c>
      <c r="D3309" t="inlineStr">
        <is>
          <t>Smart Camera</t>
        </is>
      </c>
      <c r="E3309" t="inlineStr">
        <is>
          <t>Electronics</t>
        </is>
      </c>
      <c r="F3309" t="inlineStr">
        <is>
          <t>David Wojcik</t>
        </is>
      </c>
      <c r="G3309" t="inlineStr">
        <is>
          <t>Germany</t>
        </is>
      </c>
      <c r="H3309" t="inlineStr">
        <is>
          <t>Marketplace</t>
        </is>
      </c>
      <c r="I3309" t="n">
        <v>2</v>
      </c>
      <c r="J3309" s="3" t="n">
        <v>233.12</v>
      </c>
      <c r="K3309" s="3" t="n">
        <v>11.66</v>
      </c>
      <c r="L3309" s="3" t="n">
        <v>221.46</v>
      </c>
      <c r="M3309" s="3" t="n">
        <v>171.16</v>
      </c>
      <c r="N3309" s="3" t="n">
        <v>50.3</v>
      </c>
      <c r="O3309">
        <f>TEXT(A3309,"yyyy-mm")</f>
        <v/>
      </c>
    </row>
    <row r="3310">
      <c r="A3310" s="2" t="n">
        <v>46043</v>
      </c>
      <c r="B3310" t="n">
        <v>2026</v>
      </c>
      <c r="C3310" t="inlineStr">
        <is>
          <t>January</t>
        </is>
      </c>
      <c r="D3310" t="inlineStr">
        <is>
          <t>Classic Bike Helmet</t>
        </is>
      </c>
      <c r="E3310" t="inlineStr">
        <is>
          <t>Sports &amp; Outdoors</t>
        </is>
      </c>
      <c r="F3310" t="inlineStr">
        <is>
          <t>Emily Moreau</t>
        </is>
      </c>
      <c r="G3310" t="inlineStr">
        <is>
          <t>Germany</t>
        </is>
      </c>
      <c r="H3310" t="inlineStr">
        <is>
          <t>Marketplace</t>
        </is>
      </c>
      <c r="I3310" t="n">
        <v>2</v>
      </c>
      <c r="J3310" s="3" t="n">
        <v>453.64</v>
      </c>
      <c r="K3310" s="3" t="n">
        <v>0</v>
      </c>
      <c r="L3310" s="3" t="n">
        <v>453.64</v>
      </c>
      <c r="M3310" s="3" t="n">
        <v>307.62</v>
      </c>
      <c r="N3310" s="3" t="n">
        <v>146.02</v>
      </c>
      <c r="O3310">
        <f>TEXT(A3310,"yyyy-mm")</f>
        <v/>
      </c>
    </row>
    <row r="3311">
      <c r="A3311" s="2" t="n">
        <v>46043</v>
      </c>
      <c r="B3311" t="n">
        <v>2026</v>
      </c>
      <c r="C3311" t="inlineStr">
        <is>
          <t>January</t>
        </is>
      </c>
      <c r="D3311" t="inlineStr">
        <is>
          <t>Ultra Backpack</t>
        </is>
      </c>
      <c r="E3311" t="inlineStr">
        <is>
          <t>Sports &amp; Outdoors</t>
        </is>
      </c>
      <c r="F3311" t="inlineStr">
        <is>
          <t>Emily Moreau</t>
        </is>
      </c>
      <c r="G3311" t="inlineStr">
        <is>
          <t>Germany</t>
        </is>
      </c>
      <c r="H3311" t="inlineStr">
        <is>
          <t>Marketplace</t>
        </is>
      </c>
      <c r="I3311" t="n">
        <v>2</v>
      </c>
      <c r="J3311" s="3" t="n">
        <v>608.8</v>
      </c>
      <c r="K3311" s="3" t="n">
        <v>30.44</v>
      </c>
      <c r="L3311" s="3" t="n">
        <v>578.36</v>
      </c>
      <c r="M3311" s="3" t="n">
        <v>347.38</v>
      </c>
      <c r="N3311" s="3" t="n">
        <v>230.98</v>
      </c>
      <c r="O3311">
        <f>TEXT(A3311,"yyyy-mm")</f>
        <v/>
      </c>
    </row>
    <row r="3312">
      <c r="A3312" s="2" t="n">
        <v>46043</v>
      </c>
      <c r="B3312" t="n">
        <v>2026</v>
      </c>
      <c r="C3312" t="inlineStr">
        <is>
          <t>January</t>
        </is>
      </c>
      <c r="D3312" t="inlineStr">
        <is>
          <t>Eco Planter</t>
        </is>
      </c>
      <c r="E3312" t="inlineStr">
        <is>
          <t>Home &amp; Garden</t>
        </is>
      </c>
      <c r="F3312" t="inlineStr">
        <is>
          <t>Emily Moreau</t>
        </is>
      </c>
      <c r="G3312" t="inlineStr">
        <is>
          <t>Germany</t>
        </is>
      </c>
      <c r="H3312" t="inlineStr">
        <is>
          <t>Marketplace</t>
        </is>
      </c>
      <c r="I3312" t="n">
        <v>2</v>
      </c>
      <c r="J3312" s="3" t="n">
        <v>349.48</v>
      </c>
      <c r="K3312" s="3" t="n">
        <v>0</v>
      </c>
      <c r="L3312" s="3" t="n">
        <v>349.48</v>
      </c>
      <c r="M3312" s="3" t="n">
        <v>224.82</v>
      </c>
      <c r="N3312" s="3" t="n">
        <v>124.66</v>
      </c>
      <c r="O3312">
        <f>TEXT(A3312,"yyyy-mm")</f>
        <v/>
      </c>
    </row>
    <row r="3313">
      <c r="A3313" s="2" t="n">
        <v>46043</v>
      </c>
      <c r="B3313" t="n">
        <v>2026</v>
      </c>
      <c r="C3313" t="inlineStr">
        <is>
          <t>January</t>
        </is>
      </c>
      <c r="D3313" t="inlineStr">
        <is>
          <t>Portable Puzzle</t>
        </is>
      </c>
      <c r="E3313" t="inlineStr">
        <is>
          <t>Toys &amp; Games</t>
        </is>
      </c>
      <c r="F3313" t="inlineStr">
        <is>
          <t>Emily Moreau</t>
        </is>
      </c>
      <c r="G3313" t="inlineStr">
        <is>
          <t>Germany</t>
        </is>
      </c>
      <c r="H3313" t="inlineStr">
        <is>
          <t>Marketplace</t>
        </is>
      </c>
      <c r="I3313" t="n">
        <v>2</v>
      </c>
      <c r="J3313" s="3" t="n">
        <v>223.8</v>
      </c>
      <c r="K3313" s="3" t="n">
        <v>0</v>
      </c>
      <c r="L3313" s="3" t="n">
        <v>223.8</v>
      </c>
      <c r="M3313" s="3" t="n">
        <v>117.6</v>
      </c>
      <c r="N3313" s="3" t="n">
        <v>106.2</v>
      </c>
      <c r="O3313">
        <f>TEXT(A3313,"yyyy-mm")</f>
        <v/>
      </c>
    </row>
    <row r="3314">
      <c r="A3314" s="2" t="n">
        <v>46043</v>
      </c>
      <c r="B3314" t="n">
        <v>2026</v>
      </c>
      <c r="C3314" t="inlineStr">
        <is>
          <t>January</t>
        </is>
      </c>
      <c r="D3314" t="inlineStr">
        <is>
          <t>Ultra Rug</t>
        </is>
      </c>
      <c r="E3314" t="inlineStr">
        <is>
          <t>Home &amp; Garden</t>
        </is>
      </c>
      <c r="F3314" t="inlineStr">
        <is>
          <t>Olivia Conti</t>
        </is>
      </c>
      <c r="G3314" t="inlineStr">
        <is>
          <t>Poland</t>
        </is>
      </c>
      <c r="H3314" t="inlineStr">
        <is>
          <t>Retail Store</t>
        </is>
      </c>
      <c r="I3314" t="n">
        <v>2</v>
      </c>
      <c r="J3314" s="3" t="n">
        <v>107.18</v>
      </c>
      <c r="K3314" s="3" t="n">
        <v>0</v>
      </c>
      <c r="L3314" s="3" t="n">
        <v>107.18</v>
      </c>
      <c r="M3314" s="3" t="n">
        <v>65.81999999999999</v>
      </c>
      <c r="N3314" s="3" t="n">
        <v>41.36</v>
      </c>
      <c r="O3314">
        <f>TEXT(A3314,"yyyy-mm")</f>
        <v/>
      </c>
    </row>
    <row r="3315">
      <c r="A3315" s="2" t="n">
        <v>46043</v>
      </c>
      <c r="B3315" t="n">
        <v>2026</v>
      </c>
      <c r="C3315" t="inlineStr">
        <is>
          <t>January</t>
        </is>
      </c>
      <c r="D3315" t="inlineStr">
        <is>
          <t>Essential Planter</t>
        </is>
      </c>
      <c r="E3315" t="inlineStr">
        <is>
          <t>Home &amp; Garden</t>
        </is>
      </c>
      <c r="F3315" t="inlineStr">
        <is>
          <t>Olivia Conti</t>
        </is>
      </c>
      <c r="G3315" t="inlineStr">
        <is>
          <t>Poland</t>
        </is>
      </c>
      <c r="H3315" t="inlineStr">
        <is>
          <t>Retail Store</t>
        </is>
      </c>
      <c r="I3315" t="n">
        <v>2</v>
      </c>
      <c r="J3315" s="3" t="n">
        <v>52.14</v>
      </c>
      <c r="K3315" s="3" t="n">
        <v>0</v>
      </c>
      <c r="L3315" s="3" t="n">
        <v>52.14</v>
      </c>
      <c r="M3315" s="3" t="n">
        <v>39.28</v>
      </c>
      <c r="N3315" s="3" t="n">
        <v>12.86</v>
      </c>
      <c r="O3315">
        <f>TEXT(A3315,"yyyy-mm")</f>
        <v/>
      </c>
    </row>
    <row r="3316">
      <c r="A3316" s="2" t="n">
        <v>46043</v>
      </c>
      <c r="B3316" t="n">
        <v>2026</v>
      </c>
      <c r="C3316" t="inlineStr">
        <is>
          <t>January</t>
        </is>
      </c>
      <c r="D3316" t="inlineStr">
        <is>
          <t>Classic Tea Set</t>
        </is>
      </c>
      <c r="E3316" t="inlineStr">
        <is>
          <t>Grocery</t>
        </is>
      </c>
      <c r="F3316" t="inlineStr">
        <is>
          <t>Olivia Conti</t>
        </is>
      </c>
      <c r="G3316" t="inlineStr">
        <is>
          <t>Poland</t>
        </is>
      </c>
      <c r="H3316" t="inlineStr">
        <is>
          <t>Retail Store</t>
        </is>
      </c>
      <c r="I3316" t="n">
        <v>2</v>
      </c>
      <c r="J3316" s="3" t="n">
        <v>374.26</v>
      </c>
      <c r="K3316" s="3" t="n">
        <v>56.14</v>
      </c>
      <c r="L3316" s="3" t="n">
        <v>318.12</v>
      </c>
      <c r="M3316" s="3" t="n">
        <v>250.8</v>
      </c>
      <c r="N3316" s="3" t="n">
        <v>67.31999999999999</v>
      </c>
      <c r="O3316">
        <f>TEXT(A3316,"yyyy-mm")</f>
        <v/>
      </c>
    </row>
    <row r="3317">
      <c r="A3317" s="2" t="n">
        <v>46043</v>
      </c>
      <c r="B3317" t="n">
        <v>2026</v>
      </c>
      <c r="C3317" t="inlineStr">
        <is>
          <t>January</t>
        </is>
      </c>
      <c r="D3317" t="inlineStr">
        <is>
          <t>Smart Puzzle</t>
        </is>
      </c>
      <c r="E3317" t="inlineStr">
        <is>
          <t>Toys &amp; Games</t>
        </is>
      </c>
      <c r="F3317" t="inlineStr">
        <is>
          <t>John Brown</t>
        </is>
      </c>
      <c r="G3317" t="inlineStr">
        <is>
          <t>France</t>
        </is>
      </c>
      <c r="H3317" t="inlineStr">
        <is>
          <t>Web Store</t>
        </is>
      </c>
      <c r="I3317" t="n">
        <v>3</v>
      </c>
      <c r="J3317" s="3" t="n">
        <v>136.17</v>
      </c>
      <c r="K3317" s="3" t="n">
        <v>6.81</v>
      </c>
      <c r="L3317" s="3" t="n">
        <v>129.36</v>
      </c>
      <c r="M3317" s="3" t="n">
        <v>73.31999999999999</v>
      </c>
      <c r="N3317" s="3" t="n">
        <v>56.04</v>
      </c>
      <c r="O3317">
        <f>TEXT(A3317,"yyyy-mm")</f>
        <v/>
      </c>
    </row>
    <row r="3318">
      <c r="A3318" s="2" t="n">
        <v>46043</v>
      </c>
      <c r="B3318" t="n">
        <v>2026</v>
      </c>
      <c r="C3318" t="inlineStr">
        <is>
          <t>January</t>
        </is>
      </c>
      <c r="D3318" t="inlineStr">
        <is>
          <t>Portable Toolset</t>
        </is>
      </c>
      <c r="E3318" t="inlineStr">
        <is>
          <t>Home &amp; Garden</t>
        </is>
      </c>
      <c r="F3318" t="inlineStr">
        <is>
          <t>Maria Dubois</t>
        </is>
      </c>
      <c r="G3318" t="inlineStr">
        <is>
          <t>France</t>
        </is>
      </c>
      <c r="H3318" t="inlineStr">
        <is>
          <t>Web Store</t>
        </is>
      </c>
      <c r="I3318" t="n">
        <v>3</v>
      </c>
      <c r="J3318" s="3" t="n">
        <v>264.75</v>
      </c>
      <c r="K3318" s="3" t="n">
        <v>39.71</v>
      </c>
      <c r="L3318" s="3" t="n">
        <v>225.04</v>
      </c>
      <c r="M3318" s="3" t="n">
        <v>151.62</v>
      </c>
      <c r="N3318" s="3" t="n">
        <v>73.42</v>
      </c>
      <c r="O3318">
        <f>TEXT(A3318,"yyyy-mm")</f>
        <v/>
      </c>
    </row>
    <row r="3319">
      <c r="A3319" s="2" t="n">
        <v>46043</v>
      </c>
      <c r="B3319" t="n">
        <v>2026</v>
      </c>
      <c r="C3319" t="inlineStr">
        <is>
          <t>January</t>
        </is>
      </c>
      <c r="D3319" t="inlineStr">
        <is>
          <t>Compact Sunscreen</t>
        </is>
      </c>
      <c r="E3319" t="inlineStr">
        <is>
          <t>Beauty &amp; Health</t>
        </is>
      </c>
      <c r="F3319" t="inlineStr">
        <is>
          <t>Clara Martin</t>
        </is>
      </c>
      <c r="G3319" t="inlineStr">
        <is>
          <t>United Kingdom</t>
        </is>
      </c>
      <c r="H3319" t="inlineStr">
        <is>
          <t>Marketplace</t>
        </is>
      </c>
      <c r="I3319" t="n">
        <v>5</v>
      </c>
      <c r="J3319" s="3" t="n">
        <v>1484.45</v>
      </c>
      <c r="K3319" s="3" t="n">
        <v>0</v>
      </c>
      <c r="L3319" s="3" t="n">
        <v>1484.45</v>
      </c>
      <c r="M3319" s="3" t="n">
        <v>888.3</v>
      </c>
      <c r="N3319" s="3" t="n">
        <v>596.15</v>
      </c>
      <c r="O3319">
        <f>TEXT(A3319,"yyyy-mm")</f>
        <v/>
      </c>
    </row>
    <row r="3320">
      <c r="A3320" s="2" t="n">
        <v>46043</v>
      </c>
      <c r="B3320" t="n">
        <v>2026</v>
      </c>
      <c r="C3320" t="inlineStr">
        <is>
          <t>January</t>
        </is>
      </c>
      <c r="D3320" t="inlineStr">
        <is>
          <t>Premium Water Bottle</t>
        </is>
      </c>
      <c r="E3320" t="inlineStr">
        <is>
          <t>Sports &amp; Outdoors</t>
        </is>
      </c>
      <c r="F3320" t="inlineStr">
        <is>
          <t>Clara Martin</t>
        </is>
      </c>
      <c r="G3320" t="inlineStr">
        <is>
          <t>United Kingdom</t>
        </is>
      </c>
      <c r="H3320" t="inlineStr">
        <is>
          <t>Marketplace</t>
        </is>
      </c>
      <c r="I3320" t="n">
        <v>1</v>
      </c>
      <c r="J3320" s="3" t="n">
        <v>126.56</v>
      </c>
      <c r="K3320" s="3" t="n">
        <v>0</v>
      </c>
      <c r="L3320" s="3" t="n">
        <v>126.56</v>
      </c>
      <c r="M3320" s="3" t="n">
        <v>89.62</v>
      </c>
      <c r="N3320" s="3" t="n">
        <v>36.94</v>
      </c>
      <c r="O3320">
        <f>TEXT(A3320,"yyyy-mm")</f>
        <v/>
      </c>
    </row>
    <row r="3321">
      <c r="A3321" s="2" t="n">
        <v>46043</v>
      </c>
      <c r="B3321" t="n">
        <v>2026</v>
      </c>
      <c r="C3321" t="inlineStr">
        <is>
          <t>January</t>
        </is>
      </c>
      <c r="D3321" t="inlineStr">
        <is>
          <t>Smart Camera</t>
        </is>
      </c>
      <c r="E3321" t="inlineStr">
        <is>
          <t>Electronics</t>
        </is>
      </c>
      <c r="F3321" t="inlineStr">
        <is>
          <t>John Brown</t>
        </is>
      </c>
      <c r="G3321" t="inlineStr">
        <is>
          <t>France</t>
        </is>
      </c>
      <c r="H3321" t="inlineStr">
        <is>
          <t>Web Store</t>
        </is>
      </c>
      <c r="I3321" t="n">
        <v>2</v>
      </c>
      <c r="J3321" s="3" t="n">
        <v>230.68</v>
      </c>
      <c r="K3321" s="3" t="n">
        <v>0</v>
      </c>
      <c r="L3321" s="3" t="n">
        <v>230.68</v>
      </c>
      <c r="M3321" s="3" t="n">
        <v>171.16</v>
      </c>
      <c r="N3321" s="3" t="n">
        <v>59.52</v>
      </c>
      <c r="O3321">
        <f>TEXT(A3321,"yyyy-mm")</f>
        <v/>
      </c>
    </row>
    <row r="3322">
      <c r="A3322" s="2" t="n">
        <v>46043</v>
      </c>
      <c r="B3322" t="n">
        <v>2026</v>
      </c>
      <c r="C3322" t="inlineStr">
        <is>
          <t>January</t>
        </is>
      </c>
      <c r="D3322" t="inlineStr">
        <is>
          <t>Smart Camera</t>
        </is>
      </c>
      <c r="E3322" t="inlineStr">
        <is>
          <t>Electronics</t>
        </is>
      </c>
      <c r="F3322" t="inlineStr">
        <is>
          <t>Maria Muller</t>
        </is>
      </c>
      <c r="G3322" t="inlineStr">
        <is>
          <t>Netherlands</t>
        </is>
      </c>
      <c r="H3322" t="inlineStr">
        <is>
          <t>Retail Store</t>
        </is>
      </c>
      <c r="I3322" t="n">
        <v>3</v>
      </c>
      <c r="J3322" s="3" t="n">
        <v>970.14</v>
      </c>
      <c r="K3322" s="3" t="n">
        <v>97.01000000000001</v>
      </c>
      <c r="L3322" s="3" t="n">
        <v>873.13</v>
      </c>
      <c r="M3322" s="3" t="n">
        <v>502.2</v>
      </c>
      <c r="N3322" s="3" t="n">
        <v>370.93</v>
      </c>
      <c r="O3322">
        <f>TEXT(A3322,"yyyy-mm")</f>
        <v/>
      </c>
    </row>
    <row r="3323">
      <c r="A3323" s="2" t="n">
        <v>46043</v>
      </c>
      <c r="B3323" t="n">
        <v>2026</v>
      </c>
      <c r="C3323" t="inlineStr">
        <is>
          <t>January</t>
        </is>
      </c>
      <c r="D3323" t="inlineStr">
        <is>
          <t>Deluxe Headphones</t>
        </is>
      </c>
      <c r="E3323" t="inlineStr">
        <is>
          <t>Electronics</t>
        </is>
      </c>
      <c r="F3323" t="inlineStr">
        <is>
          <t>Clara Martin</t>
        </is>
      </c>
      <c r="G3323" t="inlineStr">
        <is>
          <t>United Kingdom</t>
        </is>
      </c>
      <c r="H3323" t="inlineStr">
        <is>
          <t>Marketplace</t>
        </is>
      </c>
      <c r="I3323" t="n">
        <v>2</v>
      </c>
      <c r="J3323" s="3" t="n">
        <v>147.16</v>
      </c>
      <c r="K3323" s="3" t="n">
        <v>7.36</v>
      </c>
      <c r="L3323" s="3" t="n">
        <v>139.8</v>
      </c>
      <c r="M3323" s="3" t="n">
        <v>105</v>
      </c>
      <c r="N3323" s="3" t="n">
        <v>34.8</v>
      </c>
      <c r="O3323">
        <f>TEXT(A3323,"yyyy-mm")</f>
        <v/>
      </c>
    </row>
    <row r="3324">
      <c r="A3324" s="2" t="n">
        <v>46044</v>
      </c>
      <c r="B3324" t="n">
        <v>2026</v>
      </c>
      <c r="C3324" t="inlineStr">
        <is>
          <t>January</t>
        </is>
      </c>
      <c r="D3324" t="inlineStr">
        <is>
          <t>Portable Tea Set</t>
        </is>
      </c>
      <c r="E3324" t="inlineStr">
        <is>
          <t>Grocery</t>
        </is>
      </c>
      <c r="F3324" t="inlineStr">
        <is>
          <t>Sophie Weber</t>
        </is>
      </c>
      <c r="G3324" t="inlineStr">
        <is>
          <t>Germany</t>
        </is>
      </c>
      <c r="H3324" t="inlineStr">
        <is>
          <t>Web Store</t>
        </is>
      </c>
      <c r="I3324" t="n">
        <v>1</v>
      </c>
      <c r="J3324" s="3" t="n">
        <v>263.57</v>
      </c>
      <c r="K3324" s="3" t="n">
        <v>13.18</v>
      </c>
      <c r="L3324" s="3" t="n">
        <v>250.39</v>
      </c>
      <c r="M3324" s="3" t="n">
        <v>188.12</v>
      </c>
      <c r="N3324" s="3" t="n">
        <v>62.27</v>
      </c>
      <c r="O3324">
        <f>TEXT(A3324,"yyyy-mm")</f>
        <v/>
      </c>
    </row>
    <row r="3325">
      <c r="A3325" s="2" t="n">
        <v>46044</v>
      </c>
      <c r="B3325" t="n">
        <v>2026</v>
      </c>
      <c r="C3325" t="inlineStr">
        <is>
          <t>January</t>
        </is>
      </c>
      <c r="D3325" t="inlineStr">
        <is>
          <t>Deluxe Headphones</t>
        </is>
      </c>
      <c r="E3325" t="inlineStr">
        <is>
          <t>Electronics</t>
        </is>
      </c>
      <c r="F3325" t="inlineStr">
        <is>
          <t>Sophie Weber</t>
        </is>
      </c>
      <c r="G3325" t="inlineStr">
        <is>
          <t>Germany</t>
        </is>
      </c>
      <c r="H3325" t="inlineStr">
        <is>
          <t>Web Store</t>
        </is>
      </c>
      <c r="I3325" t="n">
        <v>2</v>
      </c>
      <c r="J3325" s="3" t="n">
        <v>150.22</v>
      </c>
      <c r="K3325" s="3" t="n">
        <v>0</v>
      </c>
      <c r="L3325" s="3" t="n">
        <v>150.22</v>
      </c>
      <c r="M3325" s="3" t="n">
        <v>105</v>
      </c>
      <c r="N3325" s="3" t="n">
        <v>45.22</v>
      </c>
      <c r="O3325">
        <f>TEXT(A3325,"yyyy-mm")</f>
        <v/>
      </c>
    </row>
    <row r="3326">
      <c r="A3326" s="2" t="n">
        <v>46044</v>
      </c>
      <c r="B3326" t="n">
        <v>2026</v>
      </c>
      <c r="C3326" t="inlineStr">
        <is>
          <t>January</t>
        </is>
      </c>
      <c r="D3326" t="inlineStr">
        <is>
          <t>Compact Jacket</t>
        </is>
      </c>
      <c r="E3326" t="inlineStr">
        <is>
          <t>Clothing</t>
        </is>
      </c>
      <c r="F3326" t="inlineStr">
        <is>
          <t>Clara Muller</t>
        </is>
      </c>
      <c r="G3326" t="inlineStr">
        <is>
          <t>Italy</t>
        </is>
      </c>
      <c r="H3326" t="inlineStr">
        <is>
          <t>Retail Store</t>
        </is>
      </c>
      <c r="I3326" t="n">
        <v>3</v>
      </c>
      <c r="J3326" s="3" t="n">
        <v>112.29</v>
      </c>
      <c r="K3326" s="3" t="n">
        <v>16.84</v>
      </c>
      <c r="L3326" s="3" t="n">
        <v>95.45</v>
      </c>
      <c r="M3326" s="3" t="n">
        <v>61.2</v>
      </c>
      <c r="N3326" s="3" t="n">
        <v>34.25</v>
      </c>
      <c r="O3326">
        <f>TEXT(A3326,"yyyy-mm")</f>
        <v/>
      </c>
    </row>
    <row r="3327">
      <c r="A3327" s="2" t="n">
        <v>46044</v>
      </c>
      <c r="B3327" t="n">
        <v>2026</v>
      </c>
      <c r="C3327" t="inlineStr">
        <is>
          <t>January</t>
        </is>
      </c>
      <c r="D3327" t="inlineStr">
        <is>
          <t>Smart Honey</t>
        </is>
      </c>
      <c r="E3327" t="inlineStr">
        <is>
          <t>Grocery</t>
        </is>
      </c>
      <c r="F3327" t="inlineStr">
        <is>
          <t>Clara Muller</t>
        </is>
      </c>
      <c r="G3327" t="inlineStr">
        <is>
          <t>Italy</t>
        </is>
      </c>
      <c r="H3327" t="inlineStr">
        <is>
          <t>Retail Store</t>
        </is>
      </c>
      <c r="I3327" t="n">
        <v>5</v>
      </c>
      <c r="J3327" s="3" t="n">
        <v>678.65</v>
      </c>
      <c r="K3327" s="3" t="n">
        <v>135.73</v>
      </c>
      <c r="L3327" s="3" t="n">
        <v>542.92</v>
      </c>
      <c r="M3327" s="3" t="n">
        <v>357.2</v>
      </c>
      <c r="N3327" s="3" t="n">
        <v>185.72</v>
      </c>
      <c r="O3327">
        <f>TEXT(A3327,"yyyy-mm")</f>
        <v/>
      </c>
    </row>
    <row r="3328">
      <c r="A3328" s="2" t="n">
        <v>46044</v>
      </c>
      <c r="B3328" t="n">
        <v>2026</v>
      </c>
      <c r="C3328" t="inlineStr">
        <is>
          <t>January</t>
        </is>
      </c>
      <c r="D3328" t="inlineStr">
        <is>
          <t>Smart Sweater</t>
        </is>
      </c>
      <c r="E3328" t="inlineStr">
        <is>
          <t>Clothing</t>
        </is>
      </c>
      <c r="F3328" t="inlineStr">
        <is>
          <t>Clara Muller</t>
        </is>
      </c>
      <c r="G3328" t="inlineStr">
        <is>
          <t>Italy</t>
        </is>
      </c>
      <c r="H3328" t="inlineStr">
        <is>
          <t>Retail Store</t>
        </is>
      </c>
      <c r="I3328" t="n">
        <v>4</v>
      </c>
      <c r="J3328" s="3" t="n">
        <v>561</v>
      </c>
      <c r="K3328" s="3" t="n">
        <v>0</v>
      </c>
      <c r="L3328" s="3" t="n">
        <v>561</v>
      </c>
      <c r="M3328" s="3" t="n">
        <v>309.4</v>
      </c>
      <c r="N3328" s="3" t="n">
        <v>251.6</v>
      </c>
      <c r="O3328">
        <f>TEXT(A3328,"yyyy-mm")</f>
        <v/>
      </c>
    </row>
    <row r="3329">
      <c r="A3329" s="2" t="n">
        <v>46044</v>
      </c>
      <c r="B3329" t="n">
        <v>2026</v>
      </c>
      <c r="C3329" t="inlineStr">
        <is>
          <t>January</t>
        </is>
      </c>
      <c r="D3329" t="inlineStr">
        <is>
          <t>Smart Charger</t>
        </is>
      </c>
      <c r="E3329" t="inlineStr">
        <is>
          <t>Electronics</t>
        </is>
      </c>
      <c r="F3329" t="inlineStr">
        <is>
          <t>Clara Muller</t>
        </is>
      </c>
      <c r="G3329" t="inlineStr">
        <is>
          <t>Italy</t>
        </is>
      </c>
      <c r="H3329" t="inlineStr">
        <is>
          <t>Retail Store</t>
        </is>
      </c>
      <c r="I3329" t="n">
        <v>4</v>
      </c>
      <c r="J3329" s="3" t="n">
        <v>157.36</v>
      </c>
      <c r="K3329" s="3" t="n">
        <v>7.87</v>
      </c>
      <c r="L3329" s="3" t="n">
        <v>149.49</v>
      </c>
      <c r="M3329" s="3" t="n">
        <v>110.56</v>
      </c>
      <c r="N3329" s="3" t="n">
        <v>38.93</v>
      </c>
      <c r="O3329">
        <f>TEXT(A3329,"yyyy-mm")</f>
        <v/>
      </c>
    </row>
    <row r="3330">
      <c r="A3330" s="2" t="n">
        <v>46045</v>
      </c>
      <c r="B3330" t="n">
        <v>2026</v>
      </c>
      <c r="C3330" t="inlineStr">
        <is>
          <t>January</t>
        </is>
      </c>
      <c r="D3330" t="inlineStr">
        <is>
          <t>Premium Tent</t>
        </is>
      </c>
      <c r="E3330" t="inlineStr">
        <is>
          <t>Sports &amp; Outdoors</t>
        </is>
      </c>
      <c r="F3330" t="inlineStr">
        <is>
          <t>Olivia Brown</t>
        </is>
      </c>
      <c r="G3330" t="inlineStr">
        <is>
          <t>United States</t>
        </is>
      </c>
      <c r="H3330" t="inlineStr">
        <is>
          <t>Web Store</t>
        </is>
      </c>
      <c r="I3330" t="n">
        <v>4</v>
      </c>
      <c r="J3330" s="3" t="n">
        <v>546.08</v>
      </c>
      <c r="K3330" s="3" t="n">
        <v>0</v>
      </c>
      <c r="L3330" s="3" t="n">
        <v>546.08</v>
      </c>
      <c r="M3330" s="3" t="n">
        <v>385.6</v>
      </c>
      <c r="N3330" s="3" t="n">
        <v>160.48</v>
      </c>
      <c r="O3330">
        <f>TEXT(A3330,"yyyy-mm")</f>
        <v/>
      </c>
    </row>
    <row r="3331">
      <c r="A3331" s="2" t="n">
        <v>46045</v>
      </c>
      <c r="B3331" t="n">
        <v>2026</v>
      </c>
      <c r="C3331" t="inlineStr">
        <is>
          <t>January</t>
        </is>
      </c>
      <c r="D3331" t="inlineStr">
        <is>
          <t>Essential Rug</t>
        </is>
      </c>
      <c r="E3331" t="inlineStr">
        <is>
          <t>Home &amp; Garden</t>
        </is>
      </c>
      <c r="F3331" t="inlineStr">
        <is>
          <t>Olivia Brown</t>
        </is>
      </c>
      <c r="G3331" t="inlineStr">
        <is>
          <t>United States</t>
        </is>
      </c>
      <c r="H3331" t="inlineStr">
        <is>
          <t>Web Store</t>
        </is>
      </c>
      <c r="I3331" t="n">
        <v>2</v>
      </c>
      <c r="J3331" s="3" t="n">
        <v>261.76</v>
      </c>
      <c r="K3331" s="3" t="n">
        <v>39.26</v>
      </c>
      <c r="L3331" s="3" t="n">
        <v>222.5</v>
      </c>
      <c r="M3331" s="3" t="n">
        <v>152.66</v>
      </c>
      <c r="N3331" s="3" t="n">
        <v>69.84</v>
      </c>
      <c r="O3331">
        <f>TEXT(A3331,"yyyy-mm")</f>
        <v/>
      </c>
    </row>
    <row r="3332">
      <c r="A3332" s="2" t="n">
        <v>46045</v>
      </c>
      <c r="B3332" t="n">
        <v>2026</v>
      </c>
      <c r="C3332" t="inlineStr">
        <is>
          <t>January</t>
        </is>
      </c>
      <c r="D3332" t="inlineStr">
        <is>
          <t>Deluxe Scarf</t>
        </is>
      </c>
      <c r="E3332" t="inlineStr">
        <is>
          <t>Clothing</t>
        </is>
      </c>
      <c r="F3332" t="inlineStr">
        <is>
          <t>Emma Muller</t>
        </is>
      </c>
      <c r="G3332" t="inlineStr">
        <is>
          <t>United States</t>
        </is>
      </c>
      <c r="H3332" t="inlineStr">
        <is>
          <t>Web Store</t>
        </is>
      </c>
      <c r="I3332" t="n">
        <v>5</v>
      </c>
      <c r="J3332" s="3" t="n">
        <v>995.55</v>
      </c>
      <c r="K3332" s="3" t="n">
        <v>199.11</v>
      </c>
      <c r="L3332" s="3" t="n">
        <v>796.4400000000001</v>
      </c>
      <c r="M3332" s="3" t="n">
        <v>542.6</v>
      </c>
      <c r="N3332" s="3" t="n">
        <v>253.84</v>
      </c>
      <c r="O3332">
        <f>TEXT(A3332,"yyyy-mm")</f>
        <v/>
      </c>
    </row>
    <row r="3333">
      <c r="A3333" s="2" t="n">
        <v>46045</v>
      </c>
      <c r="B3333" t="n">
        <v>2026</v>
      </c>
      <c r="C3333" t="inlineStr">
        <is>
          <t>January</t>
        </is>
      </c>
      <c r="D3333" t="inlineStr">
        <is>
          <t>Smart Coffee Beans</t>
        </is>
      </c>
      <c r="E3333" t="inlineStr">
        <is>
          <t>Grocery</t>
        </is>
      </c>
      <c r="F3333" t="inlineStr">
        <is>
          <t>Thomas Muller</t>
        </is>
      </c>
      <c r="G3333" t="inlineStr">
        <is>
          <t>Germany</t>
        </is>
      </c>
      <c r="H3333" t="inlineStr">
        <is>
          <t>Retail Store</t>
        </is>
      </c>
      <c r="I3333" t="n">
        <v>3</v>
      </c>
      <c r="J3333" s="3" t="n">
        <v>315.81</v>
      </c>
      <c r="K3333" s="3" t="n">
        <v>63.16</v>
      </c>
      <c r="L3333" s="3" t="n">
        <v>252.65</v>
      </c>
      <c r="M3333" s="3" t="n">
        <v>218.55</v>
      </c>
      <c r="N3333" s="3" t="n">
        <v>34.1</v>
      </c>
      <c r="O3333">
        <f>TEXT(A3333,"yyyy-mm")</f>
        <v/>
      </c>
    </row>
    <row r="3334">
      <c r="A3334" s="2" t="n">
        <v>46045</v>
      </c>
      <c r="B3334" t="n">
        <v>2026</v>
      </c>
      <c r="C3334" t="inlineStr">
        <is>
          <t>January</t>
        </is>
      </c>
      <c r="D3334" t="inlineStr">
        <is>
          <t>Essential Toolset</t>
        </is>
      </c>
      <c r="E3334" t="inlineStr">
        <is>
          <t>Home &amp; Garden</t>
        </is>
      </c>
      <c r="F3334" t="inlineStr">
        <is>
          <t>Thomas Muller</t>
        </is>
      </c>
      <c r="G3334" t="inlineStr">
        <is>
          <t>Germany</t>
        </is>
      </c>
      <c r="H3334" t="inlineStr">
        <is>
          <t>Retail Store</t>
        </is>
      </c>
      <c r="I3334" t="n">
        <v>4</v>
      </c>
      <c r="J3334" s="3" t="n">
        <v>860.64</v>
      </c>
      <c r="K3334" s="3" t="n">
        <v>172.13</v>
      </c>
      <c r="L3334" s="3" t="n">
        <v>688.51</v>
      </c>
      <c r="M3334" s="3" t="n">
        <v>602.12</v>
      </c>
      <c r="N3334" s="3" t="n">
        <v>86.39</v>
      </c>
      <c r="O3334">
        <f>TEXT(A3334,"yyyy-mm")</f>
        <v/>
      </c>
    </row>
    <row r="3335">
      <c r="A3335" s="2" t="n">
        <v>46045</v>
      </c>
      <c r="B3335" t="n">
        <v>2026</v>
      </c>
      <c r="C3335" t="inlineStr">
        <is>
          <t>January</t>
        </is>
      </c>
      <c r="D3335" t="inlineStr">
        <is>
          <t>Smart Sweater</t>
        </is>
      </c>
      <c r="E3335" t="inlineStr">
        <is>
          <t>Clothing</t>
        </is>
      </c>
      <c r="F3335" t="inlineStr">
        <is>
          <t>Olivia Muller</t>
        </is>
      </c>
      <c r="G3335" t="inlineStr">
        <is>
          <t>United Kingdom</t>
        </is>
      </c>
      <c r="H3335" t="inlineStr">
        <is>
          <t>Mobile App</t>
        </is>
      </c>
      <c r="I3335" t="n">
        <v>5</v>
      </c>
      <c r="J3335" s="3" t="n">
        <v>751.1</v>
      </c>
      <c r="K3335" s="3" t="n">
        <v>112.66</v>
      </c>
      <c r="L3335" s="3" t="n">
        <v>638.4400000000001</v>
      </c>
      <c r="M3335" s="3" t="n">
        <v>386.75</v>
      </c>
      <c r="N3335" s="3" t="n">
        <v>251.69</v>
      </c>
      <c r="O3335">
        <f>TEXT(A3335,"yyyy-mm")</f>
        <v/>
      </c>
    </row>
    <row r="3336">
      <c r="A3336" s="2" t="n">
        <v>46045</v>
      </c>
      <c r="B3336" t="n">
        <v>2026</v>
      </c>
      <c r="C3336" t="inlineStr">
        <is>
          <t>January</t>
        </is>
      </c>
      <c r="D3336" t="inlineStr">
        <is>
          <t>Portable Bike Helmet</t>
        </is>
      </c>
      <c r="E3336" t="inlineStr">
        <is>
          <t>Sports &amp; Outdoors</t>
        </is>
      </c>
      <c r="F3336" t="inlineStr">
        <is>
          <t>Clara Muller</t>
        </is>
      </c>
      <c r="G3336" t="inlineStr">
        <is>
          <t>Germany</t>
        </is>
      </c>
      <c r="H3336" t="inlineStr">
        <is>
          <t>Mobile App</t>
        </is>
      </c>
      <c r="I3336" t="n">
        <v>3</v>
      </c>
      <c r="J3336" s="3" t="n">
        <v>942.12</v>
      </c>
      <c r="K3336" s="3" t="n">
        <v>141.32</v>
      </c>
      <c r="L3336" s="3" t="n">
        <v>800.8</v>
      </c>
      <c r="M3336" s="3" t="n">
        <v>496.11</v>
      </c>
      <c r="N3336" s="3" t="n">
        <v>304.69</v>
      </c>
      <c r="O3336">
        <f>TEXT(A3336,"yyyy-mm")</f>
        <v/>
      </c>
    </row>
    <row r="3337">
      <c r="A3337" s="2" t="n">
        <v>46045</v>
      </c>
      <c r="B3337" t="n">
        <v>2026</v>
      </c>
      <c r="C3337" t="inlineStr">
        <is>
          <t>January</t>
        </is>
      </c>
      <c r="D3337" t="inlineStr">
        <is>
          <t>Premium Water Bottle</t>
        </is>
      </c>
      <c r="E3337" t="inlineStr">
        <is>
          <t>Sports &amp; Outdoors</t>
        </is>
      </c>
      <c r="F3337" t="inlineStr">
        <is>
          <t>Olivia Muller</t>
        </is>
      </c>
      <c r="G3337" t="inlineStr">
        <is>
          <t>United Kingdom</t>
        </is>
      </c>
      <c r="H3337" t="inlineStr">
        <is>
          <t>Mobile App</t>
        </is>
      </c>
      <c r="I3337" t="n">
        <v>3</v>
      </c>
      <c r="J3337" s="3" t="n">
        <v>956.85</v>
      </c>
      <c r="K3337" s="3" t="n">
        <v>0</v>
      </c>
      <c r="L3337" s="3" t="n">
        <v>956.85</v>
      </c>
      <c r="M3337" s="3" t="n">
        <v>543.48</v>
      </c>
      <c r="N3337" s="3" t="n">
        <v>413.37</v>
      </c>
      <c r="O3337">
        <f>TEXT(A3337,"yyyy-mm")</f>
        <v/>
      </c>
    </row>
    <row r="3338">
      <c r="A3338" s="2" t="n">
        <v>46045</v>
      </c>
      <c r="B3338" t="n">
        <v>2026</v>
      </c>
      <c r="C3338" t="inlineStr">
        <is>
          <t>January</t>
        </is>
      </c>
      <c r="D3338" t="inlineStr">
        <is>
          <t>Smart Puzzle</t>
        </is>
      </c>
      <c r="E3338" t="inlineStr">
        <is>
          <t>Toys &amp; Games</t>
        </is>
      </c>
      <c r="F3338" t="inlineStr">
        <is>
          <t>Olivia Muller</t>
        </is>
      </c>
      <c r="G3338" t="inlineStr">
        <is>
          <t>United Kingdom</t>
        </is>
      </c>
      <c r="H3338" t="inlineStr">
        <is>
          <t>Mobile App</t>
        </is>
      </c>
      <c r="I3338" t="n">
        <v>2</v>
      </c>
      <c r="J3338" s="3" t="n">
        <v>525.24</v>
      </c>
      <c r="K3338" s="3" t="n">
        <v>0</v>
      </c>
      <c r="L3338" s="3" t="n">
        <v>525.24</v>
      </c>
      <c r="M3338" s="3" t="n">
        <v>385.52</v>
      </c>
      <c r="N3338" s="3" t="n">
        <v>139.72</v>
      </c>
      <c r="O3338">
        <f>TEXT(A3338,"yyyy-mm")</f>
        <v/>
      </c>
    </row>
    <row r="3339">
      <c r="A3339" s="2" t="n">
        <v>46045</v>
      </c>
      <c r="B3339" t="n">
        <v>2026</v>
      </c>
      <c r="C3339" t="inlineStr">
        <is>
          <t>January</t>
        </is>
      </c>
      <c r="D3339" t="inlineStr">
        <is>
          <t>Smart Face Cream</t>
        </is>
      </c>
      <c r="E3339" t="inlineStr">
        <is>
          <t>Beauty &amp; Health</t>
        </is>
      </c>
      <c r="F3339" t="inlineStr">
        <is>
          <t>Olivia Muller</t>
        </is>
      </c>
      <c r="G3339" t="inlineStr">
        <is>
          <t>United Kingdom</t>
        </is>
      </c>
      <c r="H3339" t="inlineStr">
        <is>
          <t>Mobile App</t>
        </is>
      </c>
      <c r="I3339" t="n">
        <v>1</v>
      </c>
      <c r="J3339" s="3" t="n">
        <v>253.93</v>
      </c>
      <c r="K3339" s="3" t="n">
        <v>25.39</v>
      </c>
      <c r="L3339" s="3" t="n">
        <v>228.54</v>
      </c>
      <c r="M3339" s="3" t="n">
        <v>193.14</v>
      </c>
      <c r="N3339" s="3" t="n">
        <v>35.4</v>
      </c>
      <c r="O3339">
        <f>TEXT(A3339,"yyyy-mm")</f>
        <v/>
      </c>
    </row>
    <row r="3340">
      <c r="A3340" s="2" t="n">
        <v>46045</v>
      </c>
      <c r="B3340" t="n">
        <v>2026</v>
      </c>
      <c r="C3340" t="inlineStr">
        <is>
          <t>January</t>
        </is>
      </c>
      <c r="D3340" t="inlineStr">
        <is>
          <t>Eco Sweater</t>
        </is>
      </c>
      <c r="E3340" t="inlineStr">
        <is>
          <t>Clothing</t>
        </is>
      </c>
      <c r="F3340" t="inlineStr">
        <is>
          <t>Clara Muller</t>
        </is>
      </c>
      <c r="G3340" t="inlineStr">
        <is>
          <t>Germany</t>
        </is>
      </c>
      <c r="H3340" t="inlineStr">
        <is>
          <t>Mobile App</t>
        </is>
      </c>
      <c r="I3340" t="n">
        <v>4</v>
      </c>
      <c r="J3340" s="3" t="n">
        <v>628.72</v>
      </c>
      <c r="K3340" s="3" t="n">
        <v>31.44</v>
      </c>
      <c r="L3340" s="3" t="n">
        <v>597.28</v>
      </c>
      <c r="M3340" s="3" t="n">
        <v>416.92</v>
      </c>
      <c r="N3340" s="3" t="n">
        <v>180.36</v>
      </c>
      <c r="O3340">
        <f>TEXT(A3340,"yyyy-mm")</f>
        <v/>
      </c>
    </row>
    <row r="3341">
      <c r="A3341" s="2" t="n">
        <v>46046</v>
      </c>
      <c r="B3341" t="n">
        <v>2026</v>
      </c>
      <c r="C3341" t="inlineStr">
        <is>
          <t>January</t>
        </is>
      </c>
      <c r="D3341" t="inlineStr">
        <is>
          <t>Classic Coffee Beans</t>
        </is>
      </c>
      <c r="E3341" t="inlineStr">
        <is>
          <t>Grocery</t>
        </is>
      </c>
      <c r="F3341" t="inlineStr">
        <is>
          <t>Anna Fischer</t>
        </is>
      </c>
      <c r="G3341" t="inlineStr">
        <is>
          <t>Spain</t>
        </is>
      </c>
      <c r="H3341" t="inlineStr">
        <is>
          <t>Web Store</t>
        </is>
      </c>
      <c r="I3341" t="n">
        <v>4</v>
      </c>
      <c r="J3341" s="3" t="n">
        <v>1274.56</v>
      </c>
      <c r="K3341" s="3" t="n">
        <v>191.18</v>
      </c>
      <c r="L3341" s="3" t="n">
        <v>1083.38</v>
      </c>
      <c r="M3341" s="3" t="n">
        <v>779.04</v>
      </c>
      <c r="N3341" s="3" t="n">
        <v>304.34</v>
      </c>
      <c r="O3341">
        <f>TEXT(A3341,"yyyy-mm")</f>
        <v/>
      </c>
    </row>
    <row r="3342">
      <c r="A3342" s="2" t="n">
        <v>46046</v>
      </c>
      <c r="B3342" t="n">
        <v>2026</v>
      </c>
      <c r="C3342" t="inlineStr">
        <is>
          <t>January</t>
        </is>
      </c>
      <c r="D3342" t="inlineStr">
        <is>
          <t>Smart Honey</t>
        </is>
      </c>
      <c r="E3342" t="inlineStr">
        <is>
          <t>Grocery</t>
        </is>
      </c>
      <c r="F3342" t="inlineStr">
        <is>
          <t>Clara Martin</t>
        </is>
      </c>
      <c r="G3342" t="inlineStr">
        <is>
          <t>United States</t>
        </is>
      </c>
      <c r="H3342" t="inlineStr">
        <is>
          <t>Retail Store</t>
        </is>
      </c>
      <c r="I3342" t="n">
        <v>4</v>
      </c>
      <c r="J3342" s="3" t="n">
        <v>524.48</v>
      </c>
      <c r="K3342" s="3" t="n">
        <v>78.67</v>
      </c>
      <c r="L3342" s="3" t="n">
        <v>445.81</v>
      </c>
      <c r="M3342" s="3" t="n">
        <v>285.76</v>
      </c>
      <c r="N3342" s="3" t="n">
        <v>160.05</v>
      </c>
      <c r="O3342">
        <f>TEXT(A3342,"yyyy-mm")</f>
        <v/>
      </c>
    </row>
    <row r="3343">
      <c r="A3343" s="2" t="n">
        <v>46046</v>
      </c>
      <c r="B3343" t="n">
        <v>2026</v>
      </c>
      <c r="C3343" t="inlineStr">
        <is>
          <t>January</t>
        </is>
      </c>
      <c r="D3343" t="inlineStr">
        <is>
          <t>Portable Toolset</t>
        </is>
      </c>
      <c r="E3343" t="inlineStr">
        <is>
          <t>Home &amp; Garden</t>
        </is>
      </c>
      <c r="F3343" t="inlineStr">
        <is>
          <t>Clara Martin</t>
        </is>
      </c>
      <c r="G3343" t="inlineStr">
        <is>
          <t>United States</t>
        </is>
      </c>
      <c r="H3343" t="inlineStr">
        <is>
          <t>Retail Store</t>
        </is>
      </c>
      <c r="I3343" t="n">
        <v>3</v>
      </c>
      <c r="J3343" s="3" t="n">
        <v>453.75</v>
      </c>
      <c r="K3343" s="3" t="n">
        <v>45.38</v>
      </c>
      <c r="L3343" s="3" t="n">
        <v>408.38</v>
      </c>
      <c r="M3343" s="3" t="n">
        <v>278.55</v>
      </c>
      <c r="N3343" s="3" t="n">
        <v>129.83</v>
      </c>
      <c r="O3343">
        <f>TEXT(A3343,"yyyy-mm")</f>
        <v/>
      </c>
    </row>
    <row r="3344">
      <c r="A3344" s="2" t="n">
        <v>46046</v>
      </c>
      <c r="B3344" t="n">
        <v>2026</v>
      </c>
      <c r="C3344" t="inlineStr">
        <is>
          <t>January</t>
        </is>
      </c>
      <c r="D3344" t="inlineStr">
        <is>
          <t>Smart Tea Set</t>
        </is>
      </c>
      <c r="E3344" t="inlineStr">
        <is>
          <t>Grocery</t>
        </is>
      </c>
      <c r="F3344" t="inlineStr">
        <is>
          <t>Anna Fischer</t>
        </is>
      </c>
      <c r="G3344" t="inlineStr">
        <is>
          <t>Spain</t>
        </is>
      </c>
      <c r="H3344" t="inlineStr">
        <is>
          <t>Web Store</t>
        </is>
      </c>
      <c r="I3344" t="n">
        <v>4</v>
      </c>
      <c r="J3344" s="3" t="n">
        <v>349.88</v>
      </c>
      <c r="K3344" s="3" t="n">
        <v>69.98</v>
      </c>
      <c r="L3344" s="3" t="n">
        <v>279.9</v>
      </c>
      <c r="M3344" s="3" t="n">
        <v>247.2</v>
      </c>
      <c r="N3344" s="3" t="n">
        <v>32.7</v>
      </c>
      <c r="O3344">
        <f>TEXT(A3344,"yyyy-mm")</f>
        <v/>
      </c>
    </row>
    <row r="3345">
      <c r="A3345" s="2" t="n">
        <v>46047</v>
      </c>
      <c r="B3345" t="n">
        <v>2026</v>
      </c>
      <c r="C3345" t="inlineStr">
        <is>
          <t>January</t>
        </is>
      </c>
      <c r="D3345" t="inlineStr">
        <is>
          <t>Eco Biography</t>
        </is>
      </c>
      <c r="E3345" t="inlineStr">
        <is>
          <t>Books</t>
        </is>
      </c>
      <c r="F3345" t="inlineStr">
        <is>
          <t>Peter Martin</t>
        </is>
      </c>
      <c r="G3345" t="inlineStr">
        <is>
          <t>Germany</t>
        </is>
      </c>
      <c r="H3345" t="inlineStr">
        <is>
          <t>Retail Store</t>
        </is>
      </c>
      <c r="I3345" t="n">
        <v>1</v>
      </c>
      <c r="J3345" s="3" t="n">
        <v>120.66</v>
      </c>
      <c r="K3345" s="3" t="n">
        <v>0</v>
      </c>
      <c r="L3345" s="3" t="n">
        <v>120.66</v>
      </c>
      <c r="M3345" s="3" t="n">
        <v>71.02</v>
      </c>
      <c r="N3345" s="3" t="n">
        <v>49.64</v>
      </c>
      <c r="O3345">
        <f>TEXT(A3345,"yyyy-mm")</f>
        <v/>
      </c>
    </row>
    <row r="3346">
      <c r="A3346" s="2" t="n">
        <v>46047</v>
      </c>
      <c r="B3346" t="n">
        <v>2026</v>
      </c>
      <c r="C3346" t="inlineStr">
        <is>
          <t>January</t>
        </is>
      </c>
      <c r="D3346" t="inlineStr">
        <is>
          <t>Ultra Toolset</t>
        </is>
      </c>
      <c r="E3346" t="inlineStr">
        <is>
          <t>Home &amp; Garden</t>
        </is>
      </c>
      <c r="F3346" t="inlineStr">
        <is>
          <t>Peter Martin</t>
        </is>
      </c>
      <c r="G3346" t="inlineStr">
        <is>
          <t>Germany</t>
        </is>
      </c>
      <c r="H3346" t="inlineStr">
        <is>
          <t>Retail Store</t>
        </is>
      </c>
      <c r="I3346" t="n">
        <v>5</v>
      </c>
      <c r="J3346" s="3" t="n">
        <v>1817.45</v>
      </c>
      <c r="K3346" s="3" t="n">
        <v>363.49</v>
      </c>
      <c r="L3346" s="3" t="n">
        <v>1453.96</v>
      </c>
      <c r="M3346" s="3" t="n">
        <v>952</v>
      </c>
      <c r="N3346" s="3" t="n">
        <v>501.96</v>
      </c>
      <c r="O3346">
        <f>TEXT(A3346,"yyyy-mm")</f>
        <v/>
      </c>
    </row>
    <row r="3347">
      <c r="A3347" s="2" t="n">
        <v>46047</v>
      </c>
      <c r="B3347" t="n">
        <v>2026</v>
      </c>
      <c r="C3347" t="inlineStr">
        <is>
          <t>January</t>
        </is>
      </c>
      <c r="D3347" t="inlineStr">
        <is>
          <t>Smart Puzzle</t>
        </is>
      </c>
      <c r="E3347" t="inlineStr">
        <is>
          <t>Toys &amp; Games</t>
        </is>
      </c>
      <c r="F3347" t="inlineStr">
        <is>
          <t>Peter Martin</t>
        </is>
      </c>
      <c r="G3347" t="inlineStr">
        <is>
          <t>Germany</t>
        </is>
      </c>
      <c r="H3347" t="inlineStr">
        <is>
          <t>Retail Store</t>
        </is>
      </c>
      <c r="I3347" t="n">
        <v>1</v>
      </c>
      <c r="J3347" s="3" t="n">
        <v>274.66</v>
      </c>
      <c r="K3347" s="3" t="n">
        <v>27.47</v>
      </c>
      <c r="L3347" s="3" t="n">
        <v>247.19</v>
      </c>
      <c r="M3347" s="3" t="n">
        <v>192.76</v>
      </c>
      <c r="N3347" s="3" t="n">
        <v>54.43</v>
      </c>
      <c r="O3347">
        <f>TEXT(A3347,"yyyy-mm")</f>
        <v/>
      </c>
    </row>
    <row r="3348">
      <c r="A3348" s="2" t="n">
        <v>46047</v>
      </c>
      <c r="B3348" t="n">
        <v>2026</v>
      </c>
      <c r="C3348" t="inlineStr">
        <is>
          <t>January</t>
        </is>
      </c>
      <c r="D3348" t="inlineStr">
        <is>
          <t>Classic Atlas</t>
        </is>
      </c>
      <c r="E3348" t="inlineStr">
        <is>
          <t>Books</t>
        </is>
      </c>
      <c r="F3348" t="inlineStr">
        <is>
          <t>Peter Martin</t>
        </is>
      </c>
      <c r="G3348" t="inlineStr">
        <is>
          <t>Germany</t>
        </is>
      </c>
      <c r="H3348" t="inlineStr">
        <is>
          <t>Retail Store</t>
        </is>
      </c>
      <c r="I3348" t="n">
        <v>3</v>
      </c>
      <c r="J3348" s="3" t="n">
        <v>192.63</v>
      </c>
      <c r="K3348" s="3" t="n">
        <v>19.26</v>
      </c>
      <c r="L3348" s="3" t="n">
        <v>173.37</v>
      </c>
      <c r="M3348" s="3" t="n">
        <v>103.77</v>
      </c>
      <c r="N3348" s="3" t="n">
        <v>69.59999999999999</v>
      </c>
      <c r="O3348">
        <f>TEXT(A3348,"yyyy-mm")</f>
        <v/>
      </c>
    </row>
    <row r="3349">
      <c r="A3349" s="2" t="n">
        <v>46047</v>
      </c>
      <c r="B3349" t="n">
        <v>2026</v>
      </c>
      <c r="C3349" t="inlineStr">
        <is>
          <t>January</t>
        </is>
      </c>
      <c r="D3349" t="inlineStr">
        <is>
          <t>Ultra Toolset</t>
        </is>
      </c>
      <c r="E3349" t="inlineStr">
        <is>
          <t>Home &amp; Garden</t>
        </is>
      </c>
      <c r="F3349" t="inlineStr">
        <is>
          <t>Sophie Weber</t>
        </is>
      </c>
      <c r="G3349" t="inlineStr">
        <is>
          <t>Germany</t>
        </is>
      </c>
      <c r="H3349" t="inlineStr">
        <is>
          <t>Retail Store</t>
        </is>
      </c>
      <c r="I3349" t="n">
        <v>5</v>
      </c>
      <c r="J3349" s="3" t="n">
        <v>1889</v>
      </c>
      <c r="K3349" s="3" t="n">
        <v>0</v>
      </c>
      <c r="L3349" s="3" t="n">
        <v>1889</v>
      </c>
      <c r="M3349" s="3" t="n">
        <v>952</v>
      </c>
      <c r="N3349" s="3" t="n">
        <v>937</v>
      </c>
      <c r="O3349">
        <f>TEXT(A3349,"yyyy-mm")</f>
        <v/>
      </c>
    </row>
    <row r="3350">
      <c r="A3350" s="2" t="n">
        <v>46047</v>
      </c>
      <c r="B3350" t="n">
        <v>2026</v>
      </c>
      <c r="C3350" t="inlineStr">
        <is>
          <t>January</t>
        </is>
      </c>
      <c r="D3350" t="inlineStr">
        <is>
          <t>Classic Charger</t>
        </is>
      </c>
      <c r="E3350" t="inlineStr">
        <is>
          <t>Electronics</t>
        </is>
      </c>
      <c r="F3350" t="inlineStr">
        <is>
          <t>Sophie Weber</t>
        </is>
      </c>
      <c r="G3350" t="inlineStr">
        <is>
          <t>Germany</t>
        </is>
      </c>
      <c r="H3350" t="inlineStr">
        <is>
          <t>Retail Store</t>
        </is>
      </c>
      <c r="I3350" t="n">
        <v>4</v>
      </c>
      <c r="J3350" s="3" t="n">
        <v>387.28</v>
      </c>
      <c r="K3350" s="3" t="n">
        <v>0</v>
      </c>
      <c r="L3350" s="3" t="n">
        <v>387.28</v>
      </c>
      <c r="M3350" s="3" t="n">
        <v>248.84</v>
      </c>
      <c r="N3350" s="3" t="n">
        <v>138.44</v>
      </c>
      <c r="O3350">
        <f>TEXT(A3350,"yyyy-mm")</f>
        <v/>
      </c>
    </row>
    <row r="3351">
      <c r="A3351" s="2" t="n">
        <v>46047</v>
      </c>
      <c r="B3351" t="n">
        <v>2026</v>
      </c>
      <c r="C3351" t="inlineStr">
        <is>
          <t>January</t>
        </is>
      </c>
      <c r="D3351" t="inlineStr">
        <is>
          <t>Portable Tea Set</t>
        </is>
      </c>
      <c r="E3351" t="inlineStr">
        <is>
          <t>Grocery</t>
        </is>
      </c>
      <c r="F3351" t="inlineStr">
        <is>
          <t>James Weber</t>
        </is>
      </c>
      <c r="G3351" t="inlineStr">
        <is>
          <t>Germany</t>
        </is>
      </c>
      <c r="H3351" t="inlineStr">
        <is>
          <t>Mobile App</t>
        </is>
      </c>
      <c r="I3351" t="n">
        <v>5</v>
      </c>
      <c r="J3351" s="3" t="n">
        <v>1344</v>
      </c>
      <c r="K3351" s="3" t="n">
        <v>134.4</v>
      </c>
      <c r="L3351" s="3" t="n">
        <v>1209.6</v>
      </c>
      <c r="M3351" s="3" t="n">
        <v>940.6</v>
      </c>
      <c r="N3351" s="3" t="n">
        <v>269</v>
      </c>
      <c r="O3351">
        <f>TEXT(A3351,"yyyy-mm")</f>
        <v/>
      </c>
    </row>
    <row r="3352">
      <c r="A3352" s="2" t="n">
        <v>46047</v>
      </c>
      <c r="B3352" t="n">
        <v>2026</v>
      </c>
      <c r="C3352" t="inlineStr">
        <is>
          <t>January</t>
        </is>
      </c>
      <c r="D3352" t="inlineStr">
        <is>
          <t>Classic Yoga Mat</t>
        </is>
      </c>
      <c r="E3352" t="inlineStr">
        <is>
          <t>Sports &amp; Outdoors</t>
        </is>
      </c>
      <c r="F3352" t="inlineStr">
        <is>
          <t>Daniel Garcia</t>
        </is>
      </c>
      <c r="G3352" t="inlineStr">
        <is>
          <t>Italy</t>
        </is>
      </c>
      <c r="H3352" t="inlineStr">
        <is>
          <t>Retail Store</t>
        </is>
      </c>
      <c r="I3352" t="n">
        <v>1</v>
      </c>
      <c r="J3352" s="3" t="n">
        <v>315.94</v>
      </c>
      <c r="K3352" s="3" t="n">
        <v>0</v>
      </c>
      <c r="L3352" s="3" t="n">
        <v>315.94</v>
      </c>
      <c r="M3352" s="3" t="n">
        <v>195.7</v>
      </c>
      <c r="N3352" s="3" t="n">
        <v>120.24</v>
      </c>
      <c r="O3352">
        <f>TEXT(A3352,"yyyy-mm")</f>
        <v/>
      </c>
    </row>
    <row r="3353">
      <c r="A3353" s="2" t="n">
        <v>46048</v>
      </c>
      <c r="B3353" t="n">
        <v>2026</v>
      </c>
      <c r="C3353" t="inlineStr">
        <is>
          <t>January</t>
        </is>
      </c>
      <c r="D3353" t="inlineStr">
        <is>
          <t>Essential Lamp</t>
        </is>
      </c>
      <c r="E3353" t="inlineStr">
        <is>
          <t>Home &amp; Garden</t>
        </is>
      </c>
      <c r="F3353" t="inlineStr">
        <is>
          <t>Michael Brown</t>
        </is>
      </c>
      <c r="G3353" t="inlineStr">
        <is>
          <t>Spain</t>
        </is>
      </c>
      <c r="H3353" t="inlineStr">
        <is>
          <t>Mobile App</t>
        </is>
      </c>
      <c r="I3353" t="n">
        <v>3</v>
      </c>
      <c r="J3353" s="3" t="n">
        <v>203.1</v>
      </c>
      <c r="K3353" s="3" t="n">
        <v>40.62</v>
      </c>
      <c r="L3353" s="3" t="n">
        <v>162.48</v>
      </c>
      <c r="M3353" s="3" t="n">
        <v>136.2</v>
      </c>
      <c r="N3353" s="3" t="n">
        <v>26.28</v>
      </c>
      <c r="O3353">
        <f>TEXT(A3353,"yyyy-mm")</f>
        <v/>
      </c>
    </row>
    <row r="3354">
      <c r="A3354" s="2" t="n">
        <v>46048</v>
      </c>
      <c r="B3354" t="n">
        <v>2026</v>
      </c>
      <c r="C3354" t="inlineStr">
        <is>
          <t>January</t>
        </is>
      </c>
      <c r="D3354" t="inlineStr">
        <is>
          <t>Ultra Vitamins</t>
        </is>
      </c>
      <c r="E3354" t="inlineStr">
        <is>
          <t>Beauty &amp; Health</t>
        </is>
      </c>
      <c r="F3354" t="inlineStr">
        <is>
          <t>Mark Wojcik</t>
        </is>
      </c>
      <c r="G3354" t="inlineStr">
        <is>
          <t>United States</t>
        </is>
      </c>
      <c r="H3354" t="inlineStr">
        <is>
          <t>Mobile App</t>
        </is>
      </c>
      <c r="I3354" t="n">
        <v>3</v>
      </c>
      <c r="J3354" s="3" t="n">
        <v>626.0700000000001</v>
      </c>
      <c r="K3354" s="3" t="n">
        <v>0</v>
      </c>
      <c r="L3354" s="3" t="n">
        <v>626.0700000000001</v>
      </c>
      <c r="M3354" s="3" t="n">
        <v>378.3</v>
      </c>
      <c r="N3354" s="3" t="n">
        <v>247.77</v>
      </c>
      <c r="O3354">
        <f>TEXT(A3354,"yyyy-mm")</f>
        <v/>
      </c>
    </row>
    <row r="3355">
      <c r="A3355" s="2" t="n">
        <v>46048</v>
      </c>
      <c r="B3355" t="n">
        <v>2026</v>
      </c>
      <c r="C3355" t="inlineStr">
        <is>
          <t>January</t>
        </is>
      </c>
      <c r="D3355" t="inlineStr">
        <is>
          <t>Premium Cookbook</t>
        </is>
      </c>
      <c r="E3355" t="inlineStr">
        <is>
          <t>Books</t>
        </is>
      </c>
      <c r="F3355" t="inlineStr">
        <is>
          <t>Mark Wojcik</t>
        </is>
      </c>
      <c r="G3355" t="inlineStr">
        <is>
          <t>United States</t>
        </is>
      </c>
      <c r="H3355" t="inlineStr">
        <is>
          <t>Mobile App</t>
        </is>
      </c>
      <c r="I3355" t="n">
        <v>4</v>
      </c>
      <c r="J3355" s="3" t="n">
        <v>528.72</v>
      </c>
      <c r="K3355" s="3" t="n">
        <v>26.44</v>
      </c>
      <c r="L3355" s="3" t="n">
        <v>502.28</v>
      </c>
      <c r="M3355" s="3" t="n">
        <v>379.92</v>
      </c>
      <c r="N3355" s="3" t="n">
        <v>122.36</v>
      </c>
      <c r="O3355">
        <f>TEXT(A3355,"yyyy-mm")</f>
        <v/>
      </c>
    </row>
    <row r="3356">
      <c r="A3356" s="2" t="n">
        <v>46048</v>
      </c>
      <c r="B3356" t="n">
        <v>2026</v>
      </c>
      <c r="C3356" t="inlineStr">
        <is>
          <t>January</t>
        </is>
      </c>
      <c r="D3356" t="inlineStr">
        <is>
          <t>Portable Speaker</t>
        </is>
      </c>
      <c r="E3356" t="inlineStr">
        <is>
          <t>Electronics</t>
        </is>
      </c>
      <c r="F3356" t="inlineStr">
        <is>
          <t>Michael Conti</t>
        </is>
      </c>
      <c r="G3356" t="inlineStr">
        <is>
          <t>Germany</t>
        </is>
      </c>
      <c r="H3356" t="inlineStr">
        <is>
          <t>Web Store</t>
        </is>
      </c>
      <c r="I3356" t="n">
        <v>2</v>
      </c>
      <c r="J3356" s="3" t="n">
        <v>642.24</v>
      </c>
      <c r="K3356" s="3" t="n">
        <v>0</v>
      </c>
      <c r="L3356" s="3" t="n">
        <v>642.24</v>
      </c>
      <c r="M3356" s="3" t="n">
        <v>349.66</v>
      </c>
      <c r="N3356" s="3" t="n">
        <v>292.58</v>
      </c>
      <c r="O3356">
        <f>TEXT(A3356,"yyyy-mm")</f>
        <v/>
      </c>
    </row>
    <row r="3357">
      <c r="A3357" s="2" t="n">
        <v>46048</v>
      </c>
      <c r="B3357" t="n">
        <v>2026</v>
      </c>
      <c r="C3357" t="inlineStr">
        <is>
          <t>January</t>
        </is>
      </c>
      <c r="D3357" t="inlineStr">
        <is>
          <t>Smart Jeans</t>
        </is>
      </c>
      <c r="E3357" t="inlineStr">
        <is>
          <t>Clothing</t>
        </is>
      </c>
      <c r="F3357" t="inlineStr">
        <is>
          <t>Michael Conti</t>
        </is>
      </c>
      <c r="G3357" t="inlineStr">
        <is>
          <t>Germany</t>
        </is>
      </c>
      <c r="H3357" t="inlineStr">
        <is>
          <t>Web Store</t>
        </is>
      </c>
      <c r="I3357" t="n">
        <v>5</v>
      </c>
      <c r="J3357" s="3" t="n">
        <v>1496.05</v>
      </c>
      <c r="K3357" s="3" t="n">
        <v>0</v>
      </c>
      <c r="L3357" s="3" t="n">
        <v>1496.05</v>
      </c>
      <c r="M3357" s="3" t="n">
        <v>968.2</v>
      </c>
      <c r="N3357" s="3" t="n">
        <v>527.85</v>
      </c>
      <c r="O3357">
        <f>TEXT(A3357,"yyyy-mm")</f>
        <v/>
      </c>
    </row>
    <row r="3358">
      <c r="A3358" s="2" t="n">
        <v>46048</v>
      </c>
      <c r="B3358" t="n">
        <v>2026</v>
      </c>
      <c r="C3358" t="inlineStr">
        <is>
          <t>January</t>
        </is>
      </c>
      <c r="D3358" t="inlineStr">
        <is>
          <t>Essential Cushion</t>
        </is>
      </c>
      <c r="E3358" t="inlineStr">
        <is>
          <t>Home &amp; Garden</t>
        </is>
      </c>
      <c r="F3358" t="inlineStr">
        <is>
          <t>Olivia Rossi</t>
        </is>
      </c>
      <c r="G3358" t="inlineStr">
        <is>
          <t>Spain</t>
        </is>
      </c>
      <c r="H3358" t="inlineStr">
        <is>
          <t>Web Store</t>
        </is>
      </c>
      <c r="I3358" t="n">
        <v>3</v>
      </c>
      <c r="J3358" s="3" t="n">
        <v>134.4</v>
      </c>
      <c r="K3358" s="3" t="n">
        <v>6.72</v>
      </c>
      <c r="L3358" s="3" t="n">
        <v>127.68</v>
      </c>
      <c r="M3358" s="3" t="n">
        <v>91.65000000000001</v>
      </c>
      <c r="N3358" s="3" t="n">
        <v>36.03</v>
      </c>
      <c r="O3358">
        <f>TEXT(A3358,"yyyy-mm")</f>
        <v/>
      </c>
    </row>
    <row r="3359">
      <c r="A3359" s="2" t="n">
        <v>46049</v>
      </c>
      <c r="B3359" t="n">
        <v>2026</v>
      </c>
      <c r="C3359" t="inlineStr">
        <is>
          <t>January</t>
        </is>
      </c>
      <c r="D3359" t="inlineStr">
        <is>
          <t>Deluxe Puzzle</t>
        </is>
      </c>
      <c r="E3359" t="inlineStr">
        <is>
          <t>Toys &amp; Games</t>
        </is>
      </c>
      <c r="F3359" t="inlineStr">
        <is>
          <t>Mark Smith</t>
        </is>
      </c>
      <c r="G3359" t="inlineStr">
        <is>
          <t>United States</t>
        </is>
      </c>
      <c r="H3359" t="inlineStr">
        <is>
          <t>Marketplace</t>
        </is>
      </c>
      <c r="I3359" t="n">
        <v>1</v>
      </c>
      <c r="J3359" s="3" t="n">
        <v>212.61</v>
      </c>
      <c r="K3359" s="3" t="n">
        <v>42.52</v>
      </c>
      <c r="L3359" s="3" t="n">
        <v>170.09</v>
      </c>
      <c r="M3359" s="3" t="n">
        <v>111.17</v>
      </c>
      <c r="N3359" s="3" t="n">
        <v>58.92</v>
      </c>
      <c r="O3359">
        <f>TEXT(A3359,"yyyy-mm")</f>
        <v/>
      </c>
    </row>
    <row r="3360">
      <c r="A3360" s="2" t="n">
        <v>46049</v>
      </c>
      <c r="B3360" t="n">
        <v>2026</v>
      </c>
      <c r="C3360" t="inlineStr">
        <is>
          <t>January</t>
        </is>
      </c>
      <c r="D3360" t="inlineStr">
        <is>
          <t>Portable Speaker</t>
        </is>
      </c>
      <c r="E3360" t="inlineStr">
        <is>
          <t>Electronics</t>
        </is>
      </c>
      <c r="F3360" t="inlineStr">
        <is>
          <t>Mark Smith</t>
        </is>
      </c>
      <c r="G3360" t="inlineStr">
        <is>
          <t>United States</t>
        </is>
      </c>
      <c r="H3360" t="inlineStr">
        <is>
          <t>Marketplace</t>
        </is>
      </c>
      <c r="I3360" t="n">
        <v>3</v>
      </c>
      <c r="J3360" s="3" t="n">
        <v>1018.11</v>
      </c>
      <c r="K3360" s="3" t="n">
        <v>0</v>
      </c>
      <c r="L3360" s="3" t="n">
        <v>1018.11</v>
      </c>
      <c r="M3360" s="3" t="n">
        <v>524.49</v>
      </c>
      <c r="N3360" s="3" t="n">
        <v>493.62</v>
      </c>
      <c r="O3360">
        <f>TEXT(A3360,"yyyy-mm")</f>
        <v/>
      </c>
    </row>
    <row r="3361">
      <c r="A3361" s="2" t="n">
        <v>46049</v>
      </c>
      <c r="B3361" t="n">
        <v>2026</v>
      </c>
      <c r="C3361" t="inlineStr">
        <is>
          <t>January</t>
        </is>
      </c>
      <c r="D3361" t="inlineStr">
        <is>
          <t>Eco Tent</t>
        </is>
      </c>
      <c r="E3361" t="inlineStr">
        <is>
          <t>Sports &amp; Outdoors</t>
        </is>
      </c>
      <c r="F3361" t="inlineStr">
        <is>
          <t>Mark Smith</t>
        </is>
      </c>
      <c r="G3361" t="inlineStr">
        <is>
          <t>United States</t>
        </is>
      </c>
      <c r="H3361" t="inlineStr">
        <is>
          <t>Marketplace</t>
        </is>
      </c>
      <c r="I3361" t="n">
        <v>2</v>
      </c>
      <c r="J3361" s="3" t="n">
        <v>140.04</v>
      </c>
      <c r="K3361" s="3" t="n">
        <v>7</v>
      </c>
      <c r="L3361" s="3" t="n">
        <v>133.04</v>
      </c>
      <c r="M3361" s="3" t="n">
        <v>87.7</v>
      </c>
      <c r="N3361" s="3" t="n">
        <v>45.34</v>
      </c>
      <c r="O3361">
        <f>TEXT(A3361,"yyyy-mm")</f>
        <v/>
      </c>
    </row>
    <row r="3362">
      <c r="A3362" s="2" t="n">
        <v>46049</v>
      </c>
      <c r="B3362" t="n">
        <v>2026</v>
      </c>
      <c r="C3362" t="inlineStr">
        <is>
          <t>January</t>
        </is>
      </c>
      <c r="D3362" t="inlineStr">
        <is>
          <t>Premium Water Bottle</t>
        </is>
      </c>
      <c r="E3362" t="inlineStr">
        <is>
          <t>Sports &amp; Outdoors</t>
        </is>
      </c>
      <c r="F3362" t="inlineStr">
        <is>
          <t>Mark Smith</t>
        </is>
      </c>
      <c r="G3362" t="inlineStr">
        <is>
          <t>United States</t>
        </is>
      </c>
      <c r="H3362" t="inlineStr">
        <is>
          <t>Marketplace</t>
        </is>
      </c>
      <c r="I3362" t="n">
        <v>3</v>
      </c>
      <c r="J3362" s="3" t="n">
        <v>84.20999999999999</v>
      </c>
      <c r="K3362" s="3" t="n">
        <v>0</v>
      </c>
      <c r="L3362" s="3" t="n">
        <v>84.20999999999999</v>
      </c>
      <c r="M3362" s="3" t="n">
        <v>49.89</v>
      </c>
      <c r="N3362" s="3" t="n">
        <v>34.32</v>
      </c>
      <c r="O3362">
        <f>TEXT(A3362,"yyyy-mm")</f>
        <v/>
      </c>
    </row>
    <row r="3363">
      <c r="A3363" s="2" t="n">
        <v>46049</v>
      </c>
      <c r="B3363" t="n">
        <v>2026</v>
      </c>
      <c r="C3363" t="inlineStr">
        <is>
          <t>January</t>
        </is>
      </c>
      <c r="D3363" t="inlineStr">
        <is>
          <t>Essential Toolset</t>
        </is>
      </c>
      <c r="E3363" t="inlineStr">
        <is>
          <t>Home &amp; Garden</t>
        </is>
      </c>
      <c r="F3363" t="inlineStr">
        <is>
          <t>Peter Smith</t>
        </is>
      </c>
      <c r="G3363" t="inlineStr">
        <is>
          <t>Italy</t>
        </is>
      </c>
      <c r="H3363" t="inlineStr">
        <is>
          <t>Marketplace</t>
        </is>
      </c>
      <c r="I3363" t="n">
        <v>5</v>
      </c>
      <c r="J3363" s="3" t="n">
        <v>1029</v>
      </c>
      <c r="K3363" s="3" t="n">
        <v>205.8</v>
      </c>
      <c r="L3363" s="3" t="n">
        <v>823.2</v>
      </c>
      <c r="M3363" s="3" t="n">
        <v>752.65</v>
      </c>
      <c r="N3363" s="3" t="n">
        <v>70.55</v>
      </c>
      <c r="O3363">
        <f>TEXT(A3363,"yyyy-mm")</f>
        <v/>
      </c>
    </row>
    <row r="3364">
      <c r="A3364" s="2" t="n">
        <v>46049</v>
      </c>
      <c r="B3364" t="n">
        <v>2026</v>
      </c>
      <c r="C3364" t="inlineStr">
        <is>
          <t>January</t>
        </is>
      </c>
      <c r="D3364" t="inlineStr">
        <is>
          <t>Wireless Cookbook</t>
        </is>
      </c>
      <c r="E3364" t="inlineStr">
        <is>
          <t>Books</t>
        </is>
      </c>
      <c r="F3364" t="inlineStr">
        <is>
          <t>John Conti</t>
        </is>
      </c>
      <c r="G3364" t="inlineStr">
        <is>
          <t>Germany</t>
        </is>
      </c>
      <c r="H3364" t="inlineStr">
        <is>
          <t>Retail Store</t>
        </is>
      </c>
      <c r="I3364" t="n">
        <v>2</v>
      </c>
      <c r="J3364" s="3" t="n">
        <v>155</v>
      </c>
      <c r="K3364" s="3" t="n">
        <v>23.25</v>
      </c>
      <c r="L3364" s="3" t="n">
        <v>131.75</v>
      </c>
      <c r="M3364" s="3" t="n">
        <v>113.22</v>
      </c>
      <c r="N3364" s="3" t="n">
        <v>18.53</v>
      </c>
      <c r="O3364">
        <f>TEXT(A3364,"yyyy-mm")</f>
        <v/>
      </c>
    </row>
    <row r="3365">
      <c r="A3365" s="2" t="n">
        <v>46049</v>
      </c>
      <c r="B3365" t="n">
        <v>2026</v>
      </c>
      <c r="C3365" t="inlineStr">
        <is>
          <t>January</t>
        </is>
      </c>
      <c r="D3365" t="inlineStr">
        <is>
          <t>Premium Water Bottle</t>
        </is>
      </c>
      <c r="E3365" t="inlineStr">
        <is>
          <t>Sports &amp; Outdoors</t>
        </is>
      </c>
      <c r="F3365" t="inlineStr">
        <is>
          <t>John Conti</t>
        </is>
      </c>
      <c r="G3365" t="inlineStr">
        <is>
          <t>Germany</t>
        </is>
      </c>
      <c r="H3365" t="inlineStr">
        <is>
          <t>Retail Store</t>
        </is>
      </c>
      <c r="I3365" t="n">
        <v>5</v>
      </c>
      <c r="J3365" s="3" t="n">
        <v>1453.65</v>
      </c>
      <c r="K3365" s="3" t="n">
        <v>290.73</v>
      </c>
      <c r="L3365" s="3" t="n">
        <v>1162.92</v>
      </c>
      <c r="M3365" s="3" t="n">
        <v>905.8</v>
      </c>
      <c r="N3365" s="3" t="n">
        <v>257.12</v>
      </c>
      <c r="O3365">
        <f>TEXT(A3365,"yyyy-mm")</f>
        <v/>
      </c>
    </row>
    <row r="3366">
      <c r="A3366" s="2" t="n">
        <v>46050</v>
      </c>
      <c r="B3366" t="n">
        <v>2026</v>
      </c>
      <c r="C3366" t="inlineStr">
        <is>
          <t>January</t>
        </is>
      </c>
      <c r="D3366" t="inlineStr">
        <is>
          <t>Eco Biography</t>
        </is>
      </c>
      <c r="E3366" t="inlineStr">
        <is>
          <t>Books</t>
        </is>
      </c>
      <c r="F3366" t="inlineStr">
        <is>
          <t>Anna Nowak</t>
        </is>
      </c>
      <c r="G3366" t="inlineStr">
        <is>
          <t>Poland</t>
        </is>
      </c>
      <c r="H3366" t="inlineStr">
        <is>
          <t>Mobile App</t>
        </is>
      </c>
      <c r="I3366" t="n">
        <v>4</v>
      </c>
      <c r="J3366" s="3" t="n">
        <v>485.84</v>
      </c>
      <c r="K3366" s="3" t="n">
        <v>48.58</v>
      </c>
      <c r="L3366" s="3" t="n">
        <v>437.26</v>
      </c>
      <c r="M3366" s="3" t="n">
        <v>284.08</v>
      </c>
      <c r="N3366" s="3" t="n">
        <v>153.18</v>
      </c>
      <c r="O3366">
        <f>TEXT(A3366,"yyyy-mm")</f>
        <v/>
      </c>
    </row>
    <row r="3367">
      <c r="A3367" s="2" t="n">
        <v>46053</v>
      </c>
      <c r="B3367" t="n">
        <v>2026</v>
      </c>
      <c r="C3367" t="inlineStr">
        <is>
          <t>January</t>
        </is>
      </c>
      <c r="D3367" t="inlineStr">
        <is>
          <t>Compact Jacket</t>
        </is>
      </c>
      <c r="E3367" t="inlineStr">
        <is>
          <t>Clothing</t>
        </is>
      </c>
      <c r="F3367" t="inlineStr">
        <is>
          <t>Thomas Schmidt</t>
        </is>
      </c>
      <c r="G3367" t="inlineStr">
        <is>
          <t>United Kingdom</t>
        </is>
      </c>
      <c r="H3367" t="inlineStr">
        <is>
          <t>Web Store</t>
        </is>
      </c>
      <c r="I3367" t="n">
        <v>3</v>
      </c>
      <c r="J3367" s="3" t="n">
        <v>115.77</v>
      </c>
      <c r="K3367" s="3" t="n">
        <v>0</v>
      </c>
      <c r="L3367" s="3" t="n">
        <v>115.77</v>
      </c>
      <c r="M3367" s="3" t="n">
        <v>61.2</v>
      </c>
      <c r="N3367" s="3" t="n">
        <v>54.57</v>
      </c>
      <c r="O3367">
        <f>TEXT(A3367,"yyyy-mm")</f>
        <v/>
      </c>
    </row>
    <row r="3368">
      <c r="A3368" s="2" t="n">
        <v>46053</v>
      </c>
      <c r="B3368" t="n">
        <v>2026</v>
      </c>
      <c r="C3368" t="inlineStr">
        <is>
          <t>January</t>
        </is>
      </c>
      <c r="D3368" t="inlineStr">
        <is>
          <t>Classic Bike Helmet</t>
        </is>
      </c>
      <c r="E3368" t="inlineStr">
        <is>
          <t>Sports &amp; Outdoors</t>
        </is>
      </c>
      <c r="F3368" t="inlineStr">
        <is>
          <t>Thomas Schmidt</t>
        </is>
      </c>
      <c r="G3368" t="inlineStr">
        <is>
          <t>United Kingdom</t>
        </is>
      </c>
      <c r="H3368" t="inlineStr">
        <is>
          <t>Web Store</t>
        </is>
      </c>
      <c r="I3368" t="n">
        <v>1</v>
      </c>
      <c r="J3368" s="3" t="n">
        <v>212.17</v>
      </c>
      <c r="K3368" s="3" t="n">
        <v>21.22</v>
      </c>
      <c r="L3368" s="3" t="n">
        <v>190.95</v>
      </c>
      <c r="M3368" s="3" t="n">
        <v>153.81</v>
      </c>
      <c r="N3368" s="3" t="n">
        <v>37.14</v>
      </c>
      <c r="O3368">
        <f>TEXT(A3368,"yyyy-mm")</f>
        <v/>
      </c>
    </row>
    <row r="3369">
      <c r="A3369" s="2" t="n">
        <v>46053</v>
      </c>
      <c r="B3369" t="n">
        <v>2026</v>
      </c>
      <c r="C3369" t="inlineStr">
        <is>
          <t>January</t>
        </is>
      </c>
      <c r="D3369" t="inlineStr">
        <is>
          <t>Premium Rug</t>
        </is>
      </c>
      <c r="E3369" t="inlineStr">
        <is>
          <t>Home &amp; Garden</t>
        </is>
      </c>
      <c r="F3369" t="inlineStr">
        <is>
          <t>Clara Wojcik</t>
        </is>
      </c>
      <c r="G3369" t="inlineStr">
        <is>
          <t>Germany</t>
        </is>
      </c>
      <c r="H3369" t="inlineStr">
        <is>
          <t>Mobile App</t>
        </is>
      </c>
      <c r="I3369" t="n">
        <v>2</v>
      </c>
      <c r="J3369" s="3" t="n">
        <v>360.12</v>
      </c>
      <c r="K3369" s="3" t="n">
        <v>0</v>
      </c>
      <c r="L3369" s="3" t="n">
        <v>360.12</v>
      </c>
      <c r="M3369" s="3" t="n">
        <v>222.38</v>
      </c>
      <c r="N3369" s="3" t="n">
        <v>137.74</v>
      </c>
      <c r="O3369">
        <f>TEXT(A3369,"yyyy-mm")</f>
        <v/>
      </c>
    </row>
    <row r="3370">
      <c r="A3370" s="2" t="n">
        <v>46053</v>
      </c>
      <c r="B3370" t="n">
        <v>2026</v>
      </c>
      <c r="C3370" t="inlineStr">
        <is>
          <t>January</t>
        </is>
      </c>
      <c r="D3370" t="inlineStr">
        <is>
          <t>Wireless Drone</t>
        </is>
      </c>
      <c r="E3370" t="inlineStr">
        <is>
          <t>Toys &amp; Games</t>
        </is>
      </c>
      <c r="F3370" t="inlineStr">
        <is>
          <t>Clara Wojcik</t>
        </is>
      </c>
      <c r="G3370" t="inlineStr">
        <is>
          <t>Germany</t>
        </is>
      </c>
      <c r="H3370" t="inlineStr">
        <is>
          <t>Mobile App</t>
        </is>
      </c>
      <c r="I3370" t="n">
        <v>3</v>
      </c>
      <c r="J3370" s="3" t="n">
        <v>634.14</v>
      </c>
      <c r="K3370" s="3" t="n">
        <v>95.12</v>
      </c>
      <c r="L3370" s="3" t="n">
        <v>539.02</v>
      </c>
      <c r="M3370" s="3" t="n">
        <v>393.87</v>
      </c>
      <c r="N3370" s="3" t="n">
        <v>145.15</v>
      </c>
      <c r="O3370">
        <f>TEXT(A3370,"yyyy-mm")</f>
        <v/>
      </c>
    </row>
    <row r="3371">
      <c r="A3371" s="2" t="n">
        <v>46053</v>
      </c>
      <c r="B3371" t="n">
        <v>2026</v>
      </c>
      <c r="C3371" t="inlineStr">
        <is>
          <t>January</t>
        </is>
      </c>
      <c r="D3371" t="inlineStr">
        <is>
          <t>Smart Sweater</t>
        </is>
      </c>
      <c r="E3371" t="inlineStr">
        <is>
          <t>Clothing</t>
        </is>
      </c>
      <c r="F3371" t="inlineStr">
        <is>
          <t>Peter Garcia</t>
        </is>
      </c>
      <c r="G3371" t="inlineStr">
        <is>
          <t>Poland</t>
        </is>
      </c>
      <c r="H3371" t="inlineStr">
        <is>
          <t>Web Store</t>
        </is>
      </c>
      <c r="I3371" t="n">
        <v>4</v>
      </c>
      <c r="J3371" s="3" t="n">
        <v>570.92</v>
      </c>
      <c r="K3371" s="3" t="n">
        <v>0</v>
      </c>
      <c r="L3371" s="3" t="n">
        <v>570.92</v>
      </c>
      <c r="M3371" s="3" t="n">
        <v>309.4</v>
      </c>
      <c r="N3371" s="3" t="n">
        <v>261.52</v>
      </c>
      <c r="O3371">
        <f>TEXT(A3371,"yyyy-mm")</f>
        <v/>
      </c>
    </row>
    <row r="3372">
      <c r="A3372" s="2" t="n">
        <v>46053</v>
      </c>
      <c r="B3372" t="n">
        <v>2026</v>
      </c>
      <c r="C3372" t="inlineStr">
        <is>
          <t>January</t>
        </is>
      </c>
      <c r="D3372" t="inlineStr">
        <is>
          <t>Smart Puzzle</t>
        </is>
      </c>
      <c r="E3372" t="inlineStr">
        <is>
          <t>Toys &amp; Games</t>
        </is>
      </c>
      <c r="F3372" t="inlineStr">
        <is>
          <t>Thomas Schmidt</t>
        </is>
      </c>
      <c r="G3372" t="inlineStr">
        <is>
          <t>United Kingdom</t>
        </is>
      </c>
      <c r="H3372" t="inlineStr">
        <is>
          <t>Web Store</t>
        </is>
      </c>
      <c r="I3372" t="n">
        <v>5</v>
      </c>
      <c r="J3372" s="3" t="n">
        <v>215.25</v>
      </c>
      <c r="K3372" s="3" t="n">
        <v>0</v>
      </c>
      <c r="L3372" s="3" t="n">
        <v>215.25</v>
      </c>
      <c r="M3372" s="3" t="n">
        <v>122.2</v>
      </c>
      <c r="N3372" s="3" t="n">
        <v>93.05</v>
      </c>
      <c r="O3372">
        <f>TEXT(A3372,"yyyy-mm")</f>
        <v/>
      </c>
    </row>
    <row r="3373">
      <c r="A3373" s="2" t="n">
        <v>46053</v>
      </c>
      <c r="B3373" t="n">
        <v>2026</v>
      </c>
      <c r="C3373" t="inlineStr">
        <is>
          <t>January</t>
        </is>
      </c>
      <c r="D3373" t="inlineStr">
        <is>
          <t>Classic Charger</t>
        </is>
      </c>
      <c r="E3373" t="inlineStr">
        <is>
          <t>Electronics</t>
        </is>
      </c>
      <c r="F3373" t="inlineStr">
        <is>
          <t>Clara Wojcik</t>
        </is>
      </c>
      <c r="G3373" t="inlineStr">
        <is>
          <t>Germany</t>
        </is>
      </c>
      <c r="H3373" t="inlineStr">
        <is>
          <t>Mobile App</t>
        </is>
      </c>
      <c r="I3373" t="n">
        <v>4</v>
      </c>
      <c r="J3373" s="3" t="n">
        <v>378.64</v>
      </c>
      <c r="K3373" s="3" t="n">
        <v>0</v>
      </c>
      <c r="L3373" s="3" t="n">
        <v>378.64</v>
      </c>
      <c r="M3373" s="3" t="n">
        <v>248.84</v>
      </c>
      <c r="N3373" s="3" t="n">
        <v>129.8</v>
      </c>
      <c r="O3373">
        <f>TEXT(A3373,"yyyy-mm")</f>
        <v/>
      </c>
    </row>
    <row r="3374">
      <c r="A3374" s="2" t="n">
        <v>46053</v>
      </c>
      <c r="B3374" t="n">
        <v>2026</v>
      </c>
      <c r="C3374" t="inlineStr">
        <is>
          <t>January</t>
        </is>
      </c>
      <c r="D3374" t="inlineStr">
        <is>
          <t>Essential Pasta</t>
        </is>
      </c>
      <c r="E3374" t="inlineStr">
        <is>
          <t>Grocery</t>
        </is>
      </c>
      <c r="F3374" t="inlineStr">
        <is>
          <t>Thomas Schmidt</t>
        </is>
      </c>
      <c r="G3374" t="inlineStr">
        <is>
          <t>United Kingdom</t>
        </is>
      </c>
      <c r="H3374" t="inlineStr">
        <is>
          <t>Web Store</t>
        </is>
      </c>
      <c r="I3374" t="n">
        <v>3</v>
      </c>
      <c r="J3374" s="3" t="n">
        <v>162.57</v>
      </c>
      <c r="K3374" s="3" t="n">
        <v>8.130000000000001</v>
      </c>
      <c r="L3374" s="3" t="n">
        <v>154.44</v>
      </c>
      <c r="M3374" s="3" t="n">
        <v>107.43</v>
      </c>
      <c r="N3374" s="3" t="n">
        <v>47.01</v>
      </c>
      <c r="O3374">
        <f>TEXT(A3374,"yyyy-mm")</f>
        <v/>
      </c>
    </row>
    <row r="3375">
      <c r="A3375" s="2" t="n">
        <v>46053</v>
      </c>
      <c r="B3375" t="n">
        <v>2026</v>
      </c>
      <c r="C3375" t="inlineStr">
        <is>
          <t>January</t>
        </is>
      </c>
      <c r="D3375" t="inlineStr">
        <is>
          <t>Eco Sweater</t>
        </is>
      </c>
      <c r="E3375" t="inlineStr">
        <is>
          <t>Clothing</t>
        </is>
      </c>
      <c r="F3375" t="inlineStr">
        <is>
          <t>Clara Wojcik</t>
        </is>
      </c>
      <c r="G3375" t="inlineStr">
        <is>
          <t>Germany</t>
        </is>
      </c>
      <c r="H3375" t="inlineStr">
        <is>
          <t>Mobile App</t>
        </is>
      </c>
      <c r="I3375" t="n">
        <v>4</v>
      </c>
      <c r="J3375" s="3" t="n">
        <v>605.12</v>
      </c>
      <c r="K3375" s="3" t="n">
        <v>121.02</v>
      </c>
      <c r="L3375" s="3" t="n">
        <v>484.1</v>
      </c>
      <c r="M3375" s="3" t="n">
        <v>416.92</v>
      </c>
      <c r="N3375" s="3" t="n">
        <v>67.18000000000001</v>
      </c>
      <c r="O3375">
        <f>TEXT(A3375,"yyyy-mm")</f>
        <v/>
      </c>
    </row>
    <row r="3376">
      <c r="A3376" s="2" t="n">
        <v>46054</v>
      </c>
      <c r="B3376" t="n">
        <v>2026</v>
      </c>
      <c r="C3376" t="inlineStr">
        <is>
          <t>February</t>
        </is>
      </c>
      <c r="D3376" t="inlineStr">
        <is>
          <t>Essential Charger</t>
        </is>
      </c>
      <c r="E3376" t="inlineStr">
        <is>
          <t>Electronics</t>
        </is>
      </c>
      <c r="F3376" t="inlineStr">
        <is>
          <t>Thomas Nowak</t>
        </is>
      </c>
      <c r="G3376" t="inlineStr">
        <is>
          <t>Germany</t>
        </is>
      </c>
      <c r="H3376" t="inlineStr">
        <is>
          <t>Mobile App</t>
        </is>
      </c>
      <c r="I3376" t="n">
        <v>3</v>
      </c>
      <c r="J3376" s="3" t="n">
        <v>127.65</v>
      </c>
      <c r="K3376" s="3" t="n">
        <v>19.15</v>
      </c>
      <c r="L3376" s="3" t="n">
        <v>108.5</v>
      </c>
      <c r="M3376" s="3" t="n">
        <v>87.3</v>
      </c>
      <c r="N3376" s="3" t="n">
        <v>21.2</v>
      </c>
      <c r="O3376">
        <f>TEXT(A3376,"yyyy-mm")</f>
        <v/>
      </c>
    </row>
    <row r="3377">
      <c r="A3377" s="2" t="n">
        <v>46054</v>
      </c>
      <c r="B3377" t="n">
        <v>2026</v>
      </c>
      <c r="C3377" t="inlineStr">
        <is>
          <t>February</t>
        </is>
      </c>
      <c r="D3377" t="inlineStr">
        <is>
          <t>Premium Water Bottle</t>
        </is>
      </c>
      <c r="E3377" t="inlineStr">
        <is>
          <t>Sports &amp; Outdoors</t>
        </is>
      </c>
      <c r="F3377" t="inlineStr">
        <is>
          <t>Thomas Nowak</t>
        </is>
      </c>
      <c r="G3377" t="inlineStr">
        <is>
          <t>Germany</t>
        </is>
      </c>
      <c r="H3377" t="inlineStr">
        <is>
          <t>Mobile App</t>
        </is>
      </c>
      <c r="I3377" t="n">
        <v>2</v>
      </c>
      <c r="J3377" s="3" t="n">
        <v>631.78</v>
      </c>
      <c r="K3377" s="3" t="n">
        <v>126.36</v>
      </c>
      <c r="L3377" s="3" t="n">
        <v>505.42</v>
      </c>
      <c r="M3377" s="3" t="n">
        <v>362.32</v>
      </c>
      <c r="N3377" s="3" t="n">
        <v>143.1</v>
      </c>
      <c r="O3377">
        <f>TEXT(A3377,"yyyy-mm")</f>
        <v/>
      </c>
    </row>
    <row r="3378">
      <c r="A3378" s="2" t="n">
        <v>46054</v>
      </c>
      <c r="B3378" t="n">
        <v>2026</v>
      </c>
      <c r="C3378" t="inlineStr">
        <is>
          <t>February</t>
        </is>
      </c>
      <c r="D3378" t="inlineStr">
        <is>
          <t>Essential Jacket</t>
        </is>
      </c>
      <c r="E3378" t="inlineStr">
        <is>
          <t>Clothing</t>
        </is>
      </c>
      <c r="F3378" t="inlineStr">
        <is>
          <t>Maria Weber</t>
        </is>
      </c>
      <c r="G3378" t="inlineStr">
        <is>
          <t>Germany</t>
        </is>
      </c>
      <c r="H3378" t="inlineStr">
        <is>
          <t>Retail Store</t>
        </is>
      </c>
      <c r="I3378" t="n">
        <v>1</v>
      </c>
      <c r="J3378" s="3" t="n">
        <v>140.93</v>
      </c>
      <c r="K3378" s="3" t="n">
        <v>0</v>
      </c>
      <c r="L3378" s="3" t="n">
        <v>140.93</v>
      </c>
      <c r="M3378" s="3" t="n">
        <v>85.34999999999999</v>
      </c>
      <c r="N3378" s="3" t="n">
        <v>55.58</v>
      </c>
      <c r="O3378">
        <f>TEXT(A3378,"yyyy-mm")</f>
        <v/>
      </c>
    </row>
    <row r="3379">
      <c r="A3379" s="2" t="n">
        <v>46054</v>
      </c>
      <c r="B3379" t="n">
        <v>2026</v>
      </c>
      <c r="C3379" t="inlineStr">
        <is>
          <t>February</t>
        </is>
      </c>
      <c r="D3379" t="inlineStr">
        <is>
          <t>Portable Notebook</t>
        </is>
      </c>
      <c r="E3379" t="inlineStr">
        <is>
          <t>Books</t>
        </is>
      </c>
      <c r="F3379" t="inlineStr">
        <is>
          <t>Peter Schmidt</t>
        </is>
      </c>
      <c r="G3379" t="inlineStr">
        <is>
          <t>France</t>
        </is>
      </c>
      <c r="H3379" t="inlineStr">
        <is>
          <t>Web Store</t>
        </is>
      </c>
      <c r="I3379" t="n">
        <v>1</v>
      </c>
      <c r="J3379" s="3" t="n">
        <v>129.96</v>
      </c>
      <c r="K3379" s="3" t="n">
        <v>25.99</v>
      </c>
      <c r="L3379" s="3" t="n">
        <v>103.97</v>
      </c>
      <c r="M3379" s="3" t="n">
        <v>71.28</v>
      </c>
      <c r="N3379" s="3" t="n">
        <v>32.69</v>
      </c>
      <c r="O3379">
        <f>TEXT(A3379,"yyyy-mm")</f>
        <v/>
      </c>
    </row>
    <row r="3380">
      <c r="A3380" s="2" t="n">
        <v>46054</v>
      </c>
      <c r="B3380" t="n">
        <v>2026</v>
      </c>
      <c r="C3380" t="inlineStr">
        <is>
          <t>February</t>
        </is>
      </c>
      <c r="D3380" t="inlineStr">
        <is>
          <t>Wireless Cookbook</t>
        </is>
      </c>
      <c r="E3380" t="inlineStr">
        <is>
          <t>Books</t>
        </is>
      </c>
      <c r="F3380" t="inlineStr">
        <is>
          <t>Peter Schmidt</t>
        </is>
      </c>
      <c r="G3380" t="inlineStr">
        <is>
          <t>France</t>
        </is>
      </c>
      <c r="H3380" t="inlineStr">
        <is>
          <t>Web Store</t>
        </is>
      </c>
      <c r="I3380" t="n">
        <v>5</v>
      </c>
      <c r="J3380" s="3" t="n">
        <v>375.5</v>
      </c>
      <c r="K3380" s="3" t="n">
        <v>37.55</v>
      </c>
      <c r="L3380" s="3" t="n">
        <v>337.95</v>
      </c>
      <c r="M3380" s="3" t="n">
        <v>283.05</v>
      </c>
      <c r="N3380" s="3" t="n">
        <v>54.9</v>
      </c>
      <c r="O3380">
        <f>TEXT(A3380,"yyyy-mm")</f>
        <v/>
      </c>
    </row>
    <row r="3381">
      <c r="A3381" s="2" t="n">
        <v>46054</v>
      </c>
      <c r="B3381" t="n">
        <v>2026</v>
      </c>
      <c r="C3381" t="inlineStr">
        <is>
          <t>February</t>
        </is>
      </c>
      <c r="D3381" t="inlineStr">
        <is>
          <t>Deluxe Scarf</t>
        </is>
      </c>
      <c r="E3381" t="inlineStr">
        <is>
          <t>Clothing</t>
        </is>
      </c>
      <c r="F3381" t="inlineStr">
        <is>
          <t>Peter Schmidt</t>
        </is>
      </c>
      <c r="G3381" t="inlineStr">
        <is>
          <t>France</t>
        </is>
      </c>
      <c r="H3381" t="inlineStr">
        <is>
          <t>Web Store</t>
        </is>
      </c>
      <c r="I3381" t="n">
        <v>3</v>
      </c>
      <c r="J3381" s="3" t="n">
        <v>586.83</v>
      </c>
      <c r="K3381" s="3" t="n">
        <v>117.37</v>
      </c>
      <c r="L3381" s="3" t="n">
        <v>469.46</v>
      </c>
      <c r="M3381" s="3" t="n">
        <v>325.56</v>
      </c>
      <c r="N3381" s="3" t="n">
        <v>143.9</v>
      </c>
      <c r="O3381">
        <f>TEXT(A3381,"yyyy-mm")</f>
        <v/>
      </c>
    </row>
    <row r="3382">
      <c r="A3382" s="2" t="n">
        <v>46054</v>
      </c>
      <c r="B3382" t="n">
        <v>2026</v>
      </c>
      <c r="C3382" t="inlineStr">
        <is>
          <t>February</t>
        </is>
      </c>
      <c r="D3382" t="inlineStr">
        <is>
          <t>Deluxe Headphones</t>
        </is>
      </c>
      <c r="E3382" t="inlineStr">
        <is>
          <t>Electronics</t>
        </is>
      </c>
      <c r="F3382" t="inlineStr">
        <is>
          <t>Thomas Nowak</t>
        </is>
      </c>
      <c r="G3382" t="inlineStr">
        <is>
          <t>Germany</t>
        </is>
      </c>
      <c r="H3382" t="inlineStr">
        <is>
          <t>Mobile App</t>
        </is>
      </c>
      <c r="I3382" t="n">
        <v>3</v>
      </c>
      <c r="J3382" s="3" t="n">
        <v>224.7</v>
      </c>
      <c r="K3382" s="3" t="n">
        <v>44.94</v>
      </c>
      <c r="L3382" s="3" t="n">
        <v>179.76</v>
      </c>
      <c r="M3382" s="3" t="n">
        <v>157.5</v>
      </c>
      <c r="N3382" s="3" t="n">
        <v>22.26</v>
      </c>
      <c r="O3382">
        <f>TEXT(A3382,"yyyy-mm")</f>
        <v/>
      </c>
    </row>
    <row r="3383">
      <c r="A3383" s="2" t="n">
        <v>46055</v>
      </c>
      <c r="B3383" t="n">
        <v>2026</v>
      </c>
      <c r="C3383" t="inlineStr">
        <is>
          <t>February</t>
        </is>
      </c>
      <c r="D3383" t="inlineStr">
        <is>
          <t>Smart Face Cream</t>
        </is>
      </c>
      <c r="E3383" t="inlineStr">
        <is>
          <t>Beauty &amp; Health</t>
        </is>
      </c>
      <c r="F3383" t="inlineStr">
        <is>
          <t>Clara Moreau</t>
        </is>
      </c>
      <c r="G3383" t="inlineStr">
        <is>
          <t>Spain</t>
        </is>
      </c>
      <c r="H3383" t="inlineStr">
        <is>
          <t>Mobile App</t>
        </is>
      </c>
      <c r="I3383" t="n">
        <v>2</v>
      </c>
      <c r="J3383" s="3" t="n">
        <v>540</v>
      </c>
      <c r="K3383" s="3" t="n">
        <v>0</v>
      </c>
      <c r="L3383" s="3" t="n">
        <v>540</v>
      </c>
      <c r="M3383" s="3" t="n">
        <v>386.28</v>
      </c>
      <c r="N3383" s="3" t="n">
        <v>153.72</v>
      </c>
      <c r="O3383">
        <f>TEXT(A3383,"yyyy-mm")</f>
        <v/>
      </c>
    </row>
    <row r="3384">
      <c r="A3384" s="2" t="n">
        <v>46055</v>
      </c>
      <c r="B3384" t="n">
        <v>2026</v>
      </c>
      <c r="C3384" t="inlineStr">
        <is>
          <t>February</t>
        </is>
      </c>
      <c r="D3384" t="inlineStr">
        <is>
          <t>Smart Sweater</t>
        </is>
      </c>
      <c r="E3384" t="inlineStr">
        <is>
          <t>Clothing</t>
        </is>
      </c>
      <c r="F3384" t="inlineStr">
        <is>
          <t>Clara Moreau</t>
        </is>
      </c>
      <c r="G3384" t="inlineStr">
        <is>
          <t>Spain</t>
        </is>
      </c>
      <c r="H3384" t="inlineStr">
        <is>
          <t>Mobile App</t>
        </is>
      </c>
      <c r="I3384" t="n">
        <v>5</v>
      </c>
      <c r="J3384" s="3" t="n">
        <v>755.25</v>
      </c>
      <c r="K3384" s="3" t="n">
        <v>113.29</v>
      </c>
      <c r="L3384" s="3" t="n">
        <v>641.96</v>
      </c>
      <c r="M3384" s="3" t="n">
        <v>386.75</v>
      </c>
      <c r="N3384" s="3" t="n">
        <v>255.21</v>
      </c>
      <c r="O3384">
        <f>TEXT(A3384,"yyyy-mm")</f>
        <v/>
      </c>
    </row>
    <row r="3385">
      <c r="A3385" s="2" t="n">
        <v>46055</v>
      </c>
      <c r="B3385" t="n">
        <v>2026</v>
      </c>
      <c r="C3385" t="inlineStr">
        <is>
          <t>February</t>
        </is>
      </c>
      <c r="D3385" t="inlineStr">
        <is>
          <t>Smart Honey</t>
        </is>
      </c>
      <c r="E3385" t="inlineStr">
        <is>
          <t>Grocery</t>
        </is>
      </c>
      <c r="F3385" t="inlineStr">
        <is>
          <t>Clara Lopez</t>
        </is>
      </c>
      <c r="G3385" t="inlineStr">
        <is>
          <t>France</t>
        </is>
      </c>
      <c r="H3385" t="inlineStr">
        <is>
          <t>Retail Store</t>
        </is>
      </c>
      <c r="I3385" t="n">
        <v>3</v>
      </c>
      <c r="J3385" s="3" t="n">
        <v>413.46</v>
      </c>
      <c r="K3385" s="3" t="n">
        <v>62.02</v>
      </c>
      <c r="L3385" s="3" t="n">
        <v>351.44</v>
      </c>
      <c r="M3385" s="3" t="n">
        <v>214.32</v>
      </c>
      <c r="N3385" s="3" t="n">
        <v>137.12</v>
      </c>
      <c r="O3385">
        <f>TEXT(A3385,"yyyy-mm")</f>
        <v/>
      </c>
    </row>
    <row r="3386">
      <c r="A3386" s="2" t="n">
        <v>46055</v>
      </c>
      <c r="B3386" t="n">
        <v>2026</v>
      </c>
      <c r="C3386" t="inlineStr">
        <is>
          <t>February</t>
        </is>
      </c>
      <c r="D3386" t="inlineStr">
        <is>
          <t>Smart Puzzle</t>
        </is>
      </c>
      <c r="E3386" t="inlineStr">
        <is>
          <t>Toys &amp; Games</t>
        </is>
      </c>
      <c r="F3386" t="inlineStr">
        <is>
          <t>Clara Lopez</t>
        </is>
      </c>
      <c r="G3386" t="inlineStr">
        <is>
          <t>France</t>
        </is>
      </c>
      <c r="H3386" t="inlineStr">
        <is>
          <t>Retail Store</t>
        </is>
      </c>
      <c r="I3386" t="n">
        <v>5</v>
      </c>
      <c r="J3386" s="3" t="n">
        <v>1375.25</v>
      </c>
      <c r="K3386" s="3" t="n">
        <v>0</v>
      </c>
      <c r="L3386" s="3" t="n">
        <v>1375.25</v>
      </c>
      <c r="M3386" s="3" t="n">
        <v>963.8</v>
      </c>
      <c r="N3386" s="3" t="n">
        <v>411.45</v>
      </c>
      <c r="O3386">
        <f>TEXT(A3386,"yyyy-mm")</f>
        <v/>
      </c>
    </row>
    <row r="3387">
      <c r="A3387" s="2" t="n">
        <v>46055</v>
      </c>
      <c r="B3387" t="n">
        <v>2026</v>
      </c>
      <c r="C3387" t="inlineStr">
        <is>
          <t>February</t>
        </is>
      </c>
      <c r="D3387" t="inlineStr">
        <is>
          <t>Classic Tea Set</t>
        </is>
      </c>
      <c r="E3387" t="inlineStr">
        <is>
          <t>Grocery</t>
        </is>
      </c>
      <c r="F3387" t="inlineStr">
        <is>
          <t>Clara Lopez</t>
        </is>
      </c>
      <c r="G3387" t="inlineStr">
        <is>
          <t>France</t>
        </is>
      </c>
      <c r="H3387" t="inlineStr">
        <is>
          <t>Retail Store</t>
        </is>
      </c>
      <c r="I3387" t="n">
        <v>2</v>
      </c>
      <c r="J3387" s="3" t="n">
        <v>370.1</v>
      </c>
      <c r="K3387" s="3" t="n">
        <v>0</v>
      </c>
      <c r="L3387" s="3" t="n">
        <v>370.1</v>
      </c>
      <c r="M3387" s="3" t="n">
        <v>250.8</v>
      </c>
      <c r="N3387" s="3" t="n">
        <v>119.3</v>
      </c>
      <c r="O3387">
        <f>TEXT(A3387,"yyyy-mm")</f>
        <v/>
      </c>
    </row>
    <row r="3388">
      <c r="A3388" s="2" t="n">
        <v>46055</v>
      </c>
      <c r="B3388" t="n">
        <v>2026</v>
      </c>
      <c r="C3388" t="inlineStr">
        <is>
          <t>February</t>
        </is>
      </c>
      <c r="D3388" t="inlineStr">
        <is>
          <t>Deluxe Toolset</t>
        </is>
      </c>
      <c r="E3388" t="inlineStr">
        <is>
          <t>Home &amp; Garden</t>
        </is>
      </c>
      <c r="F3388" t="inlineStr">
        <is>
          <t>Peter Martin</t>
        </is>
      </c>
      <c r="G3388" t="inlineStr">
        <is>
          <t>Germany</t>
        </is>
      </c>
      <c r="H3388" t="inlineStr">
        <is>
          <t>Retail Store</t>
        </is>
      </c>
      <c r="I3388" t="n">
        <v>4</v>
      </c>
      <c r="J3388" s="3" t="n">
        <v>265.28</v>
      </c>
      <c r="K3388" s="3" t="n">
        <v>39.79</v>
      </c>
      <c r="L3388" s="3" t="n">
        <v>225.49</v>
      </c>
      <c r="M3388" s="3" t="n">
        <v>190.84</v>
      </c>
      <c r="N3388" s="3" t="n">
        <v>34.65</v>
      </c>
      <c r="O3388">
        <f>TEXT(A3388,"yyyy-mm")</f>
        <v/>
      </c>
    </row>
    <row r="3389">
      <c r="A3389" s="2" t="n">
        <v>46055</v>
      </c>
      <c r="B3389" t="n">
        <v>2026</v>
      </c>
      <c r="C3389" t="inlineStr">
        <is>
          <t>February</t>
        </is>
      </c>
      <c r="D3389" t="inlineStr">
        <is>
          <t>Essential Rug</t>
        </is>
      </c>
      <c r="E3389" t="inlineStr">
        <is>
          <t>Home &amp; Garden</t>
        </is>
      </c>
      <c r="F3389" t="inlineStr">
        <is>
          <t>Peter Martin</t>
        </is>
      </c>
      <c r="G3389" t="inlineStr">
        <is>
          <t>Germany</t>
        </is>
      </c>
      <c r="H3389" t="inlineStr">
        <is>
          <t>Retail Store</t>
        </is>
      </c>
      <c r="I3389" t="n">
        <v>5</v>
      </c>
      <c r="J3389" s="3" t="n">
        <v>648.2</v>
      </c>
      <c r="K3389" s="3" t="n">
        <v>32.41</v>
      </c>
      <c r="L3389" s="3" t="n">
        <v>615.79</v>
      </c>
      <c r="M3389" s="3" t="n">
        <v>381.65</v>
      </c>
      <c r="N3389" s="3" t="n">
        <v>234.14</v>
      </c>
      <c r="O3389">
        <f>TEXT(A3389,"yyyy-mm")</f>
        <v/>
      </c>
    </row>
    <row r="3390">
      <c r="A3390" s="2" t="n">
        <v>46055</v>
      </c>
      <c r="B3390" t="n">
        <v>2026</v>
      </c>
      <c r="C3390" t="inlineStr">
        <is>
          <t>February</t>
        </is>
      </c>
      <c r="D3390" t="inlineStr">
        <is>
          <t>Premium Tent</t>
        </is>
      </c>
      <c r="E3390" t="inlineStr">
        <is>
          <t>Sports &amp; Outdoors</t>
        </is>
      </c>
      <c r="F3390" t="inlineStr">
        <is>
          <t>Laura Muller</t>
        </is>
      </c>
      <c r="G3390" t="inlineStr">
        <is>
          <t>Italy</t>
        </is>
      </c>
      <c r="H3390" t="inlineStr">
        <is>
          <t>Retail Store</t>
        </is>
      </c>
      <c r="I3390" t="n">
        <v>2</v>
      </c>
      <c r="J3390" s="3" t="n">
        <v>540.96</v>
      </c>
      <c r="K3390" s="3" t="n">
        <v>0</v>
      </c>
      <c r="L3390" s="3" t="n">
        <v>540.96</v>
      </c>
      <c r="M3390" s="3" t="n">
        <v>278.08</v>
      </c>
      <c r="N3390" s="3" t="n">
        <v>262.88</v>
      </c>
      <c r="O3390">
        <f>TEXT(A3390,"yyyy-mm")</f>
        <v/>
      </c>
    </row>
    <row r="3391">
      <c r="A3391" s="2" t="n">
        <v>46055</v>
      </c>
      <c r="B3391" t="n">
        <v>2026</v>
      </c>
      <c r="C3391" t="inlineStr">
        <is>
          <t>February</t>
        </is>
      </c>
      <c r="D3391" t="inlineStr">
        <is>
          <t>Portable Pasta</t>
        </is>
      </c>
      <c r="E3391" t="inlineStr">
        <is>
          <t>Grocery</t>
        </is>
      </c>
      <c r="F3391" t="inlineStr">
        <is>
          <t>Laura Muller</t>
        </is>
      </c>
      <c r="G3391" t="inlineStr">
        <is>
          <t>Italy</t>
        </is>
      </c>
      <c r="H3391" t="inlineStr">
        <is>
          <t>Retail Store</t>
        </is>
      </c>
      <c r="I3391" t="n">
        <v>5</v>
      </c>
      <c r="J3391" s="3" t="n">
        <v>186.3</v>
      </c>
      <c r="K3391" s="3" t="n">
        <v>0</v>
      </c>
      <c r="L3391" s="3" t="n">
        <v>186.3</v>
      </c>
      <c r="M3391" s="3" t="n">
        <v>138.75</v>
      </c>
      <c r="N3391" s="3" t="n">
        <v>47.55</v>
      </c>
      <c r="O3391">
        <f>TEXT(A3391,"yyyy-mm")</f>
        <v/>
      </c>
    </row>
    <row r="3392">
      <c r="A3392" s="2" t="n">
        <v>46055</v>
      </c>
      <c r="B3392" t="n">
        <v>2026</v>
      </c>
      <c r="C3392" t="inlineStr">
        <is>
          <t>February</t>
        </is>
      </c>
      <c r="D3392" t="inlineStr">
        <is>
          <t>Smart Tea Set</t>
        </is>
      </c>
      <c r="E3392" t="inlineStr">
        <is>
          <t>Grocery</t>
        </is>
      </c>
      <c r="F3392" t="inlineStr">
        <is>
          <t>Laura Muller</t>
        </is>
      </c>
      <c r="G3392" t="inlineStr">
        <is>
          <t>Italy</t>
        </is>
      </c>
      <c r="H3392" t="inlineStr">
        <is>
          <t>Retail Store</t>
        </is>
      </c>
      <c r="I3392" t="n">
        <v>3</v>
      </c>
      <c r="J3392" s="3" t="n">
        <v>270.15</v>
      </c>
      <c r="K3392" s="3" t="n">
        <v>0</v>
      </c>
      <c r="L3392" s="3" t="n">
        <v>270.15</v>
      </c>
      <c r="M3392" s="3" t="n">
        <v>185.4</v>
      </c>
      <c r="N3392" s="3" t="n">
        <v>84.75</v>
      </c>
      <c r="O3392">
        <f>TEXT(A3392,"yyyy-mm")</f>
        <v/>
      </c>
    </row>
    <row r="3393">
      <c r="A3393" s="2" t="n">
        <v>46055</v>
      </c>
      <c r="B3393" t="n">
        <v>2026</v>
      </c>
      <c r="C3393" t="inlineStr">
        <is>
          <t>February</t>
        </is>
      </c>
      <c r="D3393" t="inlineStr">
        <is>
          <t>Eco Sweater</t>
        </is>
      </c>
      <c r="E3393" t="inlineStr">
        <is>
          <t>Clothing</t>
        </is>
      </c>
      <c r="F3393" t="inlineStr">
        <is>
          <t>Peter Martin</t>
        </is>
      </c>
      <c r="G3393" t="inlineStr">
        <is>
          <t>Germany</t>
        </is>
      </c>
      <c r="H3393" t="inlineStr">
        <is>
          <t>Retail Store</t>
        </is>
      </c>
      <c r="I3393" t="n">
        <v>5</v>
      </c>
      <c r="J3393" s="3" t="n">
        <v>748.45</v>
      </c>
      <c r="K3393" s="3" t="n">
        <v>149.69</v>
      </c>
      <c r="L3393" s="3" t="n">
        <v>598.76</v>
      </c>
      <c r="M3393" s="3" t="n">
        <v>521.15</v>
      </c>
      <c r="N3393" s="3" t="n">
        <v>77.61</v>
      </c>
      <c r="O3393">
        <f>TEXT(A3393,"yyyy-mm")</f>
        <v/>
      </c>
    </row>
    <row r="3394">
      <c r="A3394" s="2" t="n">
        <v>46056</v>
      </c>
      <c r="B3394" t="n">
        <v>2026</v>
      </c>
      <c r="C3394" t="inlineStr">
        <is>
          <t>February</t>
        </is>
      </c>
      <c r="D3394" t="inlineStr">
        <is>
          <t>Portable Speaker</t>
        </is>
      </c>
      <c r="E3394" t="inlineStr">
        <is>
          <t>Electronics</t>
        </is>
      </c>
      <c r="F3394" t="inlineStr">
        <is>
          <t>Olivia Conti</t>
        </is>
      </c>
      <c r="G3394" t="inlineStr">
        <is>
          <t>Poland</t>
        </is>
      </c>
      <c r="H3394" t="inlineStr">
        <is>
          <t>Web Store</t>
        </is>
      </c>
      <c r="I3394" t="n">
        <v>4</v>
      </c>
      <c r="J3394" s="3" t="n">
        <v>1309.8</v>
      </c>
      <c r="K3394" s="3" t="n">
        <v>0</v>
      </c>
      <c r="L3394" s="3" t="n">
        <v>1309.8</v>
      </c>
      <c r="M3394" s="3" t="n">
        <v>699.3200000000001</v>
      </c>
      <c r="N3394" s="3" t="n">
        <v>610.48</v>
      </c>
      <c r="O3394">
        <f>TEXT(A3394,"yyyy-mm")</f>
        <v/>
      </c>
    </row>
    <row r="3395">
      <c r="A3395" s="2" t="n">
        <v>46056</v>
      </c>
      <c r="B3395" t="n">
        <v>2026</v>
      </c>
      <c r="C3395" t="inlineStr">
        <is>
          <t>February</t>
        </is>
      </c>
      <c r="D3395" t="inlineStr">
        <is>
          <t>Smart Board Game</t>
        </is>
      </c>
      <c r="E3395" t="inlineStr">
        <is>
          <t>Toys &amp; Games</t>
        </is>
      </c>
      <c r="F3395" t="inlineStr">
        <is>
          <t>Mark Wojcik</t>
        </is>
      </c>
      <c r="G3395" t="inlineStr">
        <is>
          <t>United States</t>
        </is>
      </c>
      <c r="H3395" t="inlineStr">
        <is>
          <t>Web Store</t>
        </is>
      </c>
      <c r="I3395" t="n">
        <v>5</v>
      </c>
      <c r="J3395" s="3" t="n">
        <v>654.9</v>
      </c>
      <c r="K3395" s="3" t="n">
        <v>65.48999999999999</v>
      </c>
      <c r="L3395" s="3" t="n">
        <v>589.41</v>
      </c>
      <c r="M3395" s="3" t="n">
        <v>458.6</v>
      </c>
      <c r="N3395" s="3" t="n">
        <v>130.81</v>
      </c>
      <c r="O3395">
        <f>TEXT(A3395,"yyyy-mm")</f>
        <v/>
      </c>
    </row>
    <row r="3396">
      <c r="A3396" s="2" t="n">
        <v>46056</v>
      </c>
      <c r="B3396" t="n">
        <v>2026</v>
      </c>
      <c r="C3396" t="inlineStr">
        <is>
          <t>February</t>
        </is>
      </c>
      <c r="D3396" t="inlineStr">
        <is>
          <t>Portable Toolset</t>
        </is>
      </c>
      <c r="E3396" t="inlineStr">
        <is>
          <t>Home &amp; Garden</t>
        </is>
      </c>
      <c r="F3396" t="inlineStr">
        <is>
          <t>Clara Conti</t>
        </is>
      </c>
      <c r="G3396" t="inlineStr">
        <is>
          <t>France</t>
        </is>
      </c>
      <c r="H3396" t="inlineStr">
        <is>
          <t>Marketplace</t>
        </is>
      </c>
      <c r="I3396" t="n">
        <v>1</v>
      </c>
      <c r="J3396" s="3" t="n">
        <v>91.06999999999999</v>
      </c>
      <c r="K3396" s="3" t="n">
        <v>0</v>
      </c>
      <c r="L3396" s="3" t="n">
        <v>91.06999999999999</v>
      </c>
      <c r="M3396" s="3" t="n">
        <v>50.54</v>
      </c>
      <c r="N3396" s="3" t="n">
        <v>40.53</v>
      </c>
      <c r="O3396">
        <f>TEXT(A3396,"yyyy-mm")</f>
        <v/>
      </c>
    </row>
    <row r="3397">
      <c r="A3397" s="2" t="n">
        <v>46056</v>
      </c>
      <c r="B3397" t="n">
        <v>2026</v>
      </c>
      <c r="C3397" t="inlineStr">
        <is>
          <t>February</t>
        </is>
      </c>
      <c r="D3397" t="inlineStr">
        <is>
          <t>Premium Water Bottle</t>
        </is>
      </c>
      <c r="E3397" t="inlineStr">
        <is>
          <t>Sports &amp; Outdoors</t>
        </is>
      </c>
      <c r="F3397" t="inlineStr">
        <is>
          <t>Clara Conti</t>
        </is>
      </c>
      <c r="G3397" t="inlineStr">
        <is>
          <t>France</t>
        </is>
      </c>
      <c r="H3397" t="inlineStr">
        <is>
          <t>Marketplace</t>
        </is>
      </c>
      <c r="I3397" t="n">
        <v>1</v>
      </c>
      <c r="J3397" s="3" t="n">
        <v>303.72</v>
      </c>
      <c r="K3397" s="3" t="n">
        <v>45.56</v>
      </c>
      <c r="L3397" s="3" t="n">
        <v>258.16</v>
      </c>
      <c r="M3397" s="3" t="n">
        <v>181.16</v>
      </c>
      <c r="N3397" s="3" t="n">
        <v>77</v>
      </c>
      <c r="O3397">
        <f>TEXT(A3397,"yyyy-mm")</f>
        <v/>
      </c>
    </row>
    <row r="3398">
      <c r="A3398" s="2" t="n">
        <v>46056</v>
      </c>
      <c r="B3398" t="n">
        <v>2026</v>
      </c>
      <c r="C3398" t="inlineStr">
        <is>
          <t>February</t>
        </is>
      </c>
      <c r="D3398" t="inlineStr">
        <is>
          <t>Essential Charger</t>
        </is>
      </c>
      <c r="E3398" t="inlineStr">
        <is>
          <t>Electronics</t>
        </is>
      </c>
      <c r="F3398" t="inlineStr">
        <is>
          <t>Clara Conti</t>
        </is>
      </c>
      <c r="G3398" t="inlineStr">
        <is>
          <t>France</t>
        </is>
      </c>
      <c r="H3398" t="inlineStr">
        <is>
          <t>Marketplace</t>
        </is>
      </c>
      <c r="I3398" t="n">
        <v>5</v>
      </c>
      <c r="J3398" s="3" t="n">
        <v>217.3</v>
      </c>
      <c r="K3398" s="3" t="n">
        <v>43.46</v>
      </c>
      <c r="L3398" s="3" t="n">
        <v>173.84</v>
      </c>
      <c r="M3398" s="3" t="n">
        <v>145.5</v>
      </c>
      <c r="N3398" s="3" t="n">
        <v>28.34</v>
      </c>
      <c r="O3398">
        <f>TEXT(A3398,"yyyy-mm")</f>
        <v/>
      </c>
    </row>
    <row r="3399">
      <c r="A3399" s="2" t="n">
        <v>46056</v>
      </c>
      <c r="B3399" t="n">
        <v>2026</v>
      </c>
      <c r="C3399" t="inlineStr">
        <is>
          <t>February</t>
        </is>
      </c>
      <c r="D3399" t="inlineStr">
        <is>
          <t>Smart Camera</t>
        </is>
      </c>
      <c r="E3399" t="inlineStr">
        <is>
          <t>Electronics</t>
        </is>
      </c>
      <c r="F3399" t="inlineStr">
        <is>
          <t>Peter Conti</t>
        </is>
      </c>
      <c r="G3399" t="inlineStr">
        <is>
          <t>Spain</t>
        </is>
      </c>
      <c r="H3399" t="inlineStr">
        <is>
          <t>Retail Store</t>
        </is>
      </c>
      <c r="I3399" t="n">
        <v>5</v>
      </c>
      <c r="J3399" s="3" t="n">
        <v>1470.45</v>
      </c>
      <c r="K3399" s="3" t="n">
        <v>147.04</v>
      </c>
      <c r="L3399" s="3" t="n">
        <v>1323.4</v>
      </c>
      <c r="M3399" s="3" t="n">
        <v>837</v>
      </c>
      <c r="N3399" s="3" t="n">
        <v>486.4</v>
      </c>
      <c r="O3399">
        <f>TEXT(A3399,"yyyy-mm")</f>
        <v/>
      </c>
    </row>
    <row r="3400">
      <c r="A3400" s="2" t="n">
        <v>46056</v>
      </c>
      <c r="B3400" t="n">
        <v>2026</v>
      </c>
      <c r="C3400" t="inlineStr">
        <is>
          <t>February</t>
        </is>
      </c>
      <c r="D3400" t="inlineStr">
        <is>
          <t>Wireless Backpack</t>
        </is>
      </c>
      <c r="E3400" t="inlineStr">
        <is>
          <t>Sports &amp; Outdoors</t>
        </is>
      </c>
      <c r="F3400" t="inlineStr">
        <is>
          <t>Peter Conti</t>
        </is>
      </c>
      <c r="G3400" t="inlineStr">
        <is>
          <t>Spain</t>
        </is>
      </c>
      <c r="H3400" t="inlineStr">
        <is>
          <t>Retail Store</t>
        </is>
      </c>
      <c r="I3400" t="n">
        <v>1</v>
      </c>
      <c r="J3400" s="3" t="n">
        <v>50.94</v>
      </c>
      <c r="K3400" s="3" t="n">
        <v>0</v>
      </c>
      <c r="L3400" s="3" t="n">
        <v>50.94</v>
      </c>
      <c r="M3400" s="3" t="n">
        <v>28.1</v>
      </c>
      <c r="N3400" s="3" t="n">
        <v>22.84</v>
      </c>
      <c r="O3400">
        <f>TEXT(A3400,"yyyy-mm")</f>
        <v/>
      </c>
    </row>
    <row r="3401">
      <c r="A3401" s="2" t="n">
        <v>46057</v>
      </c>
      <c r="B3401" t="n">
        <v>2026</v>
      </c>
      <c r="C3401" t="inlineStr">
        <is>
          <t>February</t>
        </is>
      </c>
      <c r="D3401" t="inlineStr">
        <is>
          <t>Premium Water Bottle</t>
        </is>
      </c>
      <c r="E3401" t="inlineStr">
        <is>
          <t>Sports &amp; Outdoors</t>
        </is>
      </c>
      <c r="F3401" t="inlineStr">
        <is>
          <t>Emily Nowak</t>
        </is>
      </c>
      <c r="G3401" t="inlineStr">
        <is>
          <t>Netherlands</t>
        </is>
      </c>
      <c r="H3401" t="inlineStr">
        <is>
          <t>Web Store</t>
        </is>
      </c>
      <c r="I3401" t="n">
        <v>2</v>
      </c>
      <c r="J3401" s="3" t="n">
        <v>240.9</v>
      </c>
      <c r="K3401" s="3" t="n">
        <v>36.14</v>
      </c>
      <c r="L3401" s="3" t="n">
        <v>204.76</v>
      </c>
      <c r="M3401" s="3" t="n">
        <v>179.24</v>
      </c>
      <c r="N3401" s="3" t="n">
        <v>25.53</v>
      </c>
      <c r="O3401">
        <f>TEXT(A3401,"yyyy-mm")</f>
        <v/>
      </c>
    </row>
    <row r="3402">
      <c r="A3402" s="2" t="n">
        <v>46057</v>
      </c>
      <c r="B3402" t="n">
        <v>2026</v>
      </c>
      <c r="C3402" t="inlineStr">
        <is>
          <t>February</t>
        </is>
      </c>
      <c r="D3402" t="inlineStr">
        <is>
          <t>Smart Charger</t>
        </is>
      </c>
      <c r="E3402" t="inlineStr">
        <is>
          <t>Electronics</t>
        </is>
      </c>
      <c r="F3402" t="inlineStr">
        <is>
          <t>Emily Nowak</t>
        </is>
      </c>
      <c r="G3402" t="inlineStr">
        <is>
          <t>Netherlands</t>
        </is>
      </c>
      <c r="H3402" t="inlineStr">
        <is>
          <t>Web Store</t>
        </is>
      </c>
      <c r="I3402" t="n">
        <v>1</v>
      </c>
      <c r="J3402" s="3" t="n">
        <v>41.04</v>
      </c>
      <c r="K3402" s="3" t="n">
        <v>8.210000000000001</v>
      </c>
      <c r="L3402" s="3" t="n">
        <v>32.83</v>
      </c>
      <c r="M3402" s="3" t="n">
        <v>27.64</v>
      </c>
      <c r="N3402" s="3" t="n">
        <v>5.19</v>
      </c>
      <c r="O3402">
        <f>TEXT(A3402,"yyyy-mm")</f>
        <v/>
      </c>
    </row>
    <row r="3403">
      <c r="A3403" s="2" t="n">
        <v>46057</v>
      </c>
      <c r="B3403" t="n">
        <v>2026</v>
      </c>
      <c r="C3403" t="inlineStr">
        <is>
          <t>February</t>
        </is>
      </c>
      <c r="D3403" t="inlineStr">
        <is>
          <t>Deluxe Headphones</t>
        </is>
      </c>
      <c r="E3403" t="inlineStr">
        <is>
          <t>Electronics</t>
        </is>
      </c>
      <c r="F3403" t="inlineStr">
        <is>
          <t>Emily Nowak</t>
        </is>
      </c>
      <c r="G3403" t="inlineStr">
        <is>
          <t>Netherlands</t>
        </is>
      </c>
      <c r="H3403" t="inlineStr">
        <is>
          <t>Web Store</t>
        </is>
      </c>
      <c r="I3403" t="n">
        <v>2</v>
      </c>
      <c r="J3403" s="3" t="n">
        <v>144.04</v>
      </c>
      <c r="K3403" s="3" t="n">
        <v>14.4</v>
      </c>
      <c r="L3403" s="3" t="n">
        <v>129.64</v>
      </c>
      <c r="M3403" s="3" t="n">
        <v>105</v>
      </c>
      <c r="N3403" s="3" t="n">
        <v>24.64</v>
      </c>
      <c r="O3403">
        <f>TEXT(A3403,"yyyy-mm")</f>
        <v/>
      </c>
    </row>
    <row r="3404">
      <c r="A3404" s="2" t="n">
        <v>46057</v>
      </c>
      <c r="B3404" t="n">
        <v>2026</v>
      </c>
      <c r="C3404" t="inlineStr">
        <is>
          <t>February</t>
        </is>
      </c>
      <c r="D3404" t="inlineStr">
        <is>
          <t>Wireless Cookbook</t>
        </is>
      </c>
      <c r="E3404" t="inlineStr">
        <is>
          <t>Books</t>
        </is>
      </c>
      <c r="F3404" t="inlineStr">
        <is>
          <t>Emily Nowak</t>
        </is>
      </c>
      <c r="G3404" t="inlineStr">
        <is>
          <t>Netherlands</t>
        </is>
      </c>
      <c r="H3404" t="inlineStr">
        <is>
          <t>Web Store</t>
        </is>
      </c>
      <c r="I3404" t="n">
        <v>4</v>
      </c>
      <c r="J3404" s="3" t="n">
        <v>292.84</v>
      </c>
      <c r="K3404" s="3" t="n">
        <v>0</v>
      </c>
      <c r="L3404" s="3" t="n">
        <v>292.84</v>
      </c>
      <c r="M3404" s="3" t="n">
        <v>226.44</v>
      </c>
      <c r="N3404" s="3" t="n">
        <v>66.40000000000001</v>
      </c>
      <c r="O3404">
        <f>TEXT(A3404,"yyyy-mm")</f>
        <v/>
      </c>
    </row>
    <row r="3405">
      <c r="A3405" s="2" t="n">
        <v>46057</v>
      </c>
      <c r="B3405" t="n">
        <v>2026</v>
      </c>
      <c r="C3405" t="inlineStr">
        <is>
          <t>February</t>
        </is>
      </c>
      <c r="D3405" t="inlineStr">
        <is>
          <t>Essential Charger</t>
        </is>
      </c>
      <c r="E3405" t="inlineStr">
        <is>
          <t>Electronics</t>
        </is>
      </c>
      <c r="F3405" t="inlineStr">
        <is>
          <t>Anna Smith</t>
        </is>
      </c>
      <c r="G3405" t="inlineStr">
        <is>
          <t>Germany</t>
        </is>
      </c>
      <c r="H3405" t="inlineStr">
        <is>
          <t>Web Store</t>
        </is>
      </c>
      <c r="I3405" t="n">
        <v>4</v>
      </c>
      <c r="J3405" s="3" t="n">
        <v>171.4</v>
      </c>
      <c r="K3405" s="3" t="n">
        <v>25.71</v>
      </c>
      <c r="L3405" s="3" t="n">
        <v>145.69</v>
      </c>
      <c r="M3405" s="3" t="n">
        <v>116.4</v>
      </c>
      <c r="N3405" s="3" t="n">
        <v>29.29</v>
      </c>
      <c r="O3405">
        <f>TEXT(A3405,"yyyy-mm")</f>
        <v/>
      </c>
    </row>
    <row r="3406">
      <c r="A3406" s="2" t="n">
        <v>46057</v>
      </c>
      <c r="B3406" t="n">
        <v>2026</v>
      </c>
      <c r="C3406" t="inlineStr">
        <is>
          <t>February</t>
        </is>
      </c>
      <c r="D3406" t="inlineStr">
        <is>
          <t>Compact Jacket</t>
        </is>
      </c>
      <c r="E3406" t="inlineStr">
        <is>
          <t>Clothing</t>
        </is>
      </c>
      <c r="F3406" t="inlineStr">
        <is>
          <t>Anna Smith</t>
        </is>
      </c>
      <c r="G3406" t="inlineStr">
        <is>
          <t>Germany</t>
        </is>
      </c>
      <c r="H3406" t="inlineStr">
        <is>
          <t>Web Store</t>
        </is>
      </c>
      <c r="I3406" t="n">
        <v>3</v>
      </c>
      <c r="J3406" s="3" t="n">
        <v>111.81</v>
      </c>
      <c r="K3406" s="3" t="n">
        <v>5.59</v>
      </c>
      <c r="L3406" s="3" t="n">
        <v>106.22</v>
      </c>
      <c r="M3406" s="3" t="n">
        <v>61.2</v>
      </c>
      <c r="N3406" s="3" t="n">
        <v>45.02</v>
      </c>
      <c r="O3406">
        <f>TEXT(A3406,"yyyy-mm")</f>
        <v/>
      </c>
    </row>
    <row r="3407">
      <c r="A3407" s="2" t="n">
        <v>46057</v>
      </c>
      <c r="B3407" t="n">
        <v>2026</v>
      </c>
      <c r="C3407" t="inlineStr">
        <is>
          <t>February</t>
        </is>
      </c>
      <c r="D3407" t="inlineStr">
        <is>
          <t>Smart Puzzle</t>
        </is>
      </c>
      <c r="E3407" t="inlineStr">
        <is>
          <t>Toys &amp; Games</t>
        </is>
      </c>
      <c r="F3407" t="inlineStr">
        <is>
          <t>Anna Smith</t>
        </is>
      </c>
      <c r="G3407" t="inlineStr">
        <is>
          <t>Germany</t>
        </is>
      </c>
      <c r="H3407" t="inlineStr">
        <is>
          <t>Web Store</t>
        </is>
      </c>
      <c r="I3407" t="n">
        <v>4</v>
      </c>
      <c r="J3407" s="3" t="n">
        <v>1064.68</v>
      </c>
      <c r="K3407" s="3" t="n">
        <v>106.47</v>
      </c>
      <c r="L3407" s="3" t="n">
        <v>958.21</v>
      </c>
      <c r="M3407" s="3" t="n">
        <v>771.04</v>
      </c>
      <c r="N3407" s="3" t="n">
        <v>187.17</v>
      </c>
      <c r="O3407">
        <f>TEXT(A3407,"yyyy-mm")</f>
        <v/>
      </c>
    </row>
    <row r="3408">
      <c r="A3408" s="2" t="n">
        <v>46057</v>
      </c>
      <c r="B3408" t="n">
        <v>2026</v>
      </c>
      <c r="C3408" t="inlineStr">
        <is>
          <t>February</t>
        </is>
      </c>
      <c r="D3408" t="inlineStr">
        <is>
          <t>Portable Bike Helmet</t>
        </is>
      </c>
      <c r="E3408" t="inlineStr">
        <is>
          <t>Sports &amp; Outdoors</t>
        </is>
      </c>
      <c r="F3408" t="inlineStr">
        <is>
          <t>Anna Smith</t>
        </is>
      </c>
      <c r="G3408" t="inlineStr">
        <is>
          <t>Germany</t>
        </is>
      </c>
      <c r="H3408" t="inlineStr">
        <is>
          <t>Web Store</t>
        </is>
      </c>
      <c r="I3408" t="n">
        <v>4</v>
      </c>
      <c r="J3408" s="3" t="n">
        <v>1250.16</v>
      </c>
      <c r="K3408" s="3" t="n">
        <v>250.03</v>
      </c>
      <c r="L3408" s="3" t="n">
        <v>1000.13</v>
      </c>
      <c r="M3408" s="3" t="n">
        <v>661.48</v>
      </c>
      <c r="N3408" s="3" t="n">
        <v>338.65</v>
      </c>
      <c r="O3408">
        <f>TEXT(A3408,"yyyy-mm")</f>
        <v/>
      </c>
    </row>
    <row r="3409">
      <c r="A3409" s="2" t="n">
        <v>46058</v>
      </c>
      <c r="B3409" t="n">
        <v>2026</v>
      </c>
      <c r="C3409" t="inlineStr">
        <is>
          <t>February</t>
        </is>
      </c>
      <c r="D3409" t="inlineStr">
        <is>
          <t>Smart Puzzle</t>
        </is>
      </c>
      <c r="E3409" t="inlineStr">
        <is>
          <t>Toys &amp; Games</t>
        </is>
      </c>
      <c r="F3409" t="inlineStr">
        <is>
          <t>Sophie Rossi</t>
        </is>
      </c>
      <c r="G3409" t="inlineStr">
        <is>
          <t>France</t>
        </is>
      </c>
      <c r="H3409" t="inlineStr">
        <is>
          <t>Marketplace</t>
        </is>
      </c>
      <c r="I3409" t="n">
        <v>5</v>
      </c>
      <c r="J3409" s="3" t="n">
        <v>1307.7</v>
      </c>
      <c r="K3409" s="3" t="n">
        <v>261.54</v>
      </c>
      <c r="L3409" s="3" t="n">
        <v>1046.16</v>
      </c>
      <c r="M3409" s="3" t="n">
        <v>963.8</v>
      </c>
      <c r="N3409" s="3" t="n">
        <v>82.36</v>
      </c>
      <c r="O3409">
        <f>TEXT(A3409,"yyyy-mm")</f>
        <v/>
      </c>
    </row>
    <row r="3410">
      <c r="A3410" s="2" t="n">
        <v>46058</v>
      </c>
      <c r="B3410" t="n">
        <v>2026</v>
      </c>
      <c r="C3410" t="inlineStr">
        <is>
          <t>February</t>
        </is>
      </c>
      <c r="D3410" t="inlineStr">
        <is>
          <t>Smart Camera</t>
        </is>
      </c>
      <c r="E3410" t="inlineStr">
        <is>
          <t>Electronics</t>
        </is>
      </c>
      <c r="F3410" t="inlineStr">
        <is>
          <t>Robert Fischer</t>
        </is>
      </c>
      <c r="G3410" t="inlineStr">
        <is>
          <t>Netherlands</t>
        </is>
      </c>
      <c r="H3410" t="inlineStr">
        <is>
          <t>Web Store</t>
        </is>
      </c>
      <c r="I3410" t="n">
        <v>1</v>
      </c>
      <c r="J3410" s="3" t="n">
        <v>313.38</v>
      </c>
      <c r="K3410" s="3" t="n">
        <v>62.68</v>
      </c>
      <c r="L3410" s="3" t="n">
        <v>250.7</v>
      </c>
      <c r="M3410" s="3" t="n">
        <v>167.4</v>
      </c>
      <c r="N3410" s="3" t="n">
        <v>83.3</v>
      </c>
      <c r="O3410">
        <f>TEXT(A3410,"yyyy-mm")</f>
        <v/>
      </c>
    </row>
    <row r="3411">
      <c r="A3411" s="2" t="n">
        <v>46058</v>
      </c>
      <c r="B3411" t="n">
        <v>2026</v>
      </c>
      <c r="C3411" t="inlineStr">
        <is>
          <t>February</t>
        </is>
      </c>
      <c r="D3411" t="inlineStr">
        <is>
          <t>Classic Sunscreen</t>
        </is>
      </c>
      <c r="E3411" t="inlineStr">
        <is>
          <t>Beauty &amp; Health</t>
        </is>
      </c>
      <c r="F3411" t="inlineStr">
        <is>
          <t>Robert Fischer</t>
        </is>
      </c>
      <c r="G3411" t="inlineStr">
        <is>
          <t>Netherlands</t>
        </is>
      </c>
      <c r="H3411" t="inlineStr">
        <is>
          <t>Web Store</t>
        </is>
      </c>
      <c r="I3411" t="n">
        <v>3</v>
      </c>
      <c r="J3411" s="3" t="n">
        <v>412.65</v>
      </c>
      <c r="K3411" s="3" t="n">
        <v>61.9</v>
      </c>
      <c r="L3411" s="3" t="n">
        <v>350.75</v>
      </c>
      <c r="M3411" s="3" t="n">
        <v>281.07</v>
      </c>
      <c r="N3411" s="3" t="n">
        <v>69.68000000000001</v>
      </c>
      <c r="O3411">
        <f>TEXT(A3411,"yyyy-mm")</f>
        <v/>
      </c>
    </row>
    <row r="3412">
      <c r="A3412" s="2" t="n">
        <v>46058</v>
      </c>
      <c r="B3412" t="n">
        <v>2026</v>
      </c>
      <c r="C3412" t="inlineStr">
        <is>
          <t>February</t>
        </is>
      </c>
      <c r="D3412" t="inlineStr">
        <is>
          <t>Deluxe Toothbrush</t>
        </is>
      </c>
      <c r="E3412" t="inlineStr">
        <is>
          <t>Beauty &amp; Health</t>
        </is>
      </c>
      <c r="F3412" t="inlineStr">
        <is>
          <t>Robert Fischer</t>
        </is>
      </c>
      <c r="G3412" t="inlineStr">
        <is>
          <t>Netherlands</t>
        </is>
      </c>
      <c r="H3412" t="inlineStr">
        <is>
          <t>Web Store</t>
        </is>
      </c>
      <c r="I3412" t="n">
        <v>4</v>
      </c>
      <c r="J3412" s="3" t="n">
        <v>1334.24</v>
      </c>
      <c r="K3412" s="3" t="n">
        <v>0</v>
      </c>
      <c r="L3412" s="3" t="n">
        <v>1334.24</v>
      </c>
      <c r="M3412" s="3" t="n">
        <v>698.28</v>
      </c>
      <c r="N3412" s="3" t="n">
        <v>635.96</v>
      </c>
      <c r="O3412">
        <f>TEXT(A3412,"yyyy-mm")</f>
        <v/>
      </c>
    </row>
    <row r="3413">
      <c r="A3413" s="2" t="n">
        <v>46058</v>
      </c>
      <c r="B3413" t="n">
        <v>2026</v>
      </c>
      <c r="C3413" t="inlineStr">
        <is>
          <t>February</t>
        </is>
      </c>
      <c r="D3413" t="inlineStr">
        <is>
          <t>Portable Pasta</t>
        </is>
      </c>
      <c r="E3413" t="inlineStr">
        <is>
          <t>Grocery</t>
        </is>
      </c>
      <c r="F3413" t="inlineStr">
        <is>
          <t>John Conti</t>
        </is>
      </c>
      <c r="G3413" t="inlineStr">
        <is>
          <t>Germany</t>
        </is>
      </c>
      <c r="H3413" t="inlineStr">
        <is>
          <t>Retail Store</t>
        </is>
      </c>
      <c r="I3413" t="n">
        <v>4</v>
      </c>
      <c r="J3413" s="3" t="n">
        <v>147.32</v>
      </c>
      <c r="K3413" s="3" t="n">
        <v>22.1</v>
      </c>
      <c r="L3413" s="3" t="n">
        <v>125.22</v>
      </c>
      <c r="M3413" s="3" t="n">
        <v>111</v>
      </c>
      <c r="N3413" s="3" t="n">
        <v>14.22</v>
      </c>
      <c r="O3413">
        <f>TEXT(A3413,"yyyy-mm")</f>
        <v/>
      </c>
    </row>
    <row r="3414">
      <c r="A3414" s="2" t="n">
        <v>46058</v>
      </c>
      <c r="B3414" t="n">
        <v>2026</v>
      </c>
      <c r="C3414" t="inlineStr">
        <is>
          <t>February</t>
        </is>
      </c>
      <c r="D3414" t="inlineStr">
        <is>
          <t>Wireless Coffee Beans</t>
        </is>
      </c>
      <c r="E3414" t="inlineStr">
        <is>
          <t>Grocery</t>
        </is>
      </c>
      <c r="F3414" t="inlineStr">
        <is>
          <t>Thomas Lopez</t>
        </is>
      </c>
      <c r="G3414" t="inlineStr">
        <is>
          <t>Spain</t>
        </is>
      </c>
      <c r="H3414" t="inlineStr">
        <is>
          <t>Marketplace</t>
        </is>
      </c>
      <c r="I3414" t="n">
        <v>3</v>
      </c>
      <c r="J3414" s="3" t="n">
        <v>622.29</v>
      </c>
      <c r="K3414" s="3" t="n">
        <v>31.11</v>
      </c>
      <c r="L3414" s="3" t="n">
        <v>591.1799999999999</v>
      </c>
      <c r="M3414" s="3" t="n">
        <v>390.39</v>
      </c>
      <c r="N3414" s="3" t="n">
        <v>200.79</v>
      </c>
      <c r="O3414">
        <f>TEXT(A3414,"yyyy-mm")</f>
        <v/>
      </c>
    </row>
    <row r="3415">
      <c r="A3415" s="2" t="n">
        <v>46058</v>
      </c>
      <c r="B3415" t="n">
        <v>2026</v>
      </c>
      <c r="C3415" t="inlineStr">
        <is>
          <t>February</t>
        </is>
      </c>
      <c r="D3415" t="inlineStr">
        <is>
          <t>Essential Rug</t>
        </is>
      </c>
      <c r="E3415" t="inlineStr">
        <is>
          <t>Home &amp; Garden</t>
        </is>
      </c>
      <c r="F3415" t="inlineStr">
        <is>
          <t>Thomas Lopez</t>
        </is>
      </c>
      <c r="G3415" t="inlineStr">
        <is>
          <t>Spain</t>
        </is>
      </c>
      <c r="H3415" t="inlineStr">
        <is>
          <t>Marketplace</t>
        </is>
      </c>
      <c r="I3415" t="n">
        <v>2</v>
      </c>
      <c r="J3415" s="3" t="n">
        <v>265.16</v>
      </c>
      <c r="K3415" s="3" t="n">
        <v>13.26</v>
      </c>
      <c r="L3415" s="3" t="n">
        <v>251.9</v>
      </c>
      <c r="M3415" s="3" t="n">
        <v>152.66</v>
      </c>
      <c r="N3415" s="3" t="n">
        <v>99.23999999999999</v>
      </c>
      <c r="O3415">
        <f>TEXT(A3415,"yyyy-mm")</f>
        <v/>
      </c>
    </row>
    <row r="3416">
      <c r="A3416" s="2" t="n">
        <v>46058</v>
      </c>
      <c r="B3416" t="n">
        <v>2026</v>
      </c>
      <c r="C3416" t="inlineStr">
        <is>
          <t>February</t>
        </is>
      </c>
      <c r="D3416" t="inlineStr">
        <is>
          <t>Eco Drone</t>
        </is>
      </c>
      <c r="E3416" t="inlineStr">
        <is>
          <t>Toys &amp; Games</t>
        </is>
      </c>
      <c r="F3416" t="inlineStr">
        <is>
          <t>Sophie Rossi</t>
        </is>
      </c>
      <c r="G3416" t="inlineStr">
        <is>
          <t>France</t>
        </is>
      </c>
      <c r="H3416" t="inlineStr">
        <is>
          <t>Marketplace</t>
        </is>
      </c>
      <c r="I3416" t="n">
        <v>3</v>
      </c>
      <c r="J3416" s="3" t="n">
        <v>580.59</v>
      </c>
      <c r="K3416" s="3" t="n">
        <v>0</v>
      </c>
      <c r="L3416" s="3" t="n">
        <v>580.59</v>
      </c>
      <c r="M3416" s="3" t="n">
        <v>388.77</v>
      </c>
      <c r="N3416" s="3" t="n">
        <v>191.82</v>
      </c>
      <c r="O3416">
        <f>TEXT(A3416,"yyyy-mm")</f>
        <v/>
      </c>
    </row>
    <row r="3417">
      <c r="A3417" s="2" t="n">
        <v>46058</v>
      </c>
      <c r="B3417" t="n">
        <v>2026</v>
      </c>
      <c r="C3417" t="inlineStr">
        <is>
          <t>February</t>
        </is>
      </c>
      <c r="D3417" t="inlineStr">
        <is>
          <t>Wireless Cookbook</t>
        </is>
      </c>
      <c r="E3417" t="inlineStr">
        <is>
          <t>Books</t>
        </is>
      </c>
      <c r="F3417" t="inlineStr">
        <is>
          <t>Sophie Rossi</t>
        </is>
      </c>
      <c r="G3417" t="inlineStr">
        <is>
          <t>France</t>
        </is>
      </c>
      <c r="H3417" t="inlineStr">
        <is>
          <t>Marketplace</t>
        </is>
      </c>
      <c r="I3417" t="n">
        <v>5</v>
      </c>
      <c r="J3417" s="3" t="n">
        <v>371.2</v>
      </c>
      <c r="K3417" s="3" t="n">
        <v>74.23999999999999</v>
      </c>
      <c r="L3417" s="3" t="n">
        <v>296.96</v>
      </c>
      <c r="M3417" s="3" t="n">
        <v>283.05</v>
      </c>
      <c r="N3417" s="3" t="n">
        <v>13.91</v>
      </c>
      <c r="O3417">
        <f>TEXT(A3417,"yyyy-mm")</f>
        <v/>
      </c>
    </row>
    <row r="3418">
      <c r="A3418" s="2" t="n">
        <v>46058</v>
      </c>
      <c r="B3418" t="n">
        <v>2026</v>
      </c>
      <c r="C3418" t="inlineStr">
        <is>
          <t>February</t>
        </is>
      </c>
      <c r="D3418" t="inlineStr">
        <is>
          <t>Compact Sunscreen</t>
        </is>
      </c>
      <c r="E3418" t="inlineStr">
        <is>
          <t>Beauty &amp; Health</t>
        </is>
      </c>
      <c r="F3418" t="inlineStr">
        <is>
          <t>Robert Fischer</t>
        </is>
      </c>
      <c r="G3418" t="inlineStr">
        <is>
          <t>Netherlands</t>
        </is>
      </c>
      <c r="H3418" t="inlineStr">
        <is>
          <t>Web Store</t>
        </is>
      </c>
      <c r="I3418" t="n">
        <v>3</v>
      </c>
      <c r="J3418" s="3" t="n">
        <v>913.17</v>
      </c>
      <c r="K3418" s="3" t="n">
        <v>45.66</v>
      </c>
      <c r="L3418" s="3" t="n">
        <v>867.51</v>
      </c>
      <c r="M3418" s="3" t="n">
        <v>532.98</v>
      </c>
      <c r="N3418" s="3" t="n">
        <v>334.53</v>
      </c>
      <c r="O3418">
        <f>TEXT(A3418,"yyyy-mm")</f>
        <v/>
      </c>
    </row>
    <row r="3419">
      <c r="A3419" s="2" t="n">
        <v>46058</v>
      </c>
      <c r="B3419" t="n">
        <v>2026</v>
      </c>
      <c r="C3419" t="inlineStr">
        <is>
          <t>February</t>
        </is>
      </c>
      <c r="D3419" t="inlineStr">
        <is>
          <t>Wireless Coffee Beans</t>
        </is>
      </c>
      <c r="E3419" t="inlineStr">
        <is>
          <t>Grocery</t>
        </is>
      </c>
      <c r="F3419" t="inlineStr">
        <is>
          <t>John Conti</t>
        </is>
      </c>
      <c r="G3419" t="inlineStr">
        <is>
          <t>Germany</t>
        </is>
      </c>
      <c r="H3419" t="inlineStr">
        <is>
          <t>Retail Store</t>
        </is>
      </c>
      <c r="I3419" t="n">
        <v>1</v>
      </c>
      <c r="J3419" s="3" t="n">
        <v>220.05</v>
      </c>
      <c r="K3419" s="3" t="n">
        <v>11</v>
      </c>
      <c r="L3419" s="3" t="n">
        <v>209.05</v>
      </c>
      <c r="M3419" s="3" t="n">
        <v>130.13</v>
      </c>
      <c r="N3419" s="3" t="n">
        <v>78.92</v>
      </c>
      <c r="O3419">
        <f>TEXT(A3419,"yyyy-mm")</f>
        <v/>
      </c>
    </row>
    <row r="3420">
      <c r="A3420" s="2" t="n">
        <v>46059</v>
      </c>
      <c r="B3420" t="n">
        <v>2026</v>
      </c>
      <c r="C3420" t="inlineStr">
        <is>
          <t>February</t>
        </is>
      </c>
      <c r="D3420" t="inlineStr">
        <is>
          <t>Smart Cookbook</t>
        </is>
      </c>
      <c r="E3420" t="inlineStr">
        <is>
          <t>Books</t>
        </is>
      </c>
      <c r="F3420" t="inlineStr">
        <is>
          <t>Olivia Smith</t>
        </is>
      </c>
      <c r="G3420" t="inlineStr">
        <is>
          <t>Italy</t>
        </is>
      </c>
      <c r="H3420" t="inlineStr">
        <is>
          <t>Mobile App</t>
        </is>
      </c>
      <c r="I3420" t="n">
        <v>5</v>
      </c>
      <c r="J3420" s="3" t="n">
        <v>87.7</v>
      </c>
      <c r="K3420" s="3" t="n">
        <v>17.54</v>
      </c>
      <c r="L3420" s="3" t="n">
        <v>70.16</v>
      </c>
      <c r="M3420" s="3" t="n">
        <v>49.4</v>
      </c>
      <c r="N3420" s="3" t="n">
        <v>20.76</v>
      </c>
      <c r="O3420">
        <f>TEXT(A3420,"yyyy-mm")</f>
        <v/>
      </c>
    </row>
    <row r="3421">
      <c r="A3421" s="2" t="n">
        <v>46059</v>
      </c>
      <c r="B3421" t="n">
        <v>2026</v>
      </c>
      <c r="C3421" t="inlineStr">
        <is>
          <t>February</t>
        </is>
      </c>
      <c r="D3421" t="inlineStr">
        <is>
          <t>Essential Planter</t>
        </is>
      </c>
      <c r="E3421" t="inlineStr">
        <is>
          <t>Home &amp; Garden</t>
        </is>
      </c>
      <c r="F3421" t="inlineStr">
        <is>
          <t>James Kowalski</t>
        </is>
      </c>
      <c r="G3421" t="inlineStr">
        <is>
          <t>Poland</t>
        </is>
      </c>
      <c r="H3421" t="inlineStr">
        <is>
          <t>Retail Store</t>
        </is>
      </c>
      <c r="I3421" t="n">
        <v>4</v>
      </c>
      <c r="J3421" s="3" t="n">
        <v>101.8</v>
      </c>
      <c r="K3421" s="3" t="n">
        <v>0</v>
      </c>
      <c r="L3421" s="3" t="n">
        <v>101.8</v>
      </c>
      <c r="M3421" s="3" t="n">
        <v>78.56</v>
      </c>
      <c r="N3421" s="3" t="n">
        <v>23.24</v>
      </c>
      <c r="O3421">
        <f>TEXT(A3421,"yyyy-mm")</f>
        <v/>
      </c>
    </row>
    <row r="3422">
      <c r="A3422" s="2" t="n">
        <v>46059</v>
      </c>
      <c r="B3422" t="n">
        <v>2026</v>
      </c>
      <c r="C3422" t="inlineStr">
        <is>
          <t>February</t>
        </is>
      </c>
      <c r="D3422" t="inlineStr">
        <is>
          <t>Premium Water Bottle</t>
        </is>
      </c>
      <c r="E3422" t="inlineStr">
        <is>
          <t>Sports &amp; Outdoors</t>
        </is>
      </c>
      <c r="F3422" t="inlineStr">
        <is>
          <t>James Kowalski</t>
        </is>
      </c>
      <c r="G3422" t="inlineStr">
        <is>
          <t>Poland</t>
        </is>
      </c>
      <c r="H3422" t="inlineStr">
        <is>
          <t>Retail Store</t>
        </is>
      </c>
      <c r="I3422" t="n">
        <v>5</v>
      </c>
      <c r="J3422" s="3" t="n">
        <v>1523.05</v>
      </c>
      <c r="K3422" s="3" t="n">
        <v>304.61</v>
      </c>
      <c r="L3422" s="3" t="n">
        <v>1218.44</v>
      </c>
      <c r="M3422" s="3" t="n">
        <v>905.8</v>
      </c>
      <c r="N3422" s="3" t="n">
        <v>312.64</v>
      </c>
      <c r="O3422">
        <f>TEXT(A3422,"yyyy-mm")</f>
        <v/>
      </c>
    </row>
    <row r="3423">
      <c r="A3423" s="2" t="n">
        <v>46059</v>
      </c>
      <c r="B3423" t="n">
        <v>2026</v>
      </c>
      <c r="C3423" t="inlineStr">
        <is>
          <t>February</t>
        </is>
      </c>
      <c r="D3423" t="inlineStr">
        <is>
          <t>Classic Bike Helmet</t>
        </is>
      </c>
      <c r="E3423" t="inlineStr">
        <is>
          <t>Sports &amp; Outdoors</t>
        </is>
      </c>
      <c r="F3423" t="inlineStr">
        <is>
          <t>James Kowalski</t>
        </is>
      </c>
      <c r="G3423" t="inlineStr">
        <is>
          <t>Poland</t>
        </is>
      </c>
      <c r="H3423" t="inlineStr">
        <is>
          <t>Retail Store</t>
        </is>
      </c>
      <c r="I3423" t="n">
        <v>3</v>
      </c>
      <c r="J3423" s="3" t="n">
        <v>662.85</v>
      </c>
      <c r="K3423" s="3" t="n">
        <v>33.14</v>
      </c>
      <c r="L3423" s="3" t="n">
        <v>629.71</v>
      </c>
      <c r="M3423" s="3" t="n">
        <v>461.43</v>
      </c>
      <c r="N3423" s="3" t="n">
        <v>168.28</v>
      </c>
      <c r="O3423">
        <f>TEXT(A3423,"yyyy-mm")</f>
        <v/>
      </c>
    </row>
    <row r="3424">
      <c r="A3424" s="2" t="n">
        <v>46059</v>
      </c>
      <c r="B3424" t="n">
        <v>2026</v>
      </c>
      <c r="C3424" t="inlineStr">
        <is>
          <t>February</t>
        </is>
      </c>
      <c r="D3424" t="inlineStr">
        <is>
          <t>Essential Charger</t>
        </is>
      </c>
      <c r="E3424" t="inlineStr">
        <is>
          <t>Electronics</t>
        </is>
      </c>
      <c r="F3424" t="inlineStr">
        <is>
          <t>James Kowalski</t>
        </is>
      </c>
      <c r="G3424" t="inlineStr">
        <is>
          <t>Poland</t>
        </is>
      </c>
      <c r="H3424" t="inlineStr">
        <is>
          <t>Retail Store</t>
        </is>
      </c>
      <c r="I3424" t="n">
        <v>3</v>
      </c>
      <c r="J3424" s="3" t="n">
        <v>137.01</v>
      </c>
      <c r="K3424" s="3" t="n">
        <v>20.55</v>
      </c>
      <c r="L3424" s="3" t="n">
        <v>116.46</v>
      </c>
      <c r="M3424" s="3" t="n">
        <v>87.3</v>
      </c>
      <c r="N3424" s="3" t="n">
        <v>29.16</v>
      </c>
      <c r="O3424">
        <f>TEXT(A3424,"yyyy-mm")</f>
        <v/>
      </c>
    </row>
    <row r="3425">
      <c r="A3425" s="2" t="n">
        <v>46060</v>
      </c>
      <c r="B3425" t="n">
        <v>2026</v>
      </c>
      <c r="C3425" t="inlineStr">
        <is>
          <t>February</t>
        </is>
      </c>
      <c r="D3425" t="inlineStr">
        <is>
          <t>Smart Charger</t>
        </is>
      </c>
      <c r="E3425" t="inlineStr">
        <is>
          <t>Electronics</t>
        </is>
      </c>
      <c r="F3425" t="inlineStr">
        <is>
          <t>Julia Brown</t>
        </is>
      </c>
      <c r="G3425" t="inlineStr">
        <is>
          <t>United Kingdom</t>
        </is>
      </c>
      <c r="H3425" t="inlineStr">
        <is>
          <t>Retail Store</t>
        </is>
      </c>
      <c r="I3425" t="n">
        <v>1</v>
      </c>
      <c r="J3425" s="3" t="n">
        <v>261.91</v>
      </c>
      <c r="K3425" s="3" t="n">
        <v>13.1</v>
      </c>
      <c r="L3425" s="3" t="n">
        <v>248.81</v>
      </c>
      <c r="M3425" s="3" t="n">
        <v>142.52</v>
      </c>
      <c r="N3425" s="3" t="n">
        <v>106.29</v>
      </c>
      <c r="O3425">
        <f>TEXT(A3425,"yyyy-mm")</f>
        <v/>
      </c>
    </row>
    <row r="3426">
      <c r="A3426" s="2" t="n">
        <v>46060</v>
      </c>
      <c r="B3426" t="n">
        <v>2026</v>
      </c>
      <c r="C3426" t="inlineStr">
        <is>
          <t>February</t>
        </is>
      </c>
      <c r="D3426" t="inlineStr">
        <is>
          <t>Wireless Backpack</t>
        </is>
      </c>
      <c r="E3426" t="inlineStr">
        <is>
          <t>Sports &amp; Outdoors</t>
        </is>
      </c>
      <c r="F3426" t="inlineStr">
        <is>
          <t>Daniel Nowak</t>
        </is>
      </c>
      <c r="G3426" t="inlineStr">
        <is>
          <t>Netherlands</t>
        </is>
      </c>
      <c r="H3426" t="inlineStr">
        <is>
          <t>Retail Store</t>
        </is>
      </c>
      <c r="I3426" t="n">
        <v>1</v>
      </c>
      <c r="J3426" s="3" t="n">
        <v>51.47</v>
      </c>
      <c r="K3426" s="3" t="n">
        <v>2.57</v>
      </c>
      <c r="L3426" s="3" t="n">
        <v>48.9</v>
      </c>
      <c r="M3426" s="3" t="n">
        <v>28.1</v>
      </c>
      <c r="N3426" s="3" t="n">
        <v>20.8</v>
      </c>
      <c r="O3426">
        <f>TEXT(A3426,"yyyy-mm")</f>
        <v/>
      </c>
    </row>
    <row r="3427">
      <c r="A3427" s="2" t="n">
        <v>46060</v>
      </c>
      <c r="B3427" t="n">
        <v>2026</v>
      </c>
      <c r="C3427" t="inlineStr">
        <is>
          <t>February</t>
        </is>
      </c>
      <c r="D3427" t="inlineStr">
        <is>
          <t>Smart Jeans</t>
        </is>
      </c>
      <c r="E3427" t="inlineStr">
        <is>
          <t>Clothing</t>
        </is>
      </c>
      <c r="F3427" t="inlineStr">
        <is>
          <t>Daniel Nowak</t>
        </is>
      </c>
      <c r="G3427" t="inlineStr">
        <is>
          <t>Netherlands</t>
        </is>
      </c>
      <c r="H3427" t="inlineStr">
        <is>
          <t>Retail Store</t>
        </is>
      </c>
      <c r="I3427" t="n">
        <v>5</v>
      </c>
      <c r="J3427" s="3" t="n">
        <v>1363.85</v>
      </c>
      <c r="K3427" s="3" t="n">
        <v>0</v>
      </c>
      <c r="L3427" s="3" t="n">
        <v>1363.85</v>
      </c>
      <c r="M3427" s="3" t="n">
        <v>968.2</v>
      </c>
      <c r="N3427" s="3" t="n">
        <v>395.65</v>
      </c>
      <c r="O3427">
        <f>TEXT(A3427,"yyyy-mm")</f>
        <v/>
      </c>
    </row>
    <row r="3428">
      <c r="A3428" s="2" t="n">
        <v>46060</v>
      </c>
      <c r="B3428" t="n">
        <v>2026</v>
      </c>
      <c r="C3428" t="inlineStr">
        <is>
          <t>February</t>
        </is>
      </c>
      <c r="D3428" t="inlineStr">
        <is>
          <t>Compact Jacket</t>
        </is>
      </c>
      <c r="E3428" t="inlineStr">
        <is>
          <t>Clothing</t>
        </is>
      </c>
      <c r="F3428" t="inlineStr">
        <is>
          <t>Mark Wojcik</t>
        </is>
      </c>
      <c r="G3428" t="inlineStr">
        <is>
          <t>United States</t>
        </is>
      </c>
      <c r="H3428" t="inlineStr">
        <is>
          <t>Marketplace</t>
        </is>
      </c>
      <c r="I3428" t="n">
        <v>5</v>
      </c>
      <c r="J3428" s="3" t="n">
        <v>179.45</v>
      </c>
      <c r="K3428" s="3" t="n">
        <v>8.970000000000001</v>
      </c>
      <c r="L3428" s="3" t="n">
        <v>170.48</v>
      </c>
      <c r="M3428" s="3" t="n">
        <v>102</v>
      </c>
      <c r="N3428" s="3" t="n">
        <v>68.48</v>
      </c>
      <c r="O3428">
        <f>TEXT(A3428,"yyyy-mm")</f>
        <v/>
      </c>
    </row>
    <row r="3429">
      <c r="A3429" s="2" t="n">
        <v>46060</v>
      </c>
      <c r="B3429" t="n">
        <v>2026</v>
      </c>
      <c r="C3429" t="inlineStr">
        <is>
          <t>February</t>
        </is>
      </c>
      <c r="D3429" t="inlineStr">
        <is>
          <t>Premium Tent</t>
        </is>
      </c>
      <c r="E3429" t="inlineStr">
        <is>
          <t>Sports &amp; Outdoors</t>
        </is>
      </c>
      <c r="F3429" t="inlineStr">
        <is>
          <t>Maria Dubois</t>
        </is>
      </c>
      <c r="G3429" t="inlineStr">
        <is>
          <t>United Kingdom</t>
        </is>
      </c>
      <c r="H3429" t="inlineStr">
        <is>
          <t>Mobile App</t>
        </is>
      </c>
      <c r="I3429" t="n">
        <v>3</v>
      </c>
      <c r="J3429" s="3" t="n">
        <v>434.91</v>
      </c>
      <c r="K3429" s="3" t="n">
        <v>21.75</v>
      </c>
      <c r="L3429" s="3" t="n">
        <v>413.16</v>
      </c>
      <c r="M3429" s="3" t="n">
        <v>289.2</v>
      </c>
      <c r="N3429" s="3" t="n">
        <v>123.96</v>
      </c>
      <c r="O3429">
        <f>TEXT(A3429,"yyyy-mm")</f>
        <v/>
      </c>
    </row>
    <row r="3430">
      <c r="A3430" s="2" t="n">
        <v>46061</v>
      </c>
      <c r="B3430" t="n">
        <v>2026</v>
      </c>
      <c r="C3430" t="inlineStr">
        <is>
          <t>February</t>
        </is>
      </c>
      <c r="D3430" t="inlineStr">
        <is>
          <t>Smart Honey</t>
        </is>
      </c>
      <c r="E3430" t="inlineStr">
        <is>
          <t>Grocery</t>
        </is>
      </c>
      <c r="F3430" t="inlineStr">
        <is>
          <t>Sophie Brown</t>
        </is>
      </c>
      <c r="G3430" t="inlineStr">
        <is>
          <t>United States</t>
        </is>
      </c>
      <c r="H3430" t="inlineStr">
        <is>
          <t>Marketplace</t>
        </is>
      </c>
      <c r="I3430" t="n">
        <v>4</v>
      </c>
      <c r="J3430" s="3" t="n">
        <v>511.12</v>
      </c>
      <c r="K3430" s="3" t="n">
        <v>102.22</v>
      </c>
      <c r="L3430" s="3" t="n">
        <v>408.9</v>
      </c>
      <c r="M3430" s="3" t="n">
        <v>285.76</v>
      </c>
      <c r="N3430" s="3" t="n">
        <v>123.14</v>
      </c>
      <c r="O3430">
        <f>TEXT(A3430,"yyyy-mm")</f>
        <v/>
      </c>
    </row>
    <row r="3431">
      <c r="A3431" s="2" t="n">
        <v>46061</v>
      </c>
      <c r="B3431" t="n">
        <v>2026</v>
      </c>
      <c r="C3431" t="inlineStr">
        <is>
          <t>February</t>
        </is>
      </c>
      <c r="D3431" t="inlineStr">
        <is>
          <t>Smart Coffee Beans</t>
        </is>
      </c>
      <c r="E3431" t="inlineStr">
        <is>
          <t>Grocery</t>
        </is>
      </c>
      <c r="F3431" t="inlineStr">
        <is>
          <t>Sophie Brown</t>
        </is>
      </c>
      <c r="G3431" t="inlineStr">
        <is>
          <t>United States</t>
        </is>
      </c>
      <c r="H3431" t="inlineStr">
        <is>
          <t>Marketplace</t>
        </is>
      </c>
      <c r="I3431" t="n">
        <v>2</v>
      </c>
      <c r="J3431" s="3" t="n">
        <v>225.9</v>
      </c>
      <c r="K3431" s="3" t="n">
        <v>45.18</v>
      </c>
      <c r="L3431" s="3" t="n">
        <v>180.72</v>
      </c>
      <c r="M3431" s="3" t="n">
        <v>145.7</v>
      </c>
      <c r="N3431" s="3" t="n">
        <v>35.02</v>
      </c>
      <c r="O3431">
        <f>TEXT(A3431,"yyyy-mm")</f>
        <v/>
      </c>
    </row>
    <row r="3432">
      <c r="A3432" s="2" t="n">
        <v>46061</v>
      </c>
      <c r="B3432" t="n">
        <v>2026</v>
      </c>
      <c r="C3432" t="inlineStr">
        <is>
          <t>February</t>
        </is>
      </c>
      <c r="D3432" t="inlineStr">
        <is>
          <t>Classic Coffee Beans</t>
        </is>
      </c>
      <c r="E3432" t="inlineStr">
        <is>
          <t>Grocery</t>
        </is>
      </c>
      <c r="F3432" t="inlineStr">
        <is>
          <t>Sophie Brown</t>
        </is>
      </c>
      <c r="G3432" t="inlineStr">
        <is>
          <t>United States</t>
        </is>
      </c>
      <c r="H3432" t="inlineStr">
        <is>
          <t>Marketplace</t>
        </is>
      </c>
      <c r="I3432" t="n">
        <v>4</v>
      </c>
      <c r="J3432" s="3" t="n">
        <v>1345</v>
      </c>
      <c r="K3432" s="3" t="n">
        <v>201.75</v>
      </c>
      <c r="L3432" s="3" t="n">
        <v>1143.25</v>
      </c>
      <c r="M3432" s="3" t="n">
        <v>779.04</v>
      </c>
      <c r="N3432" s="3" t="n">
        <v>364.21</v>
      </c>
      <c r="O3432">
        <f>TEXT(A3432,"yyyy-mm")</f>
        <v/>
      </c>
    </row>
    <row r="3433">
      <c r="A3433" s="2" t="n">
        <v>46061</v>
      </c>
      <c r="B3433" t="n">
        <v>2026</v>
      </c>
      <c r="C3433" t="inlineStr">
        <is>
          <t>February</t>
        </is>
      </c>
      <c r="D3433" t="inlineStr">
        <is>
          <t>Smart Face Cream</t>
        </is>
      </c>
      <c r="E3433" t="inlineStr">
        <is>
          <t>Beauty &amp; Health</t>
        </is>
      </c>
      <c r="F3433" t="inlineStr">
        <is>
          <t>Sophie Brown</t>
        </is>
      </c>
      <c r="G3433" t="inlineStr">
        <is>
          <t>United States</t>
        </is>
      </c>
      <c r="H3433" t="inlineStr">
        <is>
          <t>Marketplace</t>
        </is>
      </c>
      <c r="I3433" t="n">
        <v>2</v>
      </c>
      <c r="J3433" s="3" t="n">
        <v>532.98</v>
      </c>
      <c r="K3433" s="3" t="n">
        <v>53.3</v>
      </c>
      <c r="L3433" s="3" t="n">
        <v>479.68</v>
      </c>
      <c r="M3433" s="3" t="n">
        <v>386.28</v>
      </c>
      <c r="N3433" s="3" t="n">
        <v>93.40000000000001</v>
      </c>
      <c r="O3433">
        <f>TEXT(A3433,"yyyy-mm")</f>
        <v/>
      </c>
    </row>
    <row r="3434">
      <c r="A3434" s="2" t="n">
        <v>46063</v>
      </c>
      <c r="B3434" t="n">
        <v>2026</v>
      </c>
      <c r="C3434" t="inlineStr">
        <is>
          <t>February</t>
        </is>
      </c>
      <c r="D3434" t="inlineStr">
        <is>
          <t>Premium Water Bottle</t>
        </is>
      </c>
      <c r="E3434" t="inlineStr">
        <is>
          <t>Sports &amp; Outdoors</t>
        </is>
      </c>
      <c r="F3434" t="inlineStr">
        <is>
          <t>Emily Wojcik</t>
        </is>
      </c>
      <c r="G3434" t="inlineStr">
        <is>
          <t>Germany</t>
        </is>
      </c>
      <c r="H3434" t="inlineStr">
        <is>
          <t>Retail Store</t>
        </is>
      </c>
      <c r="I3434" t="n">
        <v>1</v>
      </c>
      <c r="J3434" s="3" t="n">
        <v>29.43</v>
      </c>
      <c r="K3434" s="3" t="n">
        <v>0</v>
      </c>
      <c r="L3434" s="3" t="n">
        <v>29.43</v>
      </c>
      <c r="M3434" s="3" t="n">
        <v>16.63</v>
      </c>
      <c r="N3434" s="3" t="n">
        <v>12.8</v>
      </c>
      <c r="O3434">
        <f>TEXT(A3434,"yyyy-mm")</f>
        <v/>
      </c>
    </row>
    <row r="3435">
      <c r="A3435" s="2" t="n">
        <v>46063</v>
      </c>
      <c r="B3435" t="n">
        <v>2026</v>
      </c>
      <c r="C3435" t="inlineStr">
        <is>
          <t>February</t>
        </is>
      </c>
      <c r="D3435" t="inlineStr">
        <is>
          <t>Ultra Vitamins</t>
        </is>
      </c>
      <c r="E3435" t="inlineStr">
        <is>
          <t>Beauty &amp; Health</t>
        </is>
      </c>
      <c r="F3435" t="inlineStr">
        <is>
          <t>Emily Wojcik</t>
        </is>
      </c>
      <c r="G3435" t="inlineStr">
        <is>
          <t>Germany</t>
        </is>
      </c>
      <c r="H3435" t="inlineStr">
        <is>
          <t>Retail Store</t>
        </is>
      </c>
      <c r="I3435" t="n">
        <v>2</v>
      </c>
      <c r="J3435" s="3" t="n">
        <v>427.8</v>
      </c>
      <c r="K3435" s="3" t="n">
        <v>42.78</v>
      </c>
      <c r="L3435" s="3" t="n">
        <v>385.02</v>
      </c>
      <c r="M3435" s="3" t="n">
        <v>252.2</v>
      </c>
      <c r="N3435" s="3" t="n">
        <v>132.82</v>
      </c>
      <c r="O3435">
        <f>TEXT(A3435,"yyyy-mm")</f>
        <v/>
      </c>
    </row>
    <row r="3436">
      <c r="A3436" s="2" t="n">
        <v>46063</v>
      </c>
      <c r="B3436" t="n">
        <v>2026</v>
      </c>
      <c r="C3436" t="inlineStr">
        <is>
          <t>February</t>
        </is>
      </c>
      <c r="D3436" t="inlineStr">
        <is>
          <t>Wireless Cookbook</t>
        </is>
      </c>
      <c r="E3436" t="inlineStr">
        <is>
          <t>Books</t>
        </is>
      </c>
      <c r="F3436" t="inlineStr">
        <is>
          <t>Emily Wojcik</t>
        </is>
      </c>
      <c r="G3436" t="inlineStr">
        <is>
          <t>Germany</t>
        </is>
      </c>
      <c r="H3436" t="inlineStr">
        <is>
          <t>Retail Store</t>
        </is>
      </c>
      <c r="I3436" t="n">
        <v>3</v>
      </c>
      <c r="J3436" s="3" t="n">
        <v>232.17</v>
      </c>
      <c r="K3436" s="3" t="n">
        <v>0</v>
      </c>
      <c r="L3436" s="3" t="n">
        <v>232.17</v>
      </c>
      <c r="M3436" s="3" t="n">
        <v>169.83</v>
      </c>
      <c r="N3436" s="3" t="n">
        <v>62.34</v>
      </c>
      <c r="O3436">
        <f>TEXT(A3436,"yyyy-mm")</f>
        <v/>
      </c>
    </row>
    <row r="3437">
      <c r="A3437" s="2" t="n">
        <v>46063</v>
      </c>
      <c r="B3437" t="n">
        <v>2026</v>
      </c>
      <c r="C3437" t="inlineStr">
        <is>
          <t>February</t>
        </is>
      </c>
      <c r="D3437" t="inlineStr">
        <is>
          <t>Smart Camera</t>
        </is>
      </c>
      <c r="E3437" t="inlineStr">
        <is>
          <t>Electronics</t>
        </is>
      </c>
      <c r="F3437" t="inlineStr">
        <is>
          <t>Emily Wojcik</t>
        </is>
      </c>
      <c r="G3437" t="inlineStr">
        <is>
          <t>Germany</t>
        </is>
      </c>
      <c r="H3437" t="inlineStr">
        <is>
          <t>Retail Store</t>
        </is>
      </c>
      <c r="I3437" t="n">
        <v>4</v>
      </c>
      <c r="J3437" s="3" t="n">
        <v>1221.52</v>
      </c>
      <c r="K3437" s="3" t="n">
        <v>0</v>
      </c>
      <c r="L3437" s="3" t="n">
        <v>1221.52</v>
      </c>
      <c r="M3437" s="3" t="n">
        <v>669.6</v>
      </c>
      <c r="N3437" s="3" t="n">
        <v>551.92</v>
      </c>
      <c r="O3437">
        <f>TEXT(A3437,"yyyy-mm")</f>
        <v/>
      </c>
    </row>
    <row r="3438">
      <c r="A3438" s="2" t="n">
        <v>46064</v>
      </c>
      <c r="B3438" t="n">
        <v>2026</v>
      </c>
      <c r="C3438" t="inlineStr">
        <is>
          <t>February</t>
        </is>
      </c>
      <c r="D3438" t="inlineStr">
        <is>
          <t>Smart Tea Set</t>
        </is>
      </c>
      <c r="E3438" t="inlineStr">
        <is>
          <t>Grocery</t>
        </is>
      </c>
      <c r="F3438" t="inlineStr">
        <is>
          <t>Olivia Wilson</t>
        </is>
      </c>
      <c r="G3438" t="inlineStr">
        <is>
          <t>France</t>
        </is>
      </c>
      <c r="H3438" t="inlineStr">
        <is>
          <t>Marketplace</t>
        </is>
      </c>
      <c r="I3438" t="n">
        <v>5</v>
      </c>
      <c r="J3438" s="3" t="n">
        <v>440.3</v>
      </c>
      <c r="K3438" s="3" t="n">
        <v>88.06</v>
      </c>
      <c r="L3438" s="3" t="n">
        <v>352.24</v>
      </c>
      <c r="M3438" s="3" t="n">
        <v>309</v>
      </c>
      <c r="N3438" s="3" t="n">
        <v>43.24</v>
      </c>
      <c r="O3438">
        <f>TEXT(A3438,"yyyy-mm")</f>
        <v/>
      </c>
    </row>
    <row r="3439">
      <c r="A3439" s="2" t="n">
        <v>46064</v>
      </c>
      <c r="B3439" t="n">
        <v>2026</v>
      </c>
      <c r="C3439" t="inlineStr">
        <is>
          <t>February</t>
        </is>
      </c>
      <c r="D3439" t="inlineStr">
        <is>
          <t>Portable Speaker</t>
        </is>
      </c>
      <c r="E3439" t="inlineStr">
        <is>
          <t>Electronics</t>
        </is>
      </c>
      <c r="F3439" t="inlineStr">
        <is>
          <t>Olivia Wilson</t>
        </is>
      </c>
      <c r="G3439" t="inlineStr">
        <is>
          <t>France</t>
        </is>
      </c>
      <c r="H3439" t="inlineStr">
        <is>
          <t>Marketplace</t>
        </is>
      </c>
      <c r="I3439" t="n">
        <v>5</v>
      </c>
      <c r="J3439" s="3" t="n">
        <v>1707.55</v>
      </c>
      <c r="K3439" s="3" t="n">
        <v>0</v>
      </c>
      <c r="L3439" s="3" t="n">
        <v>1707.55</v>
      </c>
      <c r="M3439" s="3" t="n">
        <v>874.15</v>
      </c>
      <c r="N3439" s="3" t="n">
        <v>833.4</v>
      </c>
      <c r="O3439">
        <f>TEXT(A3439,"yyyy-mm")</f>
        <v/>
      </c>
    </row>
    <row r="3440">
      <c r="A3440" s="2" t="n">
        <v>46064</v>
      </c>
      <c r="B3440" t="n">
        <v>2026</v>
      </c>
      <c r="C3440" t="inlineStr">
        <is>
          <t>February</t>
        </is>
      </c>
      <c r="D3440" t="inlineStr">
        <is>
          <t>Classic Tent</t>
        </is>
      </c>
      <c r="E3440" t="inlineStr">
        <is>
          <t>Sports &amp; Outdoors</t>
        </is>
      </c>
      <c r="F3440" t="inlineStr">
        <is>
          <t>Clara Lopez</t>
        </is>
      </c>
      <c r="G3440" t="inlineStr">
        <is>
          <t>France</t>
        </is>
      </c>
      <c r="H3440" t="inlineStr">
        <is>
          <t>Mobile App</t>
        </is>
      </c>
      <c r="I3440" t="n">
        <v>2</v>
      </c>
      <c r="J3440" s="3" t="n">
        <v>398.94</v>
      </c>
      <c r="K3440" s="3" t="n">
        <v>0</v>
      </c>
      <c r="L3440" s="3" t="n">
        <v>398.94</v>
      </c>
      <c r="M3440" s="3" t="n">
        <v>236.04</v>
      </c>
      <c r="N3440" s="3" t="n">
        <v>162.9</v>
      </c>
      <c r="O3440">
        <f>TEXT(A3440,"yyyy-mm")</f>
        <v/>
      </c>
    </row>
    <row r="3441">
      <c r="A3441" s="2" t="n">
        <v>46064</v>
      </c>
      <c r="B3441" t="n">
        <v>2026</v>
      </c>
      <c r="C3441" t="inlineStr">
        <is>
          <t>February</t>
        </is>
      </c>
      <c r="D3441" t="inlineStr">
        <is>
          <t>Smart Tea Set</t>
        </is>
      </c>
      <c r="E3441" t="inlineStr">
        <is>
          <t>Grocery</t>
        </is>
      </c>
      <c r="F3441" t="inlineStr">
        <is>
          <t>Clara Lopez</t>
        </is>
      </c>
      <c r="G3441" t="inlineStr">
        <is>
          <t>France</t>
        </is>
      </c>
      <c r="H3441" t="inlineStr">
        <is>
          <t>Mobile App</t>
        </is>
      </c>
      <c r="I3441" t="n">
        <v>4</v>
      </c>
      <c r="J3441" s="3" t="n">
        <v>365.36</v>
      </c>
      <c r="K3441" s="3" t="n">
        <v>18.27</v>
      </c>
      <c r="L3441" s="3" t="n">
        <v>347.09</v>
      </c>
      <c r="M3441" s="3" t="n">
        <v>247.2</v>
      </c>
      <c r="N3441" s="3" t="n">
        <v>99.89</v>
      </c>
      <c r="O3441">
        <f>TEXT(A3441,"yyyy-mm")</f>
        <v/>
      </c>
    </row>
    <row r="3442">
      <c r="A3442" s="2" t="n">
        <v>46064</v>
      </c>
      <c r="B3442" t="n">
        <v>2026</v>
      </c>
      <c r="C3442" t="inlineStr">
        <is>
          <t>February</t>
        </is>
      </c>
      <c r="D3442" t="inlineStr">
        <is>
          <t>Classic Charger</t>
        </is>
      </c>
      <c r="E3442" t="inlineStr">
        <is>
          <t>Electronics</t>
        </is>
      </c>
      <c r="F3442" t="inlineStr">
        <is>
          <t>Clara Lopez</t>
        </is>
      </c>
      <c r="G3442" t="inlineStr">
        <is>
          <t>France</t>
        </is>
      </c>
      <c r="H3442" t="inlineStr">
        <is>
          <t>Mobile App</t>
        </is>
      </c>
      <c r="I3442" t="n">
        <v>3</v>
      </c>
      <c r="J3442" s="3" t="n">
        <v>282.48</v>
      </c>
      <c r="K3442" s="3" t="n">
        <v>0</v>
      </c>
      <c r="L3442" s="3" t="n">
        <v>282.48</v>
      </c>
      <c r="M3442" s="3" t="n">
        <v>186.63</v>
      </c>
      <c r="N3442" s="3" t="n">
        <v>95.84999999999999</v>
      </c>
      <c r="O3442">
        <f>TEXT(A3442,"yyyy-mm")</f>
        <v/>
      </c>
    </row>
    <row r="3443">
      <c r="A3443" s="2" t="n">
        <v>46064</v>
      </c>
      <c r="B3443" t="n">
        <v>2026</v>
      </c>
      <c r="C3443" t="inlineStr">
        <is>
          <t>February</t>
        </is>
      </c>
      <c r="D3443" t="inlineStr">
        <is>
          <t>Eco Sweater</t>
        </is>
      </c>
      <c r="E3443" t="inlineStr">
        <is>
          <t>Clothing</t>
        </is>
      </c>
      <c r="F3443" t="inlineStr">
        <is>
          <t>Clara Lopez</t>
        </is>
      </c>
      <c r="G3443" t="inlineStr">
        <is>
          <t>France</t>
        </is>
      </c>
      <c r="H3443" t="inlineStr">
        <is>
          <t>Mobile App</t>
        </is>
      </c>
      <c r="I3443" t="n">
        <v>1</v>
      </c>
      <c r="J3443" s="3" t="n">
        <v>149.87</v>
      </c>
      <c r="K3443" s="3" t="n">
        <v>29.97</v>
      </c>
      <c r="L3443" s="3" t="n">
        <v>119.9</v>
      </c>
      <c r="M3443" s="3" t="n">
        <v>104.23</v>
      </c>
      <c r="N3443" s="3" t="n">
        <v>15.67</v>
      </c>
      <c r="O3443">
        <f>TEXT(A3443,"yyyy-mm")</f>
        <v/>
      </c>
    </row>
    <row r="3444">
      <c r="A3444" s="2" t="n">
        <v>46065</v>
      </c>
      <c r="B3444" t="n">
        <v>2026</v>
      </c>
      <c r="C3444" t="inlineStr">
        <is>
          <t>February</t>
        </is>
      </c>
      <c r="D3444" t="inlineStr">
        <is>
          <t>Smart Face Cream</t>
        </is>
      </c>
      <c r="E3444" t="inlineStr">
        <is>
          <t>Beauty &amp; Health</t>
        </is>
      </c>
      <c r="F3444" t="inlineStr">
        <is>
          <t>Maria Rossi</t>
        </is>
      </c>
      <c r="G3444" t="inlineStr">
        <is>
          <t>Spain</t>
        </is>
      </c>
      <c r="H3444" t="inlineStr">
        <is>
          <t>Mobile App</t>
        </is>
      </c>
      <c r="I3444" t="n">
        <v>3</v>
      </c>
      <c r="J3444" s="3" t="n">
        <v>796.71</v>
      </c>
      <c r="K3444" s="3" t="n">
        <v>0</v>
      </c>
      <c r="L3444" s="3" t="n">
        <v>796.71</v>
      </c>
      <c r="M3444" s="3" t="n">
        <v>579.42</v>
      </c>
      <c r="N3444" s="3" t="n">
        <v>217.29</v>
      </c>
      <c r="O3444">
        <f>TEXT(A3444,"yyyy-mm")</f>
        <v/>
      </c>
    </row>
    <row r="3445">
      <c r="A3445" s="2" t="n">
        <v>46065</v>
      </c>
      <c r="B3445" t="n">
        <v>2026</v>
      </c>
      <c r="C3445" t="inlineStr">
        <is>
          <t>February</t>
        </is>
      </c>
      <c r="D3445" t="inlineStr">
        <is>
          <t>Compact Pasta</t>
        </is>
      </c>
      <c r="E3445" t="inlineStr">
        <is>
          <t>Grocery</t>
        </is>
      </c>
      <c r="F3445" t="inlineStr">
        <is>
          <t>Maria Rossi</t>
        </is>
      </c>
      <c r="G3445" t="inlineStr">
        <is>
          <t>Spain</t>
        </is>
      </c>
      <c r="H3445" t="inlineStr">
        <is>
          <t>Mobile App</t>
        </is>
      </c>
      <c r="I3445" t="n">
        <v>5</v>
      </c>
      <c r="J3445" s="3" t="n">
        <v>1571</v>
      </c>
      <c r="K3445" s="3" t="n">
        <v>0</v>
      </c>
      <c r="L3445" s="3" t="n">
        <v>1571</v>
      </c>
      <c r="M3445" s="3" t="n">
        <v>997</v>
      </c>
      <c r="N3445" s="3" t="n">
        <v>574</v>
      </c>
      <c r="O3445">
        <f>TEXT(A3445,"yyyy-mm")</f>
        <v/>
      </c>
    </row>
    <row r="3446">
      <c r="A3446" s="2" t="n">
        <v>46065</v>
      </c>
      <c r="B3446" t="n">
        <v>2026</v>
      </c>
      <c r="C3446" t="inlineStr">
        <is>
          <t>February</t>
        </is>
      </c>
      <c r="D3446" t="inlineStr">
        <is>
          <t>Premium Cookbook</t>
        </is>
      </c>
      <c r="E3446" t="inlineStr">
        <is>
          <t>Books</t>
        </is>
      </c>
      <c r="F3446" t="inlineStr">
        <is>
          <t>Maria Rossi</t>
        </is>
      </c>
      <c r="G3446" t="inlineStr">
        <is>
          <t>Spain</t>
        </is>
      </c>
      <c r="H3446" t="inlineStr">
        <is>
          <t>Mobile App</t>
        </is>
      </c>
      <c r="I3446" t="n">
        <v>5</v>
      </c>
      <c r="J3446" s="3" t="n">
        <v>618.9</v>
      </c>
      <c r="K3446" s="3" t="n">
        <v>92.84</v>
      </c>
      <c r="L3446" s="3" t="n">
        <v>526.0599999999999</v>
      </c>
      <c r="M3446" s="3" t="n">
        <v>474.9</v>
      </c>
      <c r="N3446" s="3" t="n">
        <v>51.16</v>
      </c>
      <c r="O3446">
        <f>TEXT(A3446,"yyyy-mm")</f>
        <v/>
      </c>
    </row>
    <row r="3447">
      <c r="A3447" s="2" t="n">
        <v>46065</v>
      </c>
      <c r="B3447" t="n">
        <v>2026</v>
      </c>
      <c r="C3447" t="inlineStr">
        <is>
          <t>February</t>
        </is>
      </c>
      <c r="D3447" t="inlineStr">
        <is>
          <t>Classic Sunscreen</t>
        </is>
      </c>
      <c r="E3447" t="inlineStr">
        <is>
          <t>Beauty &amp; Health</t>
        </is>
      </c>
      <c r="F3447" t="inlineStr">
        <is>
          <t>Paul Zielinski</t>
        </is>
      </c>
      <c r="G3447" t="inlineStr">
        <is>
          <t>Germany</t>
        </is>
      </c>
      <c r="H3447" t="inlineStr">
        <is>
          <t>Mobile App</t>
        </is>
      </c>
      <c r="I3447" t="n">
        <v>2</v>
      </c>
      <c r="J3447" s="3" t="n">
        <v>287.26</v>
      </c>
      <c r="K3447" s="3" t="n">
        <v>43.09</v>
      </c>
      <c r="L3447" s="3" t="n">
        <v>244.17</v>
      </c>
      <c r="M3447" s="3" t="n">
        <v>187.38</v>
      </c>
      <c r="N3447" s="3" t="n">
        <v>56.79</v>
      </c>
      <c r="O3447">
        <f>TEXT(A3447,"yyyy-mm")</f>
        <v/>
      </c>
    </row>
    <row r="3448">
      <c r="A3448" s="2" t="n">
        <v>46065</v>
      </c>
      <c r="B3448" t="n">
        <v>2026</v>
      </c>
      <c r="C3448" t="inlineStr">
        <is>
          <t>February</t>
        </is>
      </c>
      <c r="D3448" t="inlineStr">
        <is>
          <t>Smart Charger</t>
        </is>
      </c>
      <c r="E3448" t="inlineStr">
        <is>
          <t>Electronics</t>
        </is>
      </c>
      <c r="F3448" t="inlineStr">
        <is>
          <t>Paul Zielinski</t>
        </is>
      </c>
      <c r="G3448" t="inlineStr">
        <is>
          <t>Germany</t>
        </is>
      </c>
      <c r="H3448" t="inlineStr">
        <is>
          <t>Mobile App</t>
        </is>
      </c>
      <c r="I3448" t="n">
        <v>3</v>
      </c>
      <c r="J3448" s="3" t="n">
        <v>120.21</v>
      </c>
      <c r="K3448" s="3" t="n">
        <v>6.01</v>
      </c>
      <c r="L3448" s="3" t="n">
        <v>114.2</v>
      </c>
      <c r="M3448" s="3" t="n">
        <v>82.92</v>
      </c>
      <c r="N3448" s="3" t="n">
        <v>31.28</v>
      </c>
      <c r="O3448">
        <f>TEXT(A3448,"yyyy-mm")</f>
        <v/>
      </c>
    </row>
    <row r="3449">
      <c r="A3449" s="2" t="n">
        <v>46067</v>
      </c>
      <c r="B3449" t="n">
        <v>2026</v>
      </c>
      <c r="C3449" t="inlineStr">
        <is>
          <t>February</t>
        </is>
      </c>
      <c r="D3449" t="inlineStr">
        <is>
          <t>Smart Camera</t>
        </is>
      </c>
      <c r="E3449" t="inlineStr">
        <is>
          <t>Electronics</t>
        </is>
      </c>
      <c r="F3449" t="inlineStr">
        <is>
          <t>David Johnson</t>
        </is>
      </c>
      <c r="G3449" t="inlineStr">
        <is>
          <t>Spain</t>
        </is>
      </c>
      <c r="H3449" t="inlineStr">
        <is>
          <t>Marketplace</t>
        </is>
      </c>
      <c r="I3449" t="n">
        <v>5</v>
      </c>
      <c r="J3449" s="3" t="n">
        <v>618.15</v>
      </c>
      <c r="K3449" s="3" t="n">
        <v>123.63</v>
      </c>
      <c r="L3449" s="3" t="n">
        <v>494.52</v>
      </c>
      <c r="M3449" s="3" t="n">
        <v>427.9</v>
      </c>
      <c r="N3449" s="3" t="n">
        <v>66.62</v>
      </c>
      <c r="O3449">
        <f>TEXT(A3449,"yyyy-mm")</f>
        <v/>
      </c>
    </row>
    <row r="3450">
      <c r="A3450" s="2" t="n">
        <v>46067</v>
      </c>
      <c r="B3450" t="n">
        <v>2026</v>
      </c>
      <c r="C3450" t="inlineStr">
        <is>
          <t>February</t>
        </is>
      </c>
      <c r="D3450" t="inlineStr">
        <is>
          <t>Wireless Backpack</t>
        </is>
      </c>
      <c r="E3450" t="inlineStr">
        <is>
          <t>Sports &amp; Outdoors</t>
        </is>
      </c>
      <c r="F3450" t="inlineStr">
        <is>
          <t>David Johnson</t>
        </is>
      </c>
      <c r="G3450" t="inlineStr">
        <is>
          <t>Spain</t>
        </is>
      </c>
      <c r="H3450" t="inlineStr">
        <is>
          <t>Marketplace</t>
        </is>
      </c>
      <c r="I3450" t="n">
        <v>4</v>
      </c>
      <c r="J3450" s="3" t="n">
        <v>203.28</v>
      </c>
      <c r="K3450" s="3" t="n">
        <v>0</v>
      </c>
      <c r="L3450" s="3" t="n">
        <v>203.28</v>
      </c>
      <c r="M3450" s="3" t="n">
        <v>112.4</v>
      </c>
      <c r="N3450" s="3" t="n">
        <v>90.88</v>
      </c>
      <c r="O3450">
        <f>TEXT(A3450,"yyyy-mm")</f>
        <v/>
      </c>
    </row>
    <row r="3451">
      <c r="A3451" s="2" t="n">
        <v>46067</v>
      </c>
      <c r="B3451" t="n">
        <v>2026</v>
      </c>
      <c r="C3451" t="inlineStr">
        <is>
          <t>February</t>
        </is>
      </c>
      <c r="D3451" t="inlineStr">
        <is>
          <t>Portable Puzzle</t>
        </is>
      </c>
      <c r="E3451" t="inlineStr">
        <is>
          <t>Toys &amp; Games</t>
        </is>
      </c>
      <c r="F3451" t="inlineStr">
        <is>
          <t>David Johnson</t>
        </is>
      </c>
      <c r="G3451" t="inlineStr">
        <is>
          <t>Spain</t>
        </is>
      </c>
      <c r="H3451" t="inlineStr">
        <is>
          <t>Marketplace</t>
        </is>
      </c>
      <c r="I3451" t="n">
        <v>2</v>
      </c>
      <c r="J3451" s="3" t="n">
        <v>226.04</v>
      </c>
      <c r="K3451" s="3" t="n">
        <v>22.6</v>
      </c>
      <c r="L3451" s="3" t="n">
        <v>203.44</v>
      </c>
      <c r="M3451" s="3" t="n">
        <v>117.6</v>
      </c>
      <c r="N3451" s="3" t="n">
        <v>85.84</v>
      </c>
      <c r="O3451">
        <f>TEXT(A3451,"yyyy-mm")</f>
        <v/>
      </c>
    </row>
    <row r="3452">
      <c r="A3452" s="2" t="n">
        <v>46067</v>
      </c>
      <c r="B3452" t="n">
        <v>2026</v>
      </c>
      <c r="C3452" t="inlineStr">
        <is>
          <t>February</t>
        </is>
      </c>
      <c r="D3452" t="inlineStr">
        <is>
          <t>Smart Drone</t>
        </is>
      </c>
      <c r="E3452" t="inlineStr">
        <is>
          <t>Toys &amp; Games</t>
        </is>
      </c>
      <c r="F3452" t="inlineStr">
        <is>
          <t>David Johnson</t>
        </is>
      </c>
      <c r="G3452" t="inlineStr">
        <is>
          <t>Spain</t>
        </is>
      </c>
      <c r="H3452" t="inlineStr">
        <is>
          <t>Marketplace</t>
        </is>
      </c>
      <c r="I3452" t="n">
        <v>3</v>
      </c>
      <c r="J3452" s="3" t="n">
        <v>690.63</v>
      </c>
      <c r="K3452" s="3" t="n">
        <v>138.13</v>
      </c>
      <c r="L3452" s="3" t="n">
        <v>552.5</v>
      </c>
      <c r="M3452" s="3" t="n">
        <v>380.85</v>
      </c>
      <c r="N3452" s="3" t="n">
        <v>171.65</v>
      </c>
      <c r="O3452">
        <f>TEXT(A3452,"yyyy-mm")</f>
        <v/>
      </c>
    </row>
    <row r="3453">
      <c r="A3453" s="2" t="n">
        <v>46068</v>
      </c>
      <c r="B3453" t="n">
        <v>2026</v>
      </c>
      <c r="C3453" t="inlineStr">
        <is>
          <t>February</t>
        </is>
      </c>
      <c r="D3453" t="inlineStr">
        <is>
          <t>Premium Rug</t>
        </is>
      </c>
      <c r="E3453" t="inlineStr">
        <is>
          <t>Home &amp; Garden</t>
        </is>
      </c>
      <c r="F3453" t="inlineStr">
        <is>
          <t>Sophie Zielinski</t>
        </is>
      </c>
      <c r="G3453" t="inlineStr">
        <is>
          <t>Spain</t>
        </is>
      </c>
      <c r="H3453" t="inlineStr">
        <is>
          <t>Mobile App</t>
        </is>
      </c>
      <c r="I3453" t="n">
        <v>5</v>
      </c>
      <c r="J3453" s="3" t="n">
        <v>917.6</v>
      </c>
      <c r="K3453" s="3" t="n">
        <v>137.64</v>
      </c>
      <c r="L3453" s="3" t="n">
        <v>779.96</v>
      </c>
      <c r="M3453" s="3" t="n">
        <v>555.95</v>
      </c>
      <c r="N3453" s="3" t="n">
        <v>224.01</v>
      </c>
      <c r="O3453">
        <f>TEXT(A3453,"yyyy-mm")</f>
        <v/>
      </c>
    </row>
    <row r="3454">
      <c r="A3454" s="2" t="n">
        <v>46068</v>
      </c>
      <c r="B3454" t="n">
        <v>2026</v>
      </c>
      <c r="C3454" t="inlineStr">
        <is>
          <t>February</t>
        </is>
      </c>
      <c r="D3454" t="inlineStr">
        <is>
          <t>Eco Backpack</t>
        </is>
      </c>
      <c r="E3454" t="inlineStr">
        <is>
          <t>Sports &amp; Outdoors</t>
        </is>
      </c>
      <c r="F3454" t="inlineStr">
        <is>
          <t>Sophie Zielinski</t>
        </is>
      </c>
      <c r="G3454" t="inlineStr">
        <is>
          <t>Spain</t>
        </is>
      </c>
      <c r="H3454" t="inlineStr">
        <is>
          <t>Mobile App</t>
        </is>
      </c>
      <c r="I3454" t="n">
        <v>3</v>
      </c>
      <c r="J3454" s="3" t="n">
        <v>801.6900000000001</v>
      </c>
      <c r="K3454" s="3" t="n">
        <v>0</v>
      </c>
      <c r="L3454" s="3" t="n">
        <v>801.6900000000001</v>
      </c>
      <c r="M3454" s="3" t="n">
        <v>439.74</v>
      </c>
      <c r="N3454" s="3" t="n">
        <v>361.95</v>
      </c>
      <c r="O3454">
        <f>TEXT(A3454,"yyyy-mm")</f>
        <v/>
      </c>
    </row>
    <row r="3455">
      <c r="A3455" s="2" t="n">
        <v>46068</v>
      </c>
      <c r="B3455" t="n">
        <v>2026</v>
      </c>
      <c r="C3455" t="inlineStr">
        <is>
          <t>February</t>
        </is>
      </c>
      <c r="D3455" t="inlineStr">
        <is>
          <t>Classic Coffee Beans</t>
        </is>
      </c>
      <c r="E3455" t="inlineStr">
        <is>
          <t>Grocery</t>
        </is>
      </c>
      <c r="F3455" t="inlineStr">
        <is>
          <t>Sophie Zielinski</t>
        </is>
      </c>
      <c r="G3455" t="inlineStr">
        <is>
          <t>Spain</t>
        </is>
      </c>
      <c r="H3455" t="inlineStr">
        <is>
          <t>Mobile App</t>
        </is>
      </c>
      <c r="I3455" t="n">
        <v>5</v>
      </c>
      <c r="J3455" s="3" t="n">
        <v>1644.55</v>
      </c>
      <c r="K3455" s="3" t="n">
        <v>164.46</v>
      </c>
      <c r="L3455" s="3" t="n">
        <v>1480.1</v>
      </c>
      <c r="M3455" s="3" t="n">
        <v>973.8</v>
      </c>
      <c r="N3455" s="3" t="n">
        <v>506.3</v>
      </c>
      <c r="O3455">
        <f>TEXT(A3455,"yyyy-mm")</f>
        <v/>
      </c>
    </row>
    <row r="3456">
      <c r="A3456" s="2" t="n">
        <v>46068</v>
      </c>
      <c r="B3456" t="n">
        <v>2026</v>
      </c>
      <c r="C3456" t="inlineStr">
        <is>
          <t>February</t>
        </is>
      </c>
      <c r="D3456" t="inlineStr">
        <is>
          <t>Ultra Backpack</t>
        </is>
      </c>
      <c r="E3456" t="inlineStr">
        <is>
          <t>Sports &amp; Outdoors</t>
        </is>
      </c>
      <c r="F3456" t="inlineStr">
        <is>
          <t>Laura Johnson</t>
        </is>
      </c>
      <c r="G3456" t="inlineStr">
        <is>
          <t>Germany</t>
        </is>
      </c>
      <c r="H3456" t="inlineStr">
        <is>
          <t>Mobile App</t>
        </is>
      </c>
      <c r="I3456" t="n">
        <v>2</v>
      </c>
      <c r="J3456" s="3" t="n">
        <v>612.72</v>
      </c>
      <c r="K3456" s="3" t="n">
        <v>91.91</v>
      </c>
      <c r="L3456" s="3" t="n">
        <v>520.8099999999999</v>
      </c>
      <c r="M3456" s="3" t="n">
        <v>347.38</v>
      </c>
      <c r="N3456" s="3" t="n">
        <v>173.43</v>
      </c>
      <c r="O3456">
        <f>TEXT(A3456,"yyyy-mm")</f>
        <v/>
      </c>
    </row>
    <row r="3457">
      <c r="A3457" s="2" t="n">
        <v>46068</v>
      </c>
      <c r="B3457" t="n">
        <v>2026</v>
      </c>
      <c r="C3457" t="inlineStr">
        <is>
          <t>February</t>
        </is>
      </c>
      <c r="D3457" t="inlineStr">
        <is>
          <t>Essential Jacket</t>
        </is>
      </c>
      <c r="E3457" t="inlineStr">
        <is>
          <t>Clothing</t>
        </is>
      </c>
      <c r="F3457" t="inlineStr">
        <is>
          <t>Clara Lopez</t>
        </is>
      </c>
      <c r="G3457" t="inlineStr">
        <is>
          <t>France</t>
        </is>
      </c>
      <c r="H3457" t="inlineStr">
        <is>
          <t>Web Store</t>
        </is>
      </c>
      <c r="I3457" t="n">
        <v>2</v>
      </c>
      <c r="J3457" s="3" t="n">
        <v>305.9</v>
      </c>
      <c r="K3457" s="3" t="n">
        <v>61.18</v>
      </c>
      <c r="L3457" s="3" t="n">
        <v>244.72</v>
      </c>
      <c r="M3457" s="3" t="n">
        <v>170.7</v>
      </c>
      <c r="N3457" s="3" t="n">
        <v>74.02</v>
      </c>
      <c r="O3457">
        <f>TEXT(A3457,"yyyy-mm")</f>
        <v/>
      </c>
    </row>
    <row r="3458">
      <c r="A3458" s="2" t="n">
        <v>46068</v>
      </c>
      <c r="B3458" t="n">
        <v>2026</v>
      </c>
      <c r="C3458" t="inlineStr">
        <is>
          <t>February</t>
        </is>
      </c>
      <c r="D3458" t="inlineStr">
        <is>
          <t>Wireless Drone</t>
        </is>
      </c>
      <c r="E3458" t="inlineStr">
        <is>
          <t>Toys &amp; Games</t>
        </is>
      </c>
      <c r="F3458" t="inlineStr">
        <is>
          <t>Clara Lopez</t>
        </is>
      </c>
      <c r="G3458" t="inlineStr">
        <is>
          <t>France</t>
        </is>
      </c>
      <c r="H3458" t="inlineStr">
        <is>
          <t>Web Store</t>
        </is>
      </c>
      <c r="I3458" t="n">
        <v>5</v>
      </c>
      <c r="J3458" s="3" t="n">
        <v>1092.1</v>
      </c>
      <c r="K3458" s="3" t="n">
        <v>163.81</v>
      </c>
      <c r="L3458" s="3" t="n">
        <v>928.28</v>
      </c>
      <c r="M3458" s="3" t="n">
        <v>656.45</v>
      </c>
      <c r="N3458" s="3" t="n">
        <v>271.84</v>
      </c>
      <c r="O3458">
        <f>TEXT(A3458,"yyyy-mm")</f>
        <v/>
      </c>
    </row>
    <row r="3459">
      <c r="A3459" s="2" t="n">
        <v>46068</v>
      </c>
      <c r="B3459" t="n">
        <v>2026</v>
      </c>
      <c r="C3459" t="inlineStr">
        <is>
          <t>February</t>
        </is>
      </c>
      <c r="D3459" t="inlineStr">
        <is>
          <t>Premium Cookbook</t>
        </is>
      </c>
      <c r="E3459" t="inlineStr">
        <is>
          <t>Books</t>
        </is>
      </c>
      <c r="F3459" t="inlineStr">
        <is>
          <t>Clara Wojcik</t>
        </is>
      </c>
      <c r="G3459" t="inlineStr">
        <is>
          <t>Italy</t>
        </is>
      </c>
      <c r="H3459" t="inlineStr">
        <is>
          <t>Mobile App</t>
        </is>
      </c>
      <c r="I3459" t="n">
        <v>3</v>
      </c>
      <c r="J3459" s="3" t="n">
        <v>395.64</v>
      </c>
      <c r="K3459" s="3" t="n">
        <v>0</v>
      </c>
      <c r="L3459" s="3" t="n">
        <v>395.64</v>
      </c>
      <c r="M3459" s="3" t="n">
        <v>284.94</v>
      </c>
      <c r="N3459" s="3" t="n">
        <v>110.7</v>
      </c>
      <c r="O3459">
        <f>TEXT(A3459,"yyyy-mm")</f>
        <v/>
      </c>
    </row>
    <row r="3460">
      <c r="A3460" s="2" t="n">
        <v>46068</v>
      </c>
      <c r="B3460" t="n">
        <v>2026</v>
      </c>
      <c r="C3460" t="inlineStr">
        <is>
          <t>February</t>
        </is>
      </c>
      <c r="D3460" t="inlineStr">
        <is>
          <t>Wireless Coffee Beans</t>
        </is>
      </c>
      <c r="E3460" t="inlineStr">
        <is>
          <t>Grocery</t>
        </is>
      </c>
      <c r="F3460" t="inlineStr">
        <is>
          <t>Clara Wojcik</t>
        </is>
      </c>
      <c r="G3460" t="inlineStr">
        <is>
          <t>Italy</t>
        </is>
      </c>
      <c r="H3460" t="inlineStr">
        <is>
          <t>Mobile App</t>
        </is>
      </c>
      <c r="I3460" t="n">
        <v>3</v>
      </c>
      <c r="J3460" s="3" t="n">
        <v>367.47</v>
      </c>
      <c r="K3460" s="3" t="n">
        <v>18.37</v>
      </c>
      <c r="L3460" s="3" t="n">
        <v>349.1</v>
      </c>
      <c r="M3460" s="3" t="n">
        <v>238.11</v>
      </c>
      <c r="N3460" s="3" t="n">
        <v>110.99</v>
      </c>
      <c r="O3460">
        <f>TEXT(A3460,"yyyy-mm")</f>
        <v/>
      </c>
    </row>
    <row r="3461">
      <c r="A3461" s="2" t="n">
        <v>46068</v>
      </c>
      <c r="B3461" t="n">
        <v>2026</v>
      </c>
      <c r="C3461" t="inlineStr">
        <is>
          <t>February</t>
        </is>
      </c>
      <c r="D3461" t="inlineStr">
        <is>
          <t>Smart Jeans</t>
        </is>
      </c>
      <c r="E3461" t="inlineStr">
        <is>
          <t>Clothing</t>
        </is>
      </c>
      <c r="F3461" t="inlineStr">
        <is>
          <t>Clara Wojcik</t>
        </is>
      </c>
      <c r="G3461" t="inlineStr">
        <is>
          <t>Italy</t>
        </is>
      </c>
      <c r="H3461" t="inlineStr">
        <is>
          <t>Mobile App</t>
        </is>
      </c>
      <c r="I3461" t="n">
        <v>5</v>
      </c>
      <c r="J3461" s="3" t="n">
        <v>1376</v>
      </c>
      <c r="K3461" s="3" t="n">
        <v>0</v>
      </c>
      <c r="L3461" s="3" t="n">
        <v>1376</v>
      </c>
      <c r="M3461" s="3" t="n">
        <v>968.2</v>
      </c>
      <c r="N3461" s="3" t="n">
        <v>407.8</v>
      </c>
      <c r="O3461">
        <f>TEXT(A3461,"yyyy-mm")</f>
        <v/>
      </c>
    </row>
    <row r="3462">
      <c r="A3462" s="2" t="n">
        <v>46068</v>
      </c>
      <c r="B3462" t="n">
        <v>2026</v>
      </c>
      <c r="C3462" t="inlineStr">
        <is>
          <t>February</t>
        </is>
      </c>
      <c r="D3462" t="inlineStr">
        <is>
          <t>Premium Tent</t>
        </is>
      </c>
      <c r="E3462" t="inlineStr">
        <is>
          <t>Sports &amp; Outdoors</t>
        </is>
      </c>
      <c r="F3462" t="inlineStr">
        <is>
          <t>Clara Wojcik</t>
        </is>
      </c>
      <c r="G3462" t="inlineStr">
        <is>
          <t>Italy</t>
        </is>
      </c>
      <c r="H3462" t="inlineStr">
        <is>
          <t>Mobile App</t>
        </is>
      </c>
      <c r="I3462" t="n">
        <v>5</v>
      </c>
      <c r="J3462" s="3" t="n">
        <v>1245.5</v>
      </c>
      <c r="K3462" s="3" t="n">
        <v>186.82</v>
      </c>
      <c r="L3462" s="3" t="n">
        <v>1058.68</v>
      </c>
      <c r="M3462" s="3" t="n">
        <v>826.55</v>
      </c>
      <c r="N3462" s="3" t="n">
        <v>232.12</v>
      </c>
      <c r="O3462">
        <f>TEXT(A3462,"yyyy-mm")</f>
        <v/>
      </c>
    </row>
    <row r="3463">
      <c r="A3463" s="2" t="n">
        <v>46068</v>
      </c>
      <c r="B3463" t="n">
        <v>2026</v>
      </c>
      <c r="C3463" t="inlineStr">
        <is>
          <t>February</t>
        </is>
      </c>
      <c r="D3463" t="inlineStr">
        <is>
          <t>Essential Pasta</t>
        </is>
      </c>
      <c r="E3463" t="inlineStr">
        <is>
          <t>Grocery</t>
        </is>
      </c>
      <c r="F3463" t="inlineStr">
        <is>
          <t>Maria Dubois</t>
        </is>
      </c>
      <c r="G3463" t="inlineStr">
        <is>
          <t>United Kingdom</t>
        </is>
      </c>
      <c r="H3463" t="inlineStr">
        <is>
          <t>Web Store</t>
        </is>
      </c>
      <c r="I3463" t="n">
        <v>4</v>
      </c>
      <c r="J3463" s="3" t="n">
        <v>220.72</v>
      </c>
      <c r="K3463" s="3" t="n">
        <v>33.11</v>
      </c>
      <c r="L3463" s="3" t="n">
        <v>187.61</v>
      </c>
      <c r="M3463" s="3" t="n">
        <v>143.24</v>
      </c>
      <c r="N3463" s="3" t="n">
        <v>44.37</v>
      </c>
      <c r="O3463">
        <f>TEXT(A3463,"yyyy-mm")</f>
        <v/>
      </c>
    </row>
    <row r="3464">
      <c r="A3464" s="2" t="n">
        <v>46068</v>
      </c>
      <c r="B3464" t="n">
        <v>2026</v>
      </c>
      <c r="C3464" t="inlineStr">
        <is>
          <t>February</t>
        </is>
      </c>
      <c r="D3464" t="inlineStr">
        <is>
          <t>Portable Puzzle</t>
        </is>
      </c>
      <c r="E3464" t="inlineStr">
        <is>
          <t>Toys &amp; Games</t>
        </is>
      </c>
      <c r="F3464" t="inlineStr">
        <is>
          <t>John Weber</t>
        </is>
      </c>
      <c r="G3464" t="inlineStr">
        <is>
          <t>Italy</t>
        </is>
      </c>
      <c r="H3464" t="inlineStr">
        <is>
          <t>Mobile App</t>
        </is>
      </c>
      <c r="I3464" t="n">
        <v>4</v>
      </c>
      <c r="J3464" s="3" t="n">
        <v>1282.28</v>
      </c>
      <c r="K3464" s="3" t="n">
        <v>192.34</v>
      </c>
      <c r="L3464" s="3" t="n">
        <v>1089.94</v>
      </c>
      <c r="M3464" s="3" t="n">
        <v>694.64</v>
      </c>
      <c r="N3464" s="3" t="n">
        <v>395.3</v>
      </c>
      <c r="O3464">
        <f>TEXT(A3464,"yyyy-mm")</f>
        <v/>
      </c>
    </row>
    <row r="3465">
      <c r="A3465" s="2" t="n">
        <v>46068</v>
      </c>
      <c r="B3465" t="n">
        <v>2026</v>
      </c>
      <c r="C3465" t="inlineStr">
        <is>
          <t>February</t>
        </is>
      </c>
      <c r="D3465" t="inlineStr">
        <is>
          <t>Portable Tea Set</t>
        </is>
      </c>
      <c r="E3465" t="inlineStr">
        <is>
          <t>Grocery</t>
        </is>
      </c>
      <c r="F3465" t="inlineStr">
        <is>
          <t>John Weber</t>
        </is>
      </c>
      <c r="G3465" t="inlineStr">
        <is>
          <t>Italy</t>
        </is>
      </c>
      <c r="H3465" t="inlineStr">
        <is>
          <t>Mobile App</t>
        </is>
      </c>
      <c r="I3465" t="n">
        <v>5</v>
      </c>
      <c r="J3465" s="3" t="n">
        <v>1372.1</v>
      </c>
      <c r="K3465" s="3" t="n">
        <v>274.42</v>
      </c>
      <c r="L3465" s="3" t="n">
        <v>1097.68</v>
      </c>
      <c r="M3465" s="3" t="n">
        <v>940.6</v>
      </c>
      <c r="N3465" s="3" t="n">
        <v>157.08</v>
      </c>
      <c r="O3465">
        <f>TEXT(A3465,"yyyy-mm")</f>
        <v/>
      </c>
    </row>
    <row r="3466">
      <c r="A3466" s="2" t="n">
        <v>46068</v>
      </c>
      <c r="B3466" t="n">
        <v>2026</v>
      </c>
      <c r="C3466" t="inlineStr">
        <is>
          <t>February</t>
        </is>
      </c>
      <c r="D3466" t="inlineStr">
        <is>
          <t>Portable Toolset</t>
        </is>
      </c>
      <c r="E3466" t="inlineStr">
        <is>
          <t>Home &amp; Garden</t>
        </is>
      </c>
      <c r="F3466" t="inlineStr">
        <is>
          <t>Sophie Dubois</t>
        </is>
      </c>
      <c r="G3466" t="inlineStr">
        <is>
          <t>United Kingdom</t>
        </is>
      </c>
      <c r="H3466" t="inlineStr">
        <is>
          <t>Retail Store</t>
        </is>
      </c>
      <c r="I3466" t="n">
        <v>4</v>
      </c>
      <c r="J3466" s="3" t="n">
        <v>366.4</v>
      </c>
      <c r="K3466" s="3" t="n">
        <v>0</v>
      </c>
      <c r="L3466" s="3" t="n">
        <v>366.4</v>
      </c>
      <c r="M3466" s="3" t="n">
        <v>202.16</v>
      </c>
      <c r="N3466" s="3" t="n">
        <v>164.24</v>
      </c>
      <c r="O3466">
        <f>TEXT(A3466,"yyyy-mm")</f>
        <v/>
      </c>
    </row>
    <row r="3467">
      <c r="A3467" s="2" t="n">
        <v>46068</v>
      </c>
      <c r="B3467" t="n">
        <v>2026</v>
      </c>
      <c r="C3467" t="inlineStr">
        <is>
          <t>February</t>
        </is>
      </c>
      <c r="D3467" t="inlineStr">
        <is>
          <t>Premium Water Bottle</t>
        </is>
      </c>
      <c r="E3467" t="inlineStr">
        <is>
          <t>Sports &amp; Outdoors</t>
        </is>
      </c>
      <c r="F3467" t="inlineStr">
        <is>
          <t>John Weber</t>
        </is>
      </c>
      <c r="G3467" t="inlineStr">
        <is>
          <t>Italy</t>
        </is>
      </c>
      <c r="H3467" t="inlineStr">
        <is>
          <t>Mobile App</t>
        </is>
      </c>
      <c r="I3467" t="n">
        <v>5</v>
      </c>
      <c r="J3467" s="3" t="n">
        <v>593.35</v>
      </c>
      <c r="K3467" s="3" t="n">
        <v>0</v>
      </c>
      <c r="L3467" s="3" t="n">
        <v>593.35</v>
      </c>
      <c r="M3467" s="3" t="n">
        <v>448.1</v>
      </c>
      <c r="N3467" s="3" t="n">
        <v>145.25</v>
      </c>
      <c r="O3467">
        <f>TEXT(A3467,"yyyy-mm")</f>
        <v/>
      </c>
    </row>
    <row r="3468">
      <c r="A3468" s="2" t="n">
        <v>46068</v>
      </c>
      <c r="B3468" t="n">
        <v>2026</v>
      </c>
      <c r="C3468" t="inlineStr">
        <is>
          <t>February</t>
        </is>
      </c>
      <c r="D3468" t="inlineStr">
        <is>
          <t>Eco Tent</t>
        </is>
      </c>
      <c r="E3468" t="inlineStr">
        <is>
          <t>Sports &amp; Outdoors</t>
        </is>
      </c>
      <c r="F3468" t="inlineStr">
        <is>
          <t>Sophie Dubois</t>
        </is>
      </c>
      <c r="G3468" t="inlineStr">
        <is>
          <t>United Kingdom</t>
        </is>
      </c>
      <c r="H3468" t="inlineStr">
        <is>
          <t>Retail Store</t>
        </is>
      </c>
      <c r="I3468" t="n">
        <v>5</v>
      </c>
      <c r="J3468" s="3" t="n">
        <v>333.3</v>
      </c>
      <c r="K3468" s="3" t="n">
        <v>16.66</v>
      </c>
      <c r="L3468" s="3" t="n">
        <v>316.63</v>
      </c>
      <c r="M3468" s="3" t="n">
        <v>219.25</v>
      </c>
      <c r="N3468" s="3" t="n">
        <v>97.38</v>
      </c>
      <c r="O3468">
        <f>TEXT(A3468,"yyyy-mm")</f>
        <v/>
      </c>
    </row>
    <row r="3469">
      <c r="A3469" s="2" t="n">
        <v>46068</v>
      </c>
      <c r="B3469" t="n">
        <v>2026</v>
      </c>
      <c r="C3469" t="inlineStr">
        <is>
          <t>February</t>
        </is>
      </c>
      <c r="D3469" t="inlineStr">
        <is>
          <t>Wireless Coffee Beans</t>
        </is>
      </c>
      <c r="E3469" t="inlineStr">
        <is>
          <t>Grocery</t>
        </is>
      </c>
      <c r="F3469" t="inlineStr">
        <is>
          <t>Sophie Dubois</t>
        </is>
      </c>
      <c r="G3469" t="inlineStr">
        <is>
          <t>United Kingdom</t>
        </is>
      </c>
      <c r="H3469" t="inlineStr">
        <is>
          <t>Retail Store</t>
        </is>
      </c>
      <c r="I3469" t="n">
        <v>3</v>
      </c>
      <c r="J3469" s="3" t="n">
        <v>346.35</v>
      </c>
      <c r="K3469" s="3" t="n">
        <v>0</v>
      </c>
      <c r="L3469" s="3" t="n">
        <v>346.35</v>
      </c>
      <c r="M3469" s="3" t="n">
        <v>238.11</v>
      </c>
      <c r="N3469" s="3" t="n">
        <v>108.24</v>
      </c>
      <c r="O3469">
        <f>TEXT(A3469,"yyyy-mm")</f>
        <v/>
      </c>
    </row>
    <row r="3470">
      <c r="A3470" s="2" t="n">
        <v>46068</v>
      </c>
      <c r="B3470" t="n">
        <v>2026</v>
      </c>
      <c r="C3470" t="inlineStr">
        <is>
          <t>February</t>
        </is>
      </c>
      <c r="D3470" t="inlineStr">
        <is>
          <t>Portable Pasta</t>
        </is>
      </c>
      <c r="E3470" t="inlineStr">
        <is>
          <t>Grocery</t>
        </is>
      </c>
      <c r="F3470" t="inlineStr">
        <is>
          <t>John Weber</t>
        </is>
      </c>
      <c r="G3470" t="inlineStr">
        <is>
          <t>Italy</t>
        </is>
      </c>
      <c r="H3470" t="inlineStr">
        <is>
          <t>Mobile App</t>
        </is>
      </c>
      <c r="I3470" t="n">
        <v>4</v>
      </c>
      <c r="J3470" s="3" t="n">
        <v>152.72</v>
      </c>
      <c r="K3470" s="3" t="n">
        <v>0</v>
      </c>
      <c r="L3470" s="3" t="n">
        <v>152.72</v>
      </c>
      <c r="M3470" s="3" t="n">
        <v>111</v>
      </c>
      <c r="N3470" s="3" t="n">
        <v>41.72</v>
      </c>
      <c r="O3470">
        <f>TEXT(A3470,"yyyy-mm")</f>
        <v/>
      </c>
    </row>
    <row r="3471">
      <c r="A3471" s="2" t="n">
        <v>46068</v>
      </c>
      <c r="B3471" t="n">
        <v>2026</v>
      </c>
      <c r="C3471" t="inlineStr">
        <is>
          <t>February</t>
        </is>
      </c>
      <c r="D3471" t="inlineStr">
        <is>
          <t>Compact Biography</t>
        </is>
      </c>
      <c r="E3471" t="inlineStr">
        <is>
          <t>Books</t>
        </is>
      </c>
      <c r="F3471" t="inlineStr">
        <is>
          <t>Maria Dubois</t>
        </is>
      </c>
      <c r="G3471" t="inlineStr">
        <is>
          <t>United Kingdom</t>
        </is>
      </c>
      <c r="H3471" t="inlineStr">
        <is>
          <t>Web Store</t>
        </is>
      </c>
      <c r="I3471" t="n">
        <v>2</v>
      </c>
      <c r="J3471" s="3" t="n">
        <v>509.66</v>
      </c>
      <c r="K3471" s="3" t="n">
        <v>101.93</v>
      </c>
      <c r="L3471" s="3" t="n">
        <v>407.73</v>
      </c>
      <c r="M3471" s="3" t="n">
        <v>280.66</v>
      </c>
      <c r="N3471" s="3" t="n">
        <v>127.07</v>
      </c>
      <c r="O3471">
        <f>TEXT(A3471,"yyyy-mm")</f>
        <v/>
      </c>
    </row>
    <row r="3472">
      <c r="A3472" s="2" t="n">
        <v>46068</v>
      </c>
      <c r="B3472" t="n">
        <v>2026</v>
      </c>
      <c r="C3472" t="inlineStr">
        <is>
          <t>February</t>
        </is>
      </c>
      <c r="D3472" t="inlineStr">
        <is>
          <t>Smart Puzzle</t>
        </is>
      </c>
      <c r="E3472" t="inlineStr">
        <is>
          <t>Toys &amp; Games</t>
        </is>
      </c>
      <c r="F3472" t="inlineStr">
        <is>
          <t>Maria Dubois</t>
        </is>
      </c>
      <c r="G3472" t="inlineStr">
        <is>
          <t>United Kingdom</t>
        </is>
      </c>
      <c r="H3472" t="inlineStr">
        <is>
          <t>Web Store</t>
        </is>
      </c>
      <c r="I3472" t="n">
        <v>4</v>
      </c>
      <c r="J3472" s="3" t="n">
        <v>1094.8</v>
      </c>
      <c r="K3472" s="3" t="n">
        <v>0</v>
      </c>
      <c r="L3472" s="3" t="n">
        <v>1094.8</v>
      </c>
      <c r="M3472" s="3" t="n">
        <v>771.04</v>
      </c>
      <c r="N3472" s="3" t="n">
        <v>323.76</v>
      </c>
      <c r="O3472">
        <f>TEXT(A3472,"yyyy-mm")</f>
        <v/>
      </c>
    </row>
    <row r="3473">
      <c r="A3473" s="2" t="n">
        <v>46068</v>
      </c>
      <c r="B3473" t="n">
        <v>2026</v>
      </c>
      <c r="C3473" t="inlineStr">
        <is>
          <t>February</t>
        </is>
      </c>
      <c r="D3473" t="inlineStr">
        <is>
          <t>Essential Planter</t>
        </is>
      </c>
      <c r="E3473" t="inlineStr">
        <is>
          <t>Home &amp; Garden</t>
        </is>
      </c>
      <c r="F3473" t="inlineStr">
        <is>
          <t>Maria Dubois</t>
        </is>
      </c>
      <c r="G3473" t="inlineStr">
        <is>
          <t>United Kingdom</t>
        </is>
      </c>
      <c r="H3473" t="inlineStr">
        <is>
          <t>Web Store</t>
        </is>
      </c>
      <c r="I3473" t="n">
        <v>4</v>
      </c>
      <c r="J3473" s="3" t="n">
        <v>98.68000000000001</v>
      </c>
      <c r="K3473" s="3" t="n">
        <v>0</v>
      </c>
      <c r="L3473" s="3" t="n">
        <v>98.68000000000001</v>
      </c>
      <c r="M3473" s="3" t="n">
        <v>78.56</v>
      </c>
      <c r="N3473" s="3" t="n">
        <v>20.12</v>
      </c>
      <c r="O3473">
        <f>TEXT(A3473,"yyyy-mm")</f>
        <v/>
      </c>
    </row>
    <row r="3474">
      <c r="A3474" s="2" t="n">
        <v>46069</v>
      </c>
      <c r="B3474" t="n">
        <v>2026</v>
      </c>
      <c r="C3474" t="inlineStr">
        <is>
          <t>February</t>
        </is>
      </c>
      <c r="D3474" t="inlineStr">
        <is>
          <t>Wireless Cookbook</t>
        </is>
      </c>
      <c r="E3474" t="inlineStr">
        <is>
          <t>Books</t>
        </is>
      </c>
      <c r="F3474" t="inlineStr">
        <is>
          <t>James Wojcik</t>
        </is>
      </c>
      <c r="G3474" t="inlineStr">
        <is>
          <t>Netherlands</t>
        </is>
      </c>
      <c r="H3474" t="inlineStr">
        <is>
          <t>Marketplace</t>
        </is>
      </c>
      <c r="I3474" t="n">
        <v>1</v>
      </c>
      <c r="J3474" s="3" t="n">
        <v>75.58</v>
      </c>
      <c r="K3474" s="3" t="n">
        <v>0</v>
      </c>
      <c r="L3474" s="3" t="n">
        <v>75.58</v>
      </c>
      <c r="M3474" s="3" t="n">
        <v>56.61</v>
      </c>
      <c r="N3474" s="3" t="n">
        <v>18.97</v>
      </c>
      <c r="O3474">
        <f>TEXT(A3474,"yyyy-mm")</f>
        <v/>
      </c>
    </row>
    <row r="3475">
      <c r="A3475" s="2" t="n">
        <v>46069</v>
      </c>
      <c r="B3475" t="n">
        <v>2026</v>
      </c>
      <c r="C3475" t="inlineStr">
        <is>
          <t>February</t>
        </is>
      </c>
      <c r="D3475" t="inlineStr">
        <is>
          <t>Ultra Rug</t>
        </is>
      </c>
      <c r="E3475" t="inlineStr">
        <is>
          <t>Home &amp; Garden</t>
        </is>
      </c>
      <c r="F3475" t="inlineStr">
        <is>
          <t>James Wojcik</t>
        </is>
      </c>
      <c r="G3475" t="inlineStr">
        <is>
          <t>Netherlands</t>
        </is>
      </c>
      <c r="H3475" t="inlineStr">
        <is>
          <t>Marketplace</t>
        </is>
      </c>
      <c r="I3475" t="n">
        <v>2</v>
      </c>
      <c r="J3475" s="3" t="n">
        <v>101.02</v>
      </c>
      <c r="K3475" s="3" t="n">
        <v>20.2</v>
      </c>
      <c r="L3475" s="3" t="n">
        <v>80.81999999999999</v>
      </c>
      <c r="M3475" s="3" t="n">
        <v>65.81999999999999</v>
      </c>
      <c r="N3475" s="3" t="n">
        <v>15</v>
      </c>
      <c r="O3475">
        <f>TEXT(A3475,"yyyy-mm")</f>
        <v/>
      </c>
    </row>
    <row r="3476">
      <c r="A3476" s="2" t="n">
        <v>46069</v>
      </c>
      <c r="B3476" t="n">
        <v>2026</v>
      </c>
      <c r="C3476" t="inlineStr">
        <is>
          <t>February</t>
        </is>
      </c>
      <c r="D3476" t="inlineStr">
        <is>
          <t>Smart Tea Set</t>
        </is>
      </c>
      <c r="E3476" t="inlineStr">
        <is>
          <t>Grocery</t>
        </is>
      </c>
      <c r="F3476" t="inlineStr">
        <is>
          <t>James Wojcik</t>
        </is>
      </c>
      <c r="G3476" t="inlineStr">
        <is>
          <t>Netherlands</t>
        </is>
      </c>
      <c r="H3476" t="inlineStr">
        <is>
          <t>Marketplace</t>
        </is>
      </c>
      <c r="I3476" t="n">
        <v>3</v>
      </c>
      <c r="J3476" s="3" t="n">
        <v>263.34</v>
      </c>
      <c r="K3476" s="3" t="n">
        <v>0</v>
      </c>
      <c r="L3476" s="3" t="n">
        <v>263.34</v>
      </c>
      <c r="M3476" s="3" t="n">
        <v>185.4</v>
      </c>
      <c r="N3476" s="3" t="n">
        <v>77.94</v>
      </c>
      <c r="O3476">
        <f>TEXT(A3476,"yyyy-mm")</f>
        <v/>
      </c>
    </row>
    <row r="3477">
      <c r="A3477" s="2" t="n">
        <v>46069</v>
      </c>
      <c r="B3477" t="n">
        <v>2026</v>
      </c>
      <c r="C3477" t="inlineStr">
        <is>
          <t>February</t>
        </is>
      </c>
      <c r="D3477" t="inlineStr">
        <is>
          <t>Portable Notebook</t>
        </is>
      </c>
      <c r="E3477" t="inlineStr">
        <is>
          <t>Books</t>
        </is>
      </c>
      <c r="F3477" t="inlineStr">
        <is>
          <t>Thomas Fischer</t>
        </is>
      </c>
      <c r="G3477" t="inlineStr">
        <is>
          <t>France</t>
        </is>
      </c>
      <c r="H3477" t="inlineStr">
        <is>
          <t>Web Store</t>
        </is>
      </c>
      <c r="I3477" t="n">
        <v>5</v>
      </c>
      <c r="J3477" s="3" t="n">
        <v>624</v>
      </c>
      <c r="K3477" s="3" t="n">
        <v>93.59999999999999</v>
      </c>
      <c r="L3477" s="3" t="n">
        <v>530.4</v>
      </c>
      <c r="M3477" s="3" t="n">
        <v>356.4</v>
      </c>
      <c r="N3477" s="3" t="n">
        <v>174</v>
      </c>
      <c r="O3477">
        <f>TEXT(A3477,"yyyy-mm")</f>
        <v/>
      </c>
    </row>
    <row r="3478">
      <c r="A3478" s="2" t="n">
        <v>46069</v>
      </c>
      <c r="B3478" t="n">
        <v>2026</v>
      </c>
      <c r="C3478" t="inlineStr">
        <is>
          <t>February</t>
        </is>
      </c>
      <c r="D3478" t="inlineStr">
        <is>
          <t>Eco Drone</t>
        </is>
      </c>
      <c r="E3478" t="inlineStr">
        <is>
          <t>Toys &amp; Games</t>
        </is>
      </c>
      <c r="F3478" t="inlineStr">
        <is>
          <t>Thomas Fischer</t>
        </is>
      </c>
      <c r="G3478" t="inlineStr">
        <is>
          <t>France</t>
        </is>
      </c>
      <c r="H3478" t="inlineStr">
        <is>
          <t>Web Store</t>
        </is>
      </c>
      <c r="I3478" t="n">
        <v>2</v>
      </c>
      <c r="J3478" s="3" t="n">
        <v>420.98</v>
      </c>
      <c r="K3478" s="3" t="n">
        <v>21.05</v>
      </c>
      <c r="L3478" s="3" t="n">
        <v>399.93</v>
      </c>
      <c r="M3478" s="3" t="n">
        <v>259.18</v>
      </c>
      <c r="N3478" s="3" t="n">
        <v>140.75</v>
      </c>
      <c r="O3478">
        <f>TEXT(A3478,"yyyy-mm")</f>
        <v/>
      </c>
    </row>
    <row r="3479">
      <c r="A3479" s="2" t="n">
        <v>46069</v>
      </c>
      <c r="B3479" t="n">
        <v>2026</v>
      </c>
      <c r="C3479" t="inlineStr">
        <is>
          <t>February</t>
        </is>
      </c>
      <c r="D3479" t="inlineStr">
        <is>
          <t>Premium Tent</t>
        </is>
      </c>
      <c r="E3479" t="inlineStr">
        <is>
          <t>Sports &amp; Outdoors</t>
        </is>
      </c>
      <c r="F3479" t="inlineStr">
        <is>
          <t>James Wojcik</t>
        </is>
      </c>
      <c r="G3479" t="inlineStr">
        <is>
          <t>Netherlands</t>
        </is>
      </c>
      <c r="H3479" t="inlineStr">
        <is>
          <t>Marketplace</t>
        </is>
      </c>
      <c r="I3479" t="n">
        <v>4</v>
      </c>
      <c r="J3479" s="3" t="n">
        <v>1001.44</v>
      </c>
      <c r="K3479" s="3" t="n">
        <v>50.07</v>
      </c>
      <c r="L3479" s="3" t="n">
        <v>951.37</v>
      </c>
      <c r="M3479" s="3" t="n">
        <v>661.24</v>
      </c>
      <c r="N3479" s="3" t="n">
        <v>290.13</v>
      </c>
      <c r="O3479">
        <f>TEXT(A3479,"yyyy-mm")</f>
        <v/>
      </c>
    </row>
    <row r="3480">
      <c r="A3480" s="2" t="n">
        <v>46070</v>
      </c>
      <c r="B3480" t="n">
        <v>2026</v>
      </c>
      <c r="C3480" t="inlineStr">
        <is>
          <t>February</t>
        </is>
      </c>
      <c r="D3480" t="inlineStr">
        <is>
          <t>Smart Face Cream</t>
        </is>
      </c>
      <c r="E3480" t="inlineStr">
        <is>
          <t>Beauty &amp; Health</t>
        </is>
      </c>
      <c r="F3480" t="inlineStr">
        <is>
          <t>Michael Moreau</t>
        </is>
      </c>
      <c r="G3480" t="inlineStr">
        <is>
          <t>Poland</t>
        </is>
      </c>
      <c r="H3480" t="inlineStr">
        <is>
          <t>Web Store</t>
        </is>
      </c>
      <c r="I3480" t="n">
        <v>1</v>
      </c>
      <c r="J3480" s="3" t="n">
        <v>255.59</v>
      </c>
      <c r="K3480" s="3" t="n">
        <v>51.12</v>
      </c>
      <c r="L3480" s="3" t="n">
        <v>204.47</v>
      </c>
      <c r="M3480" s="3" t="n">
        <v>193.14</v>
      </c>
      <c r="N3480" s="3" t="n">
        <v>11.33</v>
      </c>
      <c r="O3480">
        <f>TEXT(A3480,"yyyy-mm")</f>
        <v/>
      </c>
    </row>
    <row r="3481">
      <c r="A3481" s="2" t="n">
        <v>46070</v>
      </c>
      <c r="B3481" t="n">
        <v>2026</v>
      </c>
      <c r="C3481" t="inlineStr">
        <is>
          <t>February</t>
        </is>
      </c>
      <c r="D3481" t="inlineStr">
        <is>
          <t>Ultra Rug</t>
        </is>
      </c>
      <c r="E3481" t="inlineStr">
        <is>
          <t>Home &amp; Garden</t>
        </is>
      </c>
      <c r="F3481" t="inlineStr">
        <is>
          <t>Maria Rossi</t>
        </is>
      </c>
      <c r="G3481" t="inlineStr">
        <is>
          <t>Spain</t>
        </is>
      </c>
      <c r="H3481" t="inlineStr">
        <is>
          <t>Retail Store</t>
        </is>
      </c>
      <c r="I3481" t="n">
        <v>5</v>
      </c>
      <c r="J3481" s="3" t="n">
        <v>269.65</v>
      </c>
      <c r="K3481" s="3" t="n">
        <v>0</v>
      </c>
      <c r="L3481" s="3" t="n">
        <v>269.65</v>
      </c>
      <c r="M3481" s="3" t="n">
        <v>164.55</v>
      </c>
      <c r="N3481" s="3" t="n">
        <v>105.1</v>
      </c>
      <c r="O3481">
        <f>TEXT(A3481,"yyyy-mm")</f>
        <v/>
      </c>
    </row>
    <row r="3482">
      <c r="A3482" s="2" t="n">
        <v>46070</v>
      </c>
      <c r="B3482" t="n">
        <v>2026</v>
      </c>
      <c r="C3482" t="inlineStr">
        <is>
          <t>February</t>
        </is>
      </c>
      <c r="D3482" t="inlineStr">
        <is>
          <t>Compact Biography</t>
        </is>
      </c>
      <c r="E3482" t="inlineStr">
        <is>
          <t>Books</t>
        </is>
      </c>
      <c r="F3482" t="inlineStr">
        <is>
          <t>Maria Rossi</t>
        </is>
      </c>
      <c r="G3482" t="inlineStr">
        <is>
          <t>Spain</t>
        </is>
      </c>
      <c r="H3482" t="inlineStr">
        <is>
          <t>Retail Store</t>
        </is>
      </c>
      <c r="I3482" t="n">
        <v>2</v>
      </c>
      <c r="J3482" s="3" t="n">
        <v>526.9</v>
      </c>
      <c r="K3482" s="3" t="n">
        <v>0</v>
      </c>
      <c r="L3482" s="3" t="n">
        <v>526.9</v>
      </c>
      <c r="M3482" s="3" t="n">
        <v>280.66</v>
      </c>
      <c r="N3482" s="3" t="n">
        <v>246.24</v>
      </c>
      <c r="O3482">
        <f>TEXT(A3482,"yyyy-mm")</f>
        <v/>
      </c>
    </row>
    <row r="3483">
      <c r="A3483" s="2" t="n">
        <v>46070</v>
      </c>
      <c r="B3483" t="n">
        <v>2026</v>
      </c>
      <c r="C3483" t="inlineStr">
        <is>
          <t>February</t>
        </is>
      </c>
      <c r="D3483" t="inlineStr">
        <is>
          <t>Essential Vitamins</t>
        </is>
      </c>
      <c r="E3483" t="inlineStr">
        <is>
          <t>Beauty &amp; Health</t>
        </is>
      </c>
      <c r="F3483" t="inlineStr">
        <is>
          <t>Peter Martin</t>
        </is>
      </c>
      <c r="G3483" t="inlineStr">
        <is>
          <t>Germany</t>
        </is>
      </c>
      <c r="H3483" t="inlineStr">
        <is>
          <t>Web Store</t>
        </is>
      </c>
      <c r="I3483" t="n">
        <v>4</v>
      </c>
      <c r="J3483" s="3" t="n">
        <v>687.8</v>
      </c>
      <c r="K3483" s="3" t="n">
        <v>0</v>
      </c>
      <c r="L3483" s="3" t="n">
        <v>687.8</v>
      </c>
      <c r="M3483" s="3" t="n">
        <v>441.2</v>
      </c>
      <c r="N3483" s="3" t="n">
        <v>246.6</v>
      </c>
      <c r="O3483">
        <f>TEXT(A3483,"yyyy-mm")</f>
        <v/>
      </c>
    </row>
    <row r="3484">
      <c r="A3484" s="2" t="n">
        <v>46070</v>
      </c>
      <c r="B3484" t="n">
        <v>2026</v>
      </c>
      <c r="C3484" t="inlineStr">
        <is>
          <t>February</t>
        </is>
      </c>
      <c r="D3484" t="inlineStr">
        <is>
          <t>Deluxe Smartwatch</t>
        </is>
      </c>
      <c r="E3484" t="inlineStr">
        <is>
          <t>Electronics</t>
        </is>
      </c>
      <c r="F3484" t="inlineStr">
        <is>
          <t>Peter Martin</t>
        </is>
      </c>
      <c r="G3484" t="inlineStr">
        <is>
          <t>Germany</t>
        </is>
      </c>
      <c r="H3484" t="inlineStr">
        <is>
          <t>Web Store</t>
        </is>
      </c>
      <c r="I3484" t="n">
        <v>2</v>
      </c>
      <c r="J3484" s="3" t="n">
        <v>324.28</v>
      </c>
      <c r="K3484" s="3" t="n">
        <v>0</v>
      </c>
      <c r="L3484" s="3" t="n">
        <v>324.28</v>
      </c>
      <c r="M3484" s="3" t="n">
        <v>245.44</v>
      </c>
      <c r="N3484" s="3" t="n">
        <v>78.84</v>
      </c>
      <c r="O3484">
        <f>TEXT(A3484,"yyyy-mm")</f>
        <v/>
      </c>
    </row>
    <row r="3485">
      <c r="A3485" s="2" t="n">
        <v>46070</v>
      </c>
      <c r="B3485" t="n">
        <v>2026</v>
      </c>
      <c r="C3485" t="inlineStr">
        <is>
          <t>February</t>
        </is>
      </c>
      <c r="D3485" t="inlineStr">
        <is>
          <t>Compact Biography</t>
        </is>
      </c>
      <c r="E3485" t="inlineStr">
        <is>
          <t>Books</t>
        </is>
      </c>
      <c r="F3485" t="inlineStr">
        <is>
          <t>Thomas Kowalski</t>
        </is>
      </c>
      <c r="G3485" t="inlineStr">
        <is>
          <t>Poland</t>
        </is>
      </c>
      <c r="H3485" t="inlineStr">
        <is>
          <t>Web Store</t>
        </is>
      </c>
      <c r="I3485" t="n">
        <v>1</v>
      </c>
      <c r="J3485" s="3" t="n">
        <v>246.33</v>
      </c>
      <c r="K3485" s="3" t="n">
        <v>12.32</v>
      </c>
      <c r="L3485" s="3" t="n">
        <v>234.01</v>
      </c>
      <c r="M3485" s="3" t="n">
        <v>140.33</v>
      </c>
      <c r="N3485" s="3" t="n">
        <v>93.68000000000001</v>
      </c>
      <c r="O3485">
        <f>TEXT(A3485,"yyyy-mm")</f>
        <v/>
      </c>
    </row>
    <row r="3486">
      <c r="A3486" s="2" t="n">
        <v>46070</v>
      </c>
      <c r="B3486" t="n">
        <v>2026</v>
      </c>
      <c r="C3486" t="inlineStr">
        <is>
          <t>February</t>
        </is>
      </c>
      <c r="D3486" t="inlineStr">
        <is>
          <t>Premium Tent</t>
        </is>
      </c>
      <c r="E3486" t="inlineStr">
        <is>
          <t>Sports &amp; Outdoors</t>
        </is>
      </c>
      <c r="F3486" t="inlineStr">
        <is>
          <t>Thomas Kowalski</t>
        </is>
      </c>
      <c r="G3486" t="inlineStr">
        <is>
          <t>Poland</t>
        </is>
      </c>
      <c r="H3486" t="inlineStr">
        <is>
          <t>Web Store</t>
        </is>
      </c>
      <c r="I3486" t="n">
        <v>2</v>
      </c>
      <c r="J3486" s="3" t="n">
        <v>284.9</v>
      </c>
      <c r="K3486" s="3" t="n">
        <v>42.73</v>
      </c>
      <c r="L3486" s="3" t="n">
        <v>242.16</v>
      </c>
      <c r="M3486" s="3" t="n">
        <v>192.8</v>
      </c>
      <c r="N3486" s="3" t="n">
        <v>49.36</v>
      </c>
      <c r="O3486">
        <f>TEXT(A3486,"yyyy-mm")</f>
        <v/>
      </c>
    </row>
    <row r="3487">
      <c r="A3487" s="2" t="n">
        <v>46070</v>
      </c>
      <c r="B3487" t="n">
        <v>2026</v>
      </c>
      <c r="C3487" t="inlineStr">
        <is>
          <t>February</t>
        </is>
      </c>
      <c r="D3487" t="inlineStr">
        <is>
          <t>Ultra Backpack</t>
        </is>
      </c>
      <c r="E3487" t="inlineStr">
        <is>
          <t>Sports &amp; Outdoors</t>
        </is>
      </c>
      <c r="F3487" t="inlineStr">
        <is>
          <t>Thomas Kowalski</t>
        </is>
      </c>
      <c r="G3487" t="inlineStr">
        <is>
          <t>Poland</t>
        </is>
      </c>
      <c r="H3487" t="inlineStr">
        <is>
          <t>Web Store</t>
        </is>
      </c>
      <c r="I3487" t="n">
        <v>2</v>
      </c>
      <c r="J3487" s="3" t="n">
        <v>642.48</v>
      </c>
      <c r="K3487" s="3" t="n">
        <v>0</v>
      </c>
      <c r="L3487" s="3" t="n">
        <v>642.48</v>
      </c>
      <c r="M3487" s="3" t="n">
        <v>347.38</v>
      </c>
      <c r="N3487" s="3" t="n">
        <v>295.1</v>
      </c>
      <c r="O3487">
        <f>TEXT(A3487,"yyyy-mm")</f>
        <v/>
      </c>
    </row>
    <row r="3488">
      <c r="A3488" s="2" t="n">
        <v>46070</v>
      </c>
      <c r="B3488" t="n">
        <v>2026</v>
      </c>
      <c r="C3488" t="inlineStr">
        <is>
          <t>February</t>
        </is>
      </c>
      <c r="D3488" t="inlineStr">
        <is>
          <t>Eco Biography</t>
        </is>
      </c>
      <c r="E3488" t="inlineStr">
        <is>
          <t>Books</t>
        </is>
      </c>
      <c r="F3488" t="inlineStr">
        <is>
          <t>Peter Martin</t>
        </is>
      </c>
      <c r="G3488" t="inlineStr">
        <is>
          <t>Germany</t>
        </is>
      </c>
      <c r="H3488" t="inlineStr">
        <is>
          <t>Web Store</t>
        </is>
      </c>
      <c r="I3488" t="n">
        <v>1</v>
      </c>
      <c r="J3488" s="3" t="n">
        <v>119.64</v>
      </c>
      <c r="K3488" s="3" t="n">
        <v>5.98</v>
      </c>
      <c r="L3488" s="3" t="n">
        <v>113.66</v>
      </c>
      <c r="M3488" s="3" t="n">
        <v>71.02</v>
      </c>
      <c r="N3488" s="3" t="n">
        <v>42.64</v>
      </c>
      <c r="O3488">
        <f>TEXT(A3488,"yyyy-mm")</f>
        <v/>
      </c>
    </row>
    <row r="3489">
      <c r="A3489" s="2" t="n">
        <v>46070</v>
      </c>
      <c r="B3489" t="n">
        <v>2026</v>
      </c>
      <c r="C3489" t="inlineStr">
        <is>
          <t>February</t>
        </is>
      </c>
      <c r="D3489" t="inlineStr">
        <is>
          <t>Ultra Rug</t>
        </is>
      </c>
      <c r="E3489" t="inlineStr">
        <is>
          <t>Home &amp; Garden</t>
        </is>
      </c>
      <c r="F3489" t="inlineStr">
        <is>
          <t>Paul Smith</t>
        </is>
      </c>
      <c r="G3489" t="inlineStr">
        <is>
          <t>United Kingdom</t>
        </is>
      </c>
      <c r="H3489" t="inlineStr">
        <is>
          <t>Marketplace</t>
        </is>
      </c>
      <c r="I3489" t="n">
        <v>3</v>
      </c>
      <c r="J3489" s="3" t="n">
        <v>151.89</v>
      </c>
      <c r="K3489" s="3" t="n">
        <v>30.38</v>
      </c>
      <c r="L3489" s="3" t="n">
        <v>121.51</v>
      </c>
      <c r="M3489" s="3" t="n">
        <v>98.73</v>
      </c>
      <c r="N3489" s="3" t="n">
        <v>22.78</v>
      </c>
      <c r="O3489">
        <f>TEXT(A3489,"yyyy-mm")</f>
        <v/>
      </c>
    </row>
    <row r="3490">
      <c r="A3490" s="2" t="n">
        <v>46071</v>
      </c>
      <c r="B3490" t="n">
        <v>2026</v>
      </c>
      <c r="C3490" t="inlineStr">
        <is>
          <t>February</t>
        </is>
      </c>
      <c r="D3490" t="inlineStr">
        <is>
          <t>Deluxe Headphones</t>
        </is>
      </c>
      <c r="E3490" t="inlineStr">
        <is>
          <t>Electronics</t>
        </is>
      </c>
      <c r="F3490" t="inlineStr">
        <is>
          <t>Paul Zielinski</t>
        </is>
      </c>
      <c r="G3490" t="inlineStr">
        <is>
          <t>Poland</t>
        </is>
      </c>
      <c r="H3490" t="inlineStr">
        <is>
          <t>Web Store</t>
        </is>
      </c>
      <c r="I3490" t="n">
        <v>5</v>
      </c>
      <c r="J3490" s="3" t="n">
        <v>378.6</v>
      </c>
      <c r="K3490" s="3" t="n">
        <v>0</v>
      </c>
      <c r="L3490" s="3" t="n">
        <v>378.6</v>
      </c>
      <c r="M3490" s="3" t="n">
        <v>262.5</v>
      </c>
      <c r="N3490" s="3" t="n">
        <v>116.1</v>
      </c>
      <c r="O3490">
        <f>TEXT(A3490,"yyyy-mm")</f>
        <v/>
      </c>
    </row>
    <row r="3491">
      <c r="A3491" s="2" t="n">
        <v>46071</v>
      </c>
      <c r="B3491" t="n">
        <v>2026</v>
      </c>
      <c r="C3491" t="inlineStr">
        <is>
          <t>February</t>
        </is>
      </c>
      <c r="D3491" t="inlineStr">
        <is>
          <t>Eco Sweater</t>
        </is>
      </c>
      <c r="E3491" t="inlineStr">
        <is>
          <t>Clothing</t>
        </is>
      </c>
      <c r="F3491" t="inlineStr">
        <is>
          <t>Paul Zielinski</t>
        </is>
      </c>
      <c r="G3491" t="inlineStr">
        <is>
          <t>Poland</t>
        </is>
      </c>
      <c r="H3491" t="inlineStr">
        <is>
          <t>Web Store</t>
        </is>
      </c>
      <c r="I3491" t="n">
        <v>4</v>
      </c>
      <c r="J3491" s="3" t="n">
        <v>628.8</v>
      </c>
      <c r="K3491" s="3" t="n">
        <v>0</v>
      </c>
      <c r="L3491" s="3" t="n">
        <v>628.8</v>
      </c>
      <c r="M3491" s="3" t="n">
        <v>416.92</v>
      </c>
      <c r="N3491" s="3" t="n">
        <v>211.88</v>
      </c>
      <c r="O3491">
        <f>TEXT(A3491,"yyyy-mm")</f>
        <v/>
      </c>
    </row>
    <row r="3492">
      <c r="A3492" s="2" t="n">
        <v>46071</v>
      </c>
      <c r="B3492" t="n">
        <v>2026</v>
      </c>
      <c r="C3492" t="inlineStr">
        <is>
          <t>February</t>
        </is>
      </c>
      <c r="D3492" t="inlineStr">
        <is>
          <t>Classic Bike Helmet</t>
        </is>
      </c>
      <c r="E3492" t="inlineStr">
        <is>
          <t>Sports &amp; Outdoors</t>
        </is>
      </c>
      <c r="F3492" t="inlineStr">
        <is>
          <t>Paul Zielinski</t>
        </is>
      </c>
      <c r="G3492" t="inlineStr">
        <is>
          <t>Poland</t>
        </is>
      </c>
      <c r="H3492" t="inlineStr">
        <is>
          <t>Web Store</t>
        </is>
      </c>
      <c r="I3492" t="n">
        <v>2</v>
      </c>
      <c r="J3492" s="3" t="n">
        <v>452.94</v>
      </c>
      <c r="K3492" s="3" t="n">
        <v>45.29</v>
      </c>
      <c r="L3492" s="3" t="n">
        <v>407.65</v>
      </c>
      <c r="M3492" s="3" t="n">
        <v>307.62</v>
      </c>
      <c r="N3492" s="3" t="n">
        <v>100.03</v>
      </c>
      <c r="O3492">
        <f>TEXT(A3492,"yyyy-mm")</f>
        <v/>
      </c>
    </row>
    <row r="3493">
      <c r="A3493" s="2" t="n">
        <v>46072</v>
      </c>
      <c r="B3493" t="n">
        <v>2026</v>
      </c>
      <c r="C3493" t="inlineStr">
        <is>
          <t>February</t>
        </is>
      </c>
      <c r="D3493" t="inlineStr">
        <is>
          <t>Wireless Coffee Beans</t>
        </is>
      </c>
      <c r="E3493" t="inlineStr">
        <is>
          <t>Grocery</t>
        </is>
      </c>
      <c r="F3493" t="inlineStr">
        <is>
          <t>Emma Schmidt</t>
        </is>
      </c>
      <c r="G3493" t="inlineStr">
        <is>
          <t>United States</t>
        </is>
      </c>
      <c r="H3493" t="inlineStr">
        <is>
          <t>Retail Store</t>
        </is>
      </c>
      <c r="I3493" t="n">
        <v>2</v>
      </c>
      <c r="J3493" s="3" t="n">
        <v>439.7</v>
      </c>
      <c r="K3493" s="3" t="n">
        <v>65.95999999999999</v>
      </c>
      <c r="L3493" s="3" t="n">
        <v>373.74</v>
      </c>
      <c r="M3493" s="3" t="n">
        <v>260.26</v>
      </c>
      <c r="N3493" s="3" t="n">
        <v>113.49</v>
      </c>
      <c r="O3493">
        <f>TEXT(A3493,"yyyy-mm")</f>
        <v/>
      </c>
    </row>
    <row r="3494">
      <c r="A3494" s="2" t="n">
        <v>46072</v>
      </c>
      <c r="B3494" t="n">
        <v>2026</v>
      </c>
      <c r="C3494" t="inlineStr">
        <is>
          <t>February</t>
        </is>
      </c>
      <c r="D3494" t="inlineStr">
        <is>
          <t>Wireless Drone</t>
        </is>
      </c>
      <c r="E3494" t="inlineStr">
        <is>
          <t>Toys &amp; Games</t>
        </is>
      </c>
      <c r="F3494" t="inlineStr">
        <is>
          <t>Emma Schmidt</t>
        </is>
      </c>
      <c r="G3494" t="inlineStr">
        <is>
          <t>United States</t>
        </is>
      </c>
      <c r="H3494" t="inlineStr">
        <is>
          <t>Retail Store</t>
        </is>
      </c>
      <c r="I3494" t="n">
        <v>1</v>
      </c>
      <c r="J3494" s="3" t="n">
        <v>214.93</v>
      </c>
      <c r="K3494" s="3" t="n">
        <v>0</v>
      </c>
      <c r="L3494" s="3" t="n">
        <v>214.93</v>
      </c>
      <c r="M3494" s="3" t="n">
        <v>131.29</v>
      </c>
      <c r="N3494" s="3" t="n">
        <v>83.64</v>
      </c>
      <c r="O3494">
        <f>TEXT(A3494,"yyyy-mm")</f>
        <v/>
      </c>
    </row>
    <row r="3495">
      <c r="A3495" s="2" t="n">
        <v>46072</v>
      </c>
      <c r="B3495" t="n">
        <v>2026</v>
      </c>
      <c r="C3495" t="inlineStr">
        <is>
          <t>February</t>
        </is>
      </c>
      <c r="D3495" t="inlineStr">
        <is>
          <t>Essential Charger</t>
        </is>
      </c>
      <c r="E3495" t="inlineStr">
        <is>
          <t>Electronics</t>
        </is>
      </c>
      <c r="F3495" t="inlineStr">
        <is>
          <t>Emma Schmidt</t>
        </is>
      </c>
      <c r="G3495" t="inlineStr">
        <is>
          <t>United States</t>
        </is>
      </c>
      <c r="H3495" t="inlineStr">
        <is>
          <t>Retail Store</t>
        </is>
      </c>
      <c r="I3495" t="n">
        <v>2</v>
      </c>
      <c r="J3495" s="3" t="n">
        <v>86.76000000000001</v>
      </c>
      <c r="K3495" s="3" t="n">
        <v>17.35</v>
      </c>
      <c r="L3495" s="3" t="n">
        <v>69.41</v>
      </c>
      <c r="M3495" s="3" t="n">
        <v>58.2</v>
      </c>
      <c r="N3495" s="3" t="n">
        <v>11.21</v>
      </c>
      <c r="O3495">
        <f>TEXT(A3495,"yyyy-mm")</f>
        <v/>
      </c>
    </row>
    <row r="3496">
      <c r="A3496" s="2" t="n">
        <v>46072</v>
      </c>
      <c r="B3496" t="n">
        <v>2026</v>
      </c>
      <c r="C3496" t="inlineStr">
        <is>
          <t>February</t>
        </is>
      </c>
      <c r="D3496" t="inlineStr">
        <is>
          <t>Essential Planter</t>
        </is>
      </c>
      <c r="E3496" t="inlineStr">
        <is>
          <t>Home &amp; Garden</t>
        </is>
      </c>
      <c r="F3496" t="inlineStr">
        <is>
          <t>Emily Moreau</t>
        </is>
      </c>
      <c r="G3496" t="inlineStr">
        <is>
          <t>Germany</t>
        </is>
      </c>
      <c r="H3496" t="inlineStr">
        <is>
          <t>Web Store</t>
        </is>
      </c>
      <c r="I3496" t="n">
        <v>2</v>
      </c>
      <c r="J3496" s="3" t="n">
        <v>51.56</v>
      </c>
      <c r="K3496" s="3" t="n">
        <v>5.16</v>
      </c>
      <c r="L3496" s="3" t="n">
        <v>46.4</v>
      </c>
      <c r="M3496" s="3" t="n">
        <v>39.28</v>
      </c>
      <c r="N3496" s="3" t="n">
        <v>7.12</v>
      </c>
      <c r="O3496">
        <f>TEXT(A3496,"yyyy-mm")</f>
        <v/>
      </c>
    </row>
    <row r="3497">
      <c r="A3497" s="2" t="n">
        <v>46072</v>
      </c>
      <c r="B3497" t="n">
        <v>2026</v>
      </c>
      <c r="C3497" t="inlineStr">
        <is>
          <t>February</t>
        </is>
      </c>
      <c r="D3497" t="inlineStr">
        <is>
          <t>Eco Planter</t>
        </is>
      </c>
      <c r="E3497" t="inlineStr">
        <is>
          <t>Home &amp; Garden</t>
        </is>
      </c>
      <c r="F3497" t="inlineStr">
        <is>
          <t>Emily Moreau</t>
        </is>
      </c>
      <c r="G3497" t="inlineStr">
        <is>
          <t>Germany</t>
        </is>
      </c>
      <c r="H3497" t="inlineStr">
        <is>
          <t>Web Store</t>
        </is>
      </c>
      <c r="I3497" t="n">
        <v>4</v>
      </c>
      <c r="J3497" s="3" t="n">
        <v>730.88</v>
      </c>
      <c r="K3497" s="3" t="n">
        <v>73.09</v>
      </c>
      <c r="L3497" s="3" t="n">
        <v>657.79</v>
      </c>
      <c r="M3497" s="3" t="n">
        <v>449.64</v>
      </c>
      <c r="N3497" s="3" t="n">
        <v>208.15</v>
      </c>
      <c r="O3497">
        <f>TEXT(A3497,"yyyy-mm")</f>
        <v/>
      </c>
    </row>
    <row r="3498">
      <c r="A3498" s="2" t="n">
        <v>46072</v>
      </c>
      <c r="B3498" t="n">
        <v>2026</v>
      </c>
      <c r="C3498" t="inlineStr">
        <is>
          <t>February</t>
        </is>
      </c>
      <c r="D3498" t="inlineStr">
        <is>
          <t>Wireless Honey</t>
        </is>
      </c>
      <c r="E3498" t="inlineStr">
        <is>
          <t>Grocery</t>
        </is>
      </c>
      <c r="F3498" t="inlineStr">
        <is>
          <t>Emily Moreau</t>
        </is>
      </c>
      <c r="G3498" t="inlineStr">
        <is>
          <t>Germany</t>
        </is>
      </c>
      <c r="H3498" t="inlineStr">
        <is>
          <t>Web Store</t>
        </is>
      </c>
      <c r="I3498" t="n">
        <v>1</v>
      </c>
      <c r="J3498" s="3" t="n">
        <v>128.09</v>
      </c>
      <c r="K3498" s="3" t="n">
        <v>19.21</v>
      </c>
      <c r="L3498" s="3" t="n">
        <v>108.88</v>
      </c>
      <c r="M3498" s="3" t="n">
        <v>94.06999999999999</v>
      </c>
      <c r="N3498" s="3" t="n">
        <v>14.81</v>
      </c>
      <c r="O3498">
        <f>TEXT(A3498,"yyyy-mm")</f>
        <v/>
      </c>
    </row>
    <row r="3499">
      <c r="A3499" s="2" t="n">
        <v>46072</v>
      </c>
      <c r="B3499" t="n">
        <v>2026</v>
      </c>
      <c r="C3499" t="inlineStr">
        <is>
          <t>February</t>
        </is>
      </c>
      <c r="D3499" t="inlineStr">
        <is>
          <t>Compact Jacket</t>
        </is>
      </c>
      <c r="E3499" t="inlineStr">
        <is>
          <t>Clothing</t>
        </is>
      </c>
      <c r="F3499" t="inlineStr">
        <is>
          <t>John Fischer</t>
        </is>
      </c>
      <c r="G3499" t="inlineStr">
        <is>
          <t>Netherlands</t>
        </is>
      </c>
      <c r="H3499" t="inlineStr">
        <is>
          <t>Retail Store</t>
        </is>
      </c>
      <c r="I3499" t="n">
        <v>5</v>
      </c>
      <c r="J3499" s="3" t="n">
        <v>190.75</v>
      </c>
      <c r="K3499" s="3" t="n">
        <v>9.539999999999999</v>
      </c>
      <c r="L3499" s="3" t="n">
        <v>181.21</v>
      </c>
      <c r="M3499" s="3" t="n">
        <v>102</v>
      </c>
      <c r="N3499" s="3" t="n">
        <v>79.20999999999999</v>
      </c>
      <c r="O3499">
        <f>TEXT(A3499,"yyyy-mm")</f>
        <v/>
      </c>
    </row>
    <row r="3500">
      <c r="A3500" s="2" t="n">
        <v>46072</v>
      </c>
      <c r="B3500" t="n">
        <v>2026</v>
      </c>
      <c r="C3500" t="inlineStr">
        <is>
          <t>February</t>
        </is>
      </c>
      <c r="D3500" t="inlineStr">
        <is>
          <t>Eco Tent</t>
        </is>
      </c>
      <c r="E3500" t="inlineStr">
        <is>
          <t>Sports &amp; Outdoors</t>
        </is>
      </c>
      <c r="F3500" t="inlineStr">
        <is>
          <t>Olivia Conti</t>
        </is>
      </c>
      <c r="G3500" t="inlineStr">
        <is>
          <t>United Kingdom</t>
        </is>
      </c>
      <c r="H3500" t="inlineStr">
        <is>
          <t>Mobile App</t>
        </is>
      </c>
      <c r="I3500" t="n">
        <v>4</v>
      </c>
      <c r="J3500" s="3" t="n">
        <v>279.52</v>
      </c>
      <c r="K3500" s="3" t="n">
        <v>41.93</v>
      </c>
      <c r="L3500" s="3" t="n">
        <v>237.59</v>
      </c>
      <c r="M3500" s="3" t="n">
        <v>175.4</v>
      </c>
      <c r="N3500" s="3" t="n">
        <v>62.19</v>
      </c>
      <c r="O3500">
        <f>TEXT(A3500,"yyyy-mm")</f>
        <v/>
      </c>
    </row>
    <row r="3501">
      <c r="A3501" s="2" t="n">
        <v>46072</v>
      </c>
      <c r="B3501" t="n">
        <v>2026</v>
      </c>
      <c r="C3501" t="inlineStr">
        <is>
          <t>February</t>
        </is>
      </c>
      <c r="D3501" t="inlineStr">
        <is>
          <t>Classic Charger</t>
        </is>
      </c>
      <c r="E3501" t="inlineStr">
        <is>
          <t>Electronics</t>
        </is>
      </c>
      <c r="F3501" t="inlineStr">
        <is>
          <t>Olivia Conti</t>
        </is>
      </c>
      <c r="G3501" t="inlineStr">
        <is>
          <t>United Kingdom</t>
        </is>
      </c>
      <c r="H3501" t="inlineStr">
        <is>
          <t>Mobile App</t>
        </is>
      </c>
      <c r="I3501" t="n">
        <v>3</v>
      </c>
      <c r="J3501" s="3" t="n">
        <v>274.92</v>
      </c>
      <c r="K3501" s="3" t="n">
        <v>27.49</v>
      </c>
      <c r="L3501" s="3" t="n">
        <v>247.43</v>
      </c>
      <c r="M3501" s="3" t="n">
        <v>186.63</v>
      </c>
      <c r="N3501" s="3" t="n">
        <v>60.8</v>
      </c>
      <c r="O3501">
        <f>TEXT(A3501,"yyyy-mm")</f>
        <v/>
      </c>
    </row>
    <row r="3502">
      <c r="A3502" s="2" t="n">
        <v>46073</v>
      </c>
      <c r="B3502" t="n">
        <v>2026</v>
      </c>
      <c r="C3502" t="inlineStr">
        <is>
          <t>February</t>
        </is>
      </c>
      <c r="D3502" t="inlineStr">
        <is>
          <t>Deluxe Notebook</t>
        </is>
      </c>
      <c r="E3502" t="inlineStr">
        <is>
          <t>Books</t>
        </is>
      </c>
      <c r="F3502" t="inlineStr">
        <is>
          <t>Robert Brown</t>
        </is>
      </c>
      <c r="G3502" t="inlineStr">
        <is>
          <t>United Kingdom</t>
        </is>
      </c>
      <c r="H3502" t="inlineStr">
        <is>
          <t>Retail Store</t>
        </is>
      </c>
      <c r="I3502" t="n">
        <v>3</v>
      </c>
      <c r="J3502" s="3" t="n">
        <v>630.24</v>
      </c>
      <c r="K3502" s="3" t="n">
        <v>0</v>
      </c>
      <c r="L3502" s="3" t="n">
        <v>630.24</v>
      </c>
      <c r="M3502" s="3" t="n">
        <v>452.28</v>
      </c>
      <c r="N3502" s="3" t="n">
        <v>177.96</v>
      </c>
      <c r="O3502">
        <f>TEXT(A3502,"yyyy-mm")</f>
        <v/>
      </c>
    </row>
    <row r="3503">
      <c r="A3503" s="2" t="n">
        <v>46073</v>
      </c>
      <c r="B3503" t="n">
        <v>2026</v>
      </c>
      <c r="C3503" t="inlineStr">
        <is>
          <t>February</t>
        </is>
      </c>
      <c r="D3503" t="inlineStr">
        <is>
          <t>Smart Coffee Beans</t>
        </is>
      </c>
      <c r="E3503" t="inlineStr">
        <is>
          <t>Grocery</t>
        </is>
      </c>
      <c r="F3503" t="inlineStr">
        <is>
          <t>Robert Moreau</t>
        </is>
      </c>
      <c r="G3503" t="inlineStr">
        <is>
          <t>Spain</t>
        </is>
      </c>
      <c r="H3503" t="inlineStr">
        <is>
          <t>Retail Store</t>
        </is>
      </c>
      <c r="I3503" t="n">
        <v>2</v>
      </c>
      <c r="J3503" s="3" t="n">
        <v>228.58</v>
      </c>
      <c r="K3503" s="3" t="n">
        <v>0</v>
      </c>
      <c r="L3503" s="3" t="n">
        <v>228.58</v>
      </c>
      <c r="M3503" s="3" t="n">
        <v>145.7</v>
      </c>
      <c r="N3503" s="3" t="n">
        <v>82.88</v>
      </c>
      <c r="O3503">
        <f>TEXT(A3503,"yyyy-mm")</f>
        <v/>
      </c>
    </row>
    <row r="3504">
      <c r="A3504" s="2" t="n">
        <v>46073</v>
      </c>
      <c r="B3504" t="n">
        <v>2026</v>
      </c>
      <c r="C3504" t="inlineStr">
        <is>
          <t>February</t>
        </is>
      </c>
      <c r="D3504" t="inlineStr">
        <is>
          <t>Essential Vitamins</t>
        </is>
      </c>
      <c r="E3504" t="inlineStr">
        <is>
          <t>Beauty &amp; Health</t>
        </is>
      </c>
      <c r="F3504" t="inlineStr">
        <is>
          <t>Robert Moreau</t>
        </is>
      </c>
      <c r="G3504" t="inlineStr">
        <is>
          <t>Spain</t>
        </is>
      </c>
      <c r="H3504" t="inlineStr">
        <is>
          <t>Retail Store</t>
        </is>
      </c>
      <c r="I3504" t="n">
        <v>3</v>
      </c>
      <c r="J3504" s="3" t="n">
        <v>497.73</v>
      </c>
      <c r="K3504" s="3" t="n">
        <v>74.66</v>
      </c>
      <c r="L3504" s="3" t="n">
        <v>423.07</v>
      </c>
      <c r="M3504" s="3" t="n">
        <v>330.9</v>
      </c>
      <c r="N3504" s="3" t="n">
        <v>92.17</v>
      </c>
      <c r="O3504">
        <f>TEXT(A3504,"yyyy-mm")</f>
        <v/>
      </c>
    </row>
    <row r="3505">
      <c r="A3505" s="2" t="n">
        <v>46073</v>
      </c>
      <c r="B3505" t="n">
        <v>2026</v>
      </c>
      <c r="C3505" t="inlineStr">
        <is>
          <t>February</t>
        </is>
      </c>
      <c r="D3505" t="inlineStr">
        <is>
          <t>Essential Jacket</t>
        </is>
      </c>
      <c r="E3505" t="inlineStr">
        <is>
          <t>Clothing</t>
        </is>
      </c>
      <c r="F3505" t="inlineStr">
        <is>
          <t>John Bianchi</t>
        </is>
      </c>
      <c r="G3505" t="inlineStr">
        <is>
          <t>France</t>
        </is>
      </c>
      <c r="H3505" t="inlineStr">
        <is>
          <t>Mobile App</t>
        </is>
      </c>
      <c r="I3505" t="n">
        <v>1</v>
      </c>
      <c r="J3505" s="3" t="n">
        <v>142.81</v>
      </c>
      <c r="K3505" s="3" t="n">
        <v>0</v>
      </c>
      <c r="L3505" s="3" t="n">
        <v>142.81</v>
      </c>
      <c r="M3505" s="3" t="n">
        <v>85.34999999999999</v>
      </c>
      <c r="N3505" s="3" t="n">
        <v>57.46</v>
      </c>
      <c r="O3505">
        <f>TEXT(A3505,"yyyy-mm")</f>
        <v/>
      </c>
    </row>
    <row r="3506">
      <c r="A3506" s="2" t="n">
        <v>46073</v>
      </c>
      <c r="B3506" t="n">
        <v>2026</v>
      </c>
      <c r="C3506" t="inlineStr">
        <is>
          <t>February</t>
        </is>
      </c>
      <c r="D3506" t="inlineStr">
        <is>
          <t>Eco Biography</t>
        </is>
      </c>
      <c r="E3506" t="inlineStr">
        <is>
          <t>Books</t>
        </is>
      </c>
      <c r="F3506" t="inlineStr">
        <is>
          <t>John Bianchi</t>
        </is>
      </c>
      <c r="G3506" t="inlineStr">
        <is>
          <t>France</t>
        </is>
      </c>
      <c r="H3506" t="inlineStr">
        <is>
          <t>Mobile App</t>
        </is>
      </c>
      <c r="I3506" t="n">
        <v>5</v>
      </c>
      <c r="J3506" s="3" t="n">
        <v>617.45</v>
      </c>
      <c r="K3506" s="3" t="n">
        <v>30.87</v>
      </c>
      <c r="L3506" s="3" t="n">
        <v>586.58</v>
      </c>
      <c r="M3506" s="3" t="n">
        <v>355.1</v>
      </c>
      <c r="N3506" s="3" t="n">
        <v>231.48</v>
      </c>
      <c r="O3506">
        <f>TEXT(A3506,"yyyy-mm")</f>
        <v/>
      </c>
    </row>
    <row r="3507">
      <c r="A3507" s="2" t="n">
        <v>46073</v>
      </c>
      <c r="B3507" t="n">
        <v>2026</v>
      </c>
      <c r="C3507" t="inlineStr">
        <is>
          <t>February</t>
        </is>
      </c>
      <c r="D3507" t="inlineStr">
        <is>
          <t>Essential Vitamins</t>
        </is>
      </c>
      <c r="E3507" t="inlineStr">
        <is>
          <t>Beauty &amp; Health</t>
        </is>
      </c>
      <c r="F3507" t="inlineStr">
        <is>
          <t>Maria Garcia</t>
        </is>
      </c>
      <c r="G3507" t="inlineStr">
        <is>
          <t>Italy</t>
        </is>
      </c>
      <c r="H3507" t="inlineStr">
        <is>
          <t>Web Store</t>
        </is>
      </c>
      <c r="I3507" t="n">
        <v>4</v>
      </c>
      <c r="J3507" s="3" t="n">
        <v>684.76</v>
      </c>
      <c r="K3507" s="3" t="n">
        <v>0</v>
      </c>
      <c r="L3507" s="3" t="n">
        <v>684.76</v>
      </c>
      <c r="M3507" s="3" t="n">
        <v>441.2</v>
      </c>
      <c r="N3507" s="3" t="n">
        <v>243.56</v>
      </c>
      <c r="O3507">
        <f>TEXT(A3507,"yyyy-mm")</f>
        <v/>
      </c>
    </row>
    <row r="3508">
      <c r="A3508" s="2" t="n">
        <v>46073</v>
      </c>
      <c r="B3508" t="n">
        <v>2026</v>
      </c>
      <c r="C3508" t="inlineStr">
        <is>
          <t>February</t>
        </is>
      </c>
      <c r="D3508" t="inlineStr">
        <is>
          <t>Premium Water Bottle</t>
        </is>
      </c>
      <c r="E3508" t="inlineStr">
        <is>
          <t>Sports &amp; Outdoors</t>
        </is>
      </c>
      <c r="F3508" t="inlineStr">
        <is>
          <t>Maria Garcia</t>
        </is>
      </c>
      <c r="G3508" t="inlineStr">
        <is>
          <t>Italy</t>
        </is>
      </c>
      <c r="H3508" t="inlineStr">
        <is>
          <t>Web Store</t>
        </is>
      </c>
      <c r="I3508" t="n">
        <v>1</v>
      </c>
      <c r="J3508" s="3" t="n">
        <v>123.66</v>
      </c>
      <c r="K3508" s="3" t="n">
        <v>0</v>
      </c>
      <c r="L3508" s="3" t="n">
        <v>123.66</v>
      </c>
      <c r="M3508" s="3" t="n">
        <v>89.62</v>
      </c>
      <c r="N3508" s="3" t="n">
        <v>34.04</v>
      </c>
      <c r="O3508">
        <f>TEXT(A3508,"yyyy-mm")</f>
        <v/>
      </c>
    </row>
    <row r="3509">
      <c r="A3509" s="2" t="n">
        <v>46073</v>
      </c>
      <c r="B3509" t="n">
        <v>2026</v>
      </c>
      <c r="C3509" t="inlineStr">
        <is>
          <t>February</t>
        </is>
      </c>
      <c r="D3509" t="inlineStr">
        <is>
          <t>Wireless Cookbook</t>
        </is>
      </c>
      <c r="E3509" t="inlineStr">
        <is>
          <t>Books</t>
        </is>
      </c>
      <c r="F3509" t="inlineStr">
        <is>
          <t>Robert Brown</t>
        </is>
      </c>
      <c r="G3509" t="inlineStr">
        <is>
          <t>United Kingdom</t>
        </is>
      </c>
      <c r="H3509" t="inlineStr">
        <is>
          <t>Retail Store</t>
        </is>
      </c>
      <c r="I3509" t="n">
        <v>2</v>
      </c>
      <c r="J3509" s="3" t="n">
        <v>156.48</v>
      </c>
      <c r="K3509" s="3" t="n">
        <v>0</v>
      </c>
      <c r="L3509" s="3" t="n">
        <v>156.48</v>
      </c>
      <c r="M3509" s="3" t="n">
        <v>113.22</v>
      </c>
      <c r="N3509" s="3" t="n">
        <v>43.26</v>
      </c>
      <c r="O3509">
        <f>TEXT(A3509,"yyyy-mm")</f>
        <v/>
      </c>
    </row>
    <row r="3510">
      <c r="A3510" s="2" t="n">
        <v>46073</v>
      </c>
      <c r="B3510" t="n">
        <v>2026</v>
      </c>
      <c r="C3510" t="inlineStr">
        <is>
          <t>February</t>
        </is>
      </c>
      <c r="D3510" t="inlineStr">
        <is>
          <t>Premium Cookbook</t>
        </is>
      </c>
      <c r="E3510" t="inlineStr">
        <is>
          <t>Books</t>
        </is>
      </c>
      <c r="F3510" t="inlineStr">
        <is>
          <t>Robert Brown</t>
        </is>
      </c>
      <c r="G3510" t="inlineStr">
        <is>
          <t>United Kingdom</t>
        </is>
      </c>
      <c r="H3510" t="inlineStr">
        <is>
          <t>Retail Store</t>
        </is>
      </c>
      <c r="I3510" t="n">
        <v>3</v>
      </c>
      <c r="J3510" s="3" t="n">
        <v>382.86</v>
      </c>
      <c r="K3510" s="3" t="n">
        <v>0</v>
      </c>
      <c r="L3510" s="3" t="n">
        <v>382.86</v>
      </c>
      <c r="M3510" s="3" t="n">
        <v>284.94</v>
      </c>
      <c r="N3510" s="3" t="n">
        <v>97.92</v>
      </c>
      <c r="O3510">
        <f>TEXT(A3510,"yyyy-mm")</f>
        <v/>
      </c>
    </row>
    <row r="3511">
      <c r="A3511" s="2" t="n">
        <v>46073</v>
      </c>
      <c r="B3511" t="n">
        <v>2026</v>
      </c>
      <c r="C3511" t="inlineStr">
        <is>
          <t>February</t>
        </is>
      </c>
      <c r="D3511" t="inlineStr">
        <is>
          <t>Eco Tent</t>
        </is>
      </c>
      <c r="E3511" t="inlineStr">
        <is>
          <t>Sports &amp; Outdoors</t>
        </is>
      </c>
      <c r="F3511" t="inlineStr">
        <is>
          <t>Robert Brown</t>
        </is>
      </c>
      <c r="G3511" t="inlineStr">
        <is>
          <t>United Kingdom</t>
        </is>
      </c>
      <c r="H3511" t="inlineStr">
        <is>
          <t>Retail Store</t>
        </is>
      </c>
      <c r="I3511" t="n">
        <v>2</v>
      </c>
      <c r="J3511" s="3" t="n">
        <v>503.14</v>
      </c>
      <c r="K3511" s="3" t="n">
        <v>0</v>
      </c>
      <c r="L3511" s="3" t="n">
        <v>503.14</v>
      </c>
      <c r="M3511" s="3" t="n">
        <v>270.06</v>
      </c>
      <c r="N3511" s="3" t="n">
        <v>233.08</v>
      </c>
      <c r="O3511">
        <f>TEXT(A3511,"yyyy-mm")</f>
        <v/>
      </c>
    </row>
    <row r="3512">
      <c r="A3512" s="2" t="n">
        <v>46073</v>
      </c>
      <c r="B3512" t="n">
        <v>2026</v>
      </c>
      <c r="C3512" t="inlineStr">
        <is>
          <t>February</t>
        </is>
      </c>
      <c r="D3512" t="inlineStr">
        <is>
          <t>Portable Speaker</t>
        </is>
      </c>
      <c r="E3512" t="inlineStr">
        <is>
          <t>Electronics</t>
        </is>
      </c>
      <c r="F3512" t="inlineStr">
        <is>
          <t>John Bianchi</t>
        </is>
      </c>
      <c r="G3512" t="inlineStr">
        <is>
          <t>France</t>
        </is>
      </c>
      <c r="H3512" t="inlineStr">
        <is>
          <t>Mobile App</t>
        </is>
      </c>
      <c r="I3512" t="n">
        <v>5</v>
      </c>
      <c r="J3512" s="3" t="n">
        <v>1713.2</v>
      </c>
      <c r="K3512" s="3" t="n">
        <v>342.64</v>
      </c>
      <c r="L3512" s="3" t="n">
        <v>1370.56</v>
      </c>
      <c r="M3512" s="3" t="n">
        <v>874.15</v>
      </c>
      <c r="N3512" s="3" t="n">
        <v>496.41</v>
      </c>
      <c r="O3512">
        <f>TEXT(A3512,"yyyy-mm")</f>
        <v/>
      </c>
    </row>
    <row r="3513">
      <c r="A3513" s="2" t="n">
        <v>46073</v>
      </c>
      <c r="B3513" t="n">
        <v>2026</v>
      </c>
      <c r="C3513" t="inlineStr">
        <is>
          <t>February</t>
        </is>
      </c>
      <c r="D3513" t="inlineStr">
        <is>
          <t>Deluxe Toolset</t>
        </is>
      </c>
      <c r="E3513" t="inlineStr">
        <is>
          <t>Home &amp; Garden</t>
        </is>
      </c>
      <c r="F3513" t="inlineStr">
        <is>
          <t>Maria Garcia</t>
        </is>
      </c>
      <c r="G3513" t="inlineStr">
        <is>
          <t>Italy</t>
        </is>
      </c>
      <c r="H3513" t="inlineStr">
        <is>
          <t>Web Store</t>
        </is>
      </c>
      <c r="I3513" t="n">
        <v>4</v>
      </c>
      <c r="J3513" s="3" t="n">
        <v>269.36</v>
      </c>
      <c r="K3513" s="3" t="n">
        <v>0</v>
      </c>
      <c r="L3513" s="3" t="n">
        <v>269.36</v>
      </c>
      <c r="M3513" s="3" t="n">
        <v>190.84</v>
      </c>
      <c r="N3513" s="3" t="n">
        <v>78.52</v>
      </c>
      <c r="O3513">
        <f>TEXT(A3513,"yyyy-mm")</f>
        <v/>
      </c>
    </row>
    <row r="3514">
      <c r="A3514" s="2" t="n">
        <v>46074</v>
      </c>
      <c r="B3514" t="n">
        <v>2026</v>
      </c>
      <c r="C3514" t="inlineStr">
        <is>
          <t>February</t>
        </is>
      </c>
      <c r="D3514" t="inlineStr">
        <is>
          <t>Essential Lamp</t>
        </is>
      </c>
      <c r="E3514" t="inlineStr">
        <is>
          <t>Home &amp; Garden</t>
        </is>
      </c>
      <c r="F3514" t="inlineStr">
        <is>
          <t>James Schmidt</t>
        </is>
      </c>
      <c r="G3514" t="inlineStr">
        <is>
          <t>Spain</t>
        </is>
      </c>
      <c r="H3514" t="inlineStr">
        <is>
          <t>Mobile App</t>
        </is>
      </c>
      <c r="I3514" t="n">
        <v>3</v>
      </c>
      <c r="J3514" s="3" t="n">
        <v>198.81</v>
      </c>
      <c r="K3514" s="3" t="n">
        <v>0</v>
      </c>
      <c r="L3514" s="3" t="n">
        <v>198.81</v>
      </c>
      <c r="M3514" s="3" t="n">
        <v>136.2</v>
      </c>
      <c r="N3514" s="3" t="n">
        <v>62.61</v>
      </c>
      <c r="O3514">
        <f>TEXT(A3514,"yyyy-mm")</f>
        <v/>
      </c>
    </row>
    <row r="3515">
      <c r="A3515" s="2" t="n">
        <v>46074</v>
      </c>
      <c r="B3515" t="n">
        <v>2026</v>
      </c>
      <c r="C3515" t="inlineStr">
        <is>
          <t>February</t>
        </is>
      </c>
      <c r="D3515" t="inlineStr">
        <is>
          <t>Wireless Coffee Beans</t>
        </is>
      </c>
      <c r="E3515" t="inlineStr">
        <is>
          <t>Grocery</t>
        </is>
      </c>
      <c r="F3515" t="inlineStr">
        <is>
          <t>James Schmidt</t>
        </is>
      </c>
      <c r="G3515" t="inlineStr">
        <is>
          <t>Spain</t>
        </is>
      </c>
      <c r="H3515" t="inlineStr">
        <is>
          <t>Mobile App</t>
        </is>
      </c>
      <c r="I3515" t="n">
        <v>3</v>
      </c>
      <c r="J3515" s="3" t="n">
        <v>617.91</v>
      </c>
      <c r="K3515" s="3" t="n">
        <v>0</v>
      </c>
      <c r="L3515" s="3" t="n">
        <v>617.91</v>
      </c>
      <c r="M3515" s="3" t="n">
        <v>390.39</v>
      </c>
      <c r="N3515" s="3" t="n">
        <v>227.52</v>
      </c>
      <c r="O3515">
        <f>TEXT(A3515,"yyyy-mm")</f>
        <v/>
      </c>
    </row>
    <row r="3516">
      <c r="A3516" s="2" t="n">
        <v>46074</v>
      </c>
      <c r="B3516" t="n">
        <v>2026</v>
      </c>
      <c r="C3516" t="inlineStr">
        <is>
          <t>February</t>
        </is>
      </c>
      <c r="D3516" t="inlineStr">
        <is>
          <t>Eco Sweater</t>
        </is>
      </c>
      <c r="E3516" t="inlineStr">
        <is>
          <t>Clothing</t>
        </is>
      </c>
      <c r="F3516" t="inlineStr">
        <is>
          <t>James Schmidt</t>
        </is>
      </c>
      <c r="G3516" t="inlineStr">
        <is>
          <t>Spain</t>
        </is>
      </c>
      <c r="H3516" t="inlineStr">
        <is>
          <t>Mobile App</t>
        </is>
      </c>
      <c r="I3516" t="n">
        <v>5</v>
      </c>
      <c r="J3516" s="3" t="n">
        <v>765.85</v>
      </c>
      <c r="K3516" s="3" t="n">
        <v>0</v>
      </c>
      <c r="L3516" s="3" t="n">
        <v>765.85</v>
      </c>
      <c r="M3516" s="3" t="n">
        <v>521.15</v>
      </c>
      <c r="N3516" s="3" t="n">
        <v>244.7</v>
      </c>
      <c r="O3516">
        <f>TEXT(A3516,"yyyy-mm")</f>
        <v/>
      </c>
    </row>
    <row r="3517">
      <c r="A3517" s="2" t="n">
        <v>46074</v>
      </c>
      <c r="B3517" t="n">
        <v>2026</v>
      </c>
      <c r="C3517" t="inlineStr">
        <is>
          <t>February</t>
        </is>
      </c>
      <c r="D3517" t="inlineStr">
        <is>
          <t>Portable Bike Helmet</t>
        </is>
      </c>
      <c r="E3517" t="inlineStr">
        <is>
          <t>Sports &amp; Outdoors</t>
        </is>
      </c>
      <c r="F3517" t="inlineStr">
        <is>
          <t>James Schmidt</t>
        </is>
      </c>
      <c r="G3517" t="inlineStr">
        <is>
          <t>Spain</t>
        </is>
      </c>
      <c r="H3517" t="inlineStr">
        <is>
          <t>Mobile App</t>
        </is>
      </c>
      <c r="I3517" t="n">
        <v>1</v>
      </c>
      <c r="J3517" s="3" t="n">
        <v>302.46</v>
      </c>
      <c r="K3517" s="3" t="n">
        <v>0</v>
      </c>
      <c r="L3517" s="3" t="n">
        <v>302.46</v>
      </c>
      <c r="M3517" s="3" t="n">
        <v>165.37</v>
      </c>
      <c r="N3517" s="3" t="n">
        <v>137.09</v>
      </c>
      <c r="O3517">
        <f>TEXT(A3517,"yyyy-mm")</f>
        <v/>
      </c>
    </row>
    <row r="3518">
      <c r="A3518" s="2" t="n">
        <v>46074</v>
      </c>
      <c r="B3518" t="n">
        <v>2026</v>
      </c>
      <c r="C3518" t="inlineStr">
        <is>
          <t>February</t>
        </is>
      </c>
      <c r="D3518" t="inlineStr">
        <is>
          <t>Essential Pasta</t>
        </is>
      </c>
      <c r="E3518" t="inlineStr">
        <is>
          <t>Grocery</t>
        </is>
      </c>
      <c r="F3518" t="inlineStr">
        <is>
          <t>James Kowalski</t>
        </is>
      </c>
      <c r="G3518" t="inlineStr">
        <is>
          <t>Poland</t>
        </is>
      </c>
      <c r="H3518" t="inlineStr">
        <is>
          <t>Web Store</t>
        </is>
      </c>
      <c r="I3518" t="n">
        <v>4</v>
      </c>
      <c r="J3518" s="3" t="n">
        <v>219.88</v>
      </c>
      <c r="K3518" s="3" t="n">
        <v>10.99</v>
      </c>
      <c r="L3518" s="3" t="n">
        <v>208.89</v>
      </c>
      <c r="M3518" s="3" t="n">
        <v>143.24</v>
      </c>
      <c r="N3518" s="3" t="n">
        <v>65.65000000000001</v>
      </c>
      <c r="O3518">
        <f>TEXT(A3518,"yyyy-mm")</f>
        <v/>
      </c>
    </row>
    <row r="3519">
      <c r="A3519" s="2" t="n">
        <v>46074</v>
      </c>
      <c r="B3519" t="n">
        <v>2026</v>
      </c>
      <c r="C3519" t="inlineStr">
        <is>
          <t>February</t>
        </is>
      </c>
      <c r="D3519" t="inlineStr">
        <is>
          <t>Eco Tent</t>
        </is>
      </c>
      <c r="E3519" t="inlineStr">
        <is>
          <t>Sports &amp; Outdoors</t>
        </is>
      </c>
      <c r="F3519" t="inlineStr">
        <is>
          <t>Paul Zielinski</t>
        </is>
      </c>
      <c r="G3519" t="inlineStr">
        <is>
          <t>Poland</t>
        </is>
      </c>
      <c r="H3519" t="inlineStr">
        <is>
          <t>Web Store</t>
        </is>
      </c>
      <c r="I3519" t="n">
        <v>5</v>
      </c>
      <c r="J3519" s="3" t="n">
        <v>1250.65</v>
      </c>
      <c r="K3519" s="3" t="n">
        <v>0</v>
      </c>
      <c r="L3519" s="3" t="n">
        <v>1250.65</v>
      </c>
      <c r="M3519" s="3" t="n">
        <v>675.15</v>
      </c>
      <c r="N3519" s="3" t="n">
        <v>575.5</v>
      </c>
      <c r="O3519">
        <f>TEXT(A3519,"yyyy-mm")</f>
        <v/>
      </c>
    </row>
    <row r="3520">
      <c r="A3520" s="2" t="n">
        <v>46074</v>
      </c>
      <c r="B3520" t="n">
        <v>2026</v>
      </c>
      <c r="C3520" t="inlineStr">
        <is>
          <t>February</t>
        </is>
      </c>
      <c r="D3520" t="inlineStr">
        <is>
          <t>Eco Backpack</t>
        </is>
      </c>
      <c r="E3520" t="inlineStr">
        <is>
          <t>Sports &amp; Outdoors</t>
        </is>
      </c>
      <c r="F3520" t="inlineStr">
        <is>
          <t>Paul Zielinski</t>
        </is>
      </c>
      <c r="G3520" t="inlineStr">
        <is>
          <t>Poland</t>
        </is>
      </c>
      <c r="H3520" t="inlineStr">
        <is>
          <t>Web Store</t>
        </is>
      </c>
      <c r="I3520" t="n">
        <v>3</v>
      </c>
      <c r="J3520" s="3" t="n">
        <v>830.76</v>
      </c>
      <c r="K3520" s="3" t="n">
        <v>41.54</v>
      </c>
      <c r="L3520" s="3" t="n">
        <v>789.22</v>
      </c>
      <c r="M3520" s="3" t="n">
        <v>439.74</v>
      </c>
      <c r="N3520" s="3" t="n">
        <v>349.48</v>
      </c>
      <c r="O3520">
        <f>TEXT(A3520,"yyyy-mm")</f>
        <v/>
      </c>
    </row>
    <row r="3521">
      <c r="A3521" s="2" t="n">
        <v>46074</v>
      </c>
      <c r="B3521" t="n">
        <v>2026</v>
      </c>
      <c r="C3521" t="inlineStr">
        <is>
          <t>February</t>
        </is>
      </c>
      <c r="D3521" t="inlineStr">
        <is>
          <t>Premium Tent</t>
        </is>
      </c>
      <c r="E3521" t="inlineStr">
        <is>
          <t>Sports &amp; Outdoors</t>
        </is>
      </c>
      <c r="F3521" t="inlineStr">
        <is>
          <t>Paul Zielinski</t>
        </is>
      </c>
      <c r="G3521" t="inlineStr">
        <is>
          <t>Poland</t>
        </is>
      </c>
      <c r="H3521" t="inlineStr">
        <is>
          <t>Web Store</t>
        </is>
      </c>
      <c r="I3521" t="n">
        <v>5</v>
      </c>
      <c r="J3521" s="3" t="n">
        <v>680.15</v>
      </c>
      <c r="K3521" s="3" t="n">
        <v>136.03</v>
      </c>
      <c r="L3521" s="3" t="n">
        <v>544.12</v>
      </c>
      <c r="M3521" s="3" t="n">
        <v>482</v>
      </c>
      <c r="N3521" s="3" t="n">
        <v>62.12</v>
      </c>
      <c r="O3521">
        <f>TEXT(A3521,"yyyy-mm")</f>
        <v/>
      </c>
    </row>
    <row r="3522">
      <c r="A3522" s="2" t="n">
        <v>46074</v>
      </c>
      <c r="B3522" t="n">
        <v>2026</v>
      </c>
      <c r="C3522" t="inlineStr">
        <is>
          <t>February</t>
        </is>
      </c>
      <c r="D3522" t="inlineStr">
        <is>
          <t>Premium Water Bottle</t>
        </is>
      </c>
      <c r="E3522" t="inlineStr">
        <is>
          <t>Sports &amp; Outdoors</t>
        </is>
      </c>
      <c r="F3522" t="inlineStr">
        <is>
          <t>Paul Zielinski</t>
        </is>
      </c>
      <c r="G3522" t="inlineStr">
        <is>
          <t>Poland</t>
        </is>
      </c>
      <c r="H3522" t="inlineStr">
        <is>
          <t>Web Store</t>
        </is>
      </c>
      <c r="I3522" t="n">
        <v>2</v>
      </c>
      <c r="J3522" s="3" t="n">
        <v>613.38</v>
      </c>
      <c r="K3522" s="3" t="n">
        <v>0</v>
      </c>
      <c r="L3522" s="3" t="n">
        <v>613.38</v>
      </c>
      <c r="M3522" s="3" t="n">
        <v>362.32</v>
      </c>
      <c r="N3522" s="3" t="n">
        <v>251.06</v>
      </c>
      <c r="O3522">
        <f>TEXT(A3522,"yyyy-mm")</f>
        <v/>
      </c>
    </row>
    <row r="3523">
      <c r="A3523" s="2" t="n">
        <v>46074</v>
      </c>
      <c r="B3523" t="n">
        <v>2026</v>
      </c>
      <c r="C3523" t="inlineStr">
        <is>
          <t>February</t>
        </is>
      </c>
      <c r="D3523" t="inlineStr">
        <is>
          <t>Smart Sweater</t>
        </is>
      </c>
      <c r="E3523" t="inlineStr">
        <is>
          <t>Clothing</t>
        </is>
      </c>
      <c r="F3523" t="inlineStr">
        <is>
          <t>James Kowalski</t>
        </is>
      </c>
      <c r="G3523" t="inlineStr">
        <is>
          <t>Poland</t>
        </is>
      </c>
      <c r="H3523" t="inlineStr">
        <is>
          <t>Web Store</t>
        </is>
      </c>
      <c r="I3523" t="n">
        <v>4</v>
      </c>
      <c r="J3523" s="3" t="n">
        <v>564.36</v>
      </c>
      <c r="K3523" s="3" t="n">
        <v>28.22</v>
      </c>
      <c r="L3523" s="3" t="n">
        <v>536.14</v>
      </c>
      <c r="M3523" s="3" t="n">
        <v>309.4</v>
      </c>
      <c r="N3523" s="3" t="n">
        <v>226.74</v>
      </c>
      <c r="O3523">
        <f>TEXT(A3523,"yyyy-mm")</f>
        <v/>
      </c>
    </row>
    <row r="3524">
      <c r="A3524" s="2" t="n">
        <v>46075</v>
      </c>
      <c r="B3524" t="n">
        <v>2026</v>
      </c>
      <c r="C3524" t="inlineStr">
        <is>
          <t>February</t>
        </is>
      </c>
      <c r="D3524" t="inlineStr">
        <is>
          <t>Eco Tent</t>
        </is>
      </c>
      <c r="E3524" t="inlineStr">
        <is>
          <t>Sports &amp; Outdoors</t>
        </is>
      </c>
      <c r="F3524" t="inlineStr">
        <is>
          <t>Anna Dubois</t>
        </is>
      </c>
      <c r="G3524" t="inlineStr">
        <is>
          <t>Germany</t>
        </is>
      </c>
      <c r="H3524" t="inlineStr">
        <is>
          <t>Marketplace</t>
        </is>
      </c>
      <c r="I3524" t="n">
        <v>4</v>
      </c>
      <c r="J3524" s="3" t="n">
        <v>948.12</v>
      </c>
      <c r="K3524" s="3" t="n">
        <v>47.41</v>
      </c>
      <c r="L3524" s="3" t="n">
        <v>900.71</v>
      </c>
      <c r="M3524" s="3" t="n">
        <v>540.12</v>
      </c>
      <c r="N3524" s="3" t="n">
        <v>360.59</v>
      </c>
      <c r="O3524">
        <f>TEXT(A3524,"yyyy-mm")</f>
        <v/>
      </c>
    </row>
    <row r="3525">
      <c r="A3525" s="2" t="n">
        <v>46075</v>
      </c>
      <c r="B3525" t="n">
        <v>2026</v>
      </c>
      <c r="C3525" t="inlineStr">
        <is>
          <t>February</t>
        </is>
      </c>
      <c r="D3525" t="inlineStr">
        <is>
          <t>Deluxe Scarf</t>
        </is>
      </c>
      <c r="E3525" t="inlineStr">
        <is>
          <t>Clothing</t>
        </is>
      </c>
      <c r="F3525" t="inlineStr">
        <is>
          <t>John Conti</t>
        </is>
      </c>
      <c r="G3525" t="inlineStr">
        <is>
          <t>Germany</t>
        </is>
      </c>
      <c r="H3525" t="inlineStr">
        <is>
          <t>Mobile App</t>
        </is>
      </c>
      <c r="I3525" t="n">
        <v>3</v>
      </c>
      <c r="J3525" s="3" t="n">
        <v>595.26</v>
      </c>
      <c r="K3525" s="3" t="n">
        <v>89.29000000000001</v>
      </c>
      <c r="L3525" s="3" t="n">
        <v>505.97</v>
      </c>
      <c r="M3525" s="3" t="n">
        <v>325.56</v>
      </c>
      <c r="N3525" s="3" t="n">
        <v>180.41</v>
      </c>
      <c r="O3525">
        <f>TEXT(A3525,"yyyy-mm")</f>
        <v/>
      </c>
    </row>
    <row r="3526">
      <c r="A3526" s="2" t="n">
        <v>46075</v>
      </c>
      <c r="B3526" t="n">
        <v>2026</v>
      </c>
      <c r="C3526" t="inlineStr">
        <is>
          <t>February</t>
        </is>
      </c>
      <c r="D3526" t="inlineStr">
        <is>
          <t>Portable Pasta</t>
        </is>
      </c>
      <c r="E3526" t="inlineStr">
        <is>
          <t>Grocery</t>
        </is>
      </c>
      <c r="F3526" t="inlineStr">
        <is>
          <t>John Conti</t>
        </is>
      </c>
      <c r="G3526" t="inlineStr">
        <is>
          <t>Germany</t>
        </is>
      </c>
      <c r="H3526" t="inlineStr">
        <is>
          <t>Mobile App</t>
        </is>
      </c>
      <c r="I3526" t="n">
        <v>2</v>
      </c>
      <c r="J3526" s="3" t="n">
        <v>73.34</v>
      </c>
      <c r="K3526" s="3" t="n">
        <v>0</v>
      </c>
      <c r="L3526" s="3" t="n">
        <v>73.34</v>
      </c>
      <c r="M3526" s="3" t="n">
        <v>55.5</v>
      </c>
      <c r="N3526" s="3" t="n">
        <v>17.84</v>
      </c>
      <c r="O3526">
        <f>TEXT(A3526,"yyyy-mm")</f>
        <v/>
      </c>
    </row>
    <row r="3527">
      <c r="A3527" s="2" t="n">
        <v>46075</v>
      </c>
      <c r="B3527" t="n">
        <v>2026</v>
      </c>
      <c r="C3527" t="inlineStr">
        <is>
          <t>February</t>
        </is>
      </c>
      <c r="D3527" t="inlineStr">
        <is>
          <t>Portable Toolset</t>
        </is>
      </c>
      <c r="E3527" t="inlineStr">
        <is>
          <t>Home &amp; Garden</t>
        </is>
      </c>
      <c r="F3527" t="inlineStr">
        <is>
          <t>John Conti</t>
        </is>
      </c>
      <c r="G3527" t="inlineStr">
        <is>
          <t>Germany</t>
        </is>
      </c>
      <c r="H3527" t="inlineStr">
        <is>
          <t>Mobile App</t>
        </is>
      </c>
      <c r="I3527" t="n">
        <v>5</v>
      </c>
      <c r="J3527" s="3" t="n">
        <v>723.95</v>
      </c>
      <c r="K3527" s="3" t="n">
        <v>108.59</v>
      </c>
      <c r="L3527" s="3" t="n">
        <v>615.36</v>
      </c>
      <c r="M3527" s="3" t="n">
        <v>464.25</v>
      </c>
      <c r="N3527" s="3" t="n">
        <v>151.11</v>
      </c>
      <c r="O3527">
        <f>TEXT(A3527,"yyyy-mm")</f>
        <v/>
      </c>
    </row>
    <row r="3528">
      <c r="A3528" s="2" t="n">
        <v>46075</v>
      </c>
      <c r="B3528" t="n">
        <v>2026</v>
      </c>
      <c r="C3528" t="inlineStr">
        <is>
          <t>February</t>
        </is>
      </c>
      <c r="D3528" t="inlineStr">
        <is>
          <t>Essential Rug</t>
        </is>
      </c>
      <c r="E3528" t="inlineStr">
        <is>
          <t>Home &amp; Garden</t>
        </is>
      </c>
      <c r="F3528" t="inlineStr">
        <is>
          <t>John Conti</t>
        </is>
      </c>
      <c r="G3528" t="inlineStr">
        <is>
          <t>Germany</t>
        </is>
      </c>
      <c r="H3528" t="inlineStr">
        <is>
          <t>Mobile App</t>
        </is>
      </c>
      <c r="I3528" t="n">
        <v>1</v>
      </c>
      <c r="J3528" s="3" t="n">
        <v>128.83</v>
      </c>
      <c r="K3528" s="3" t="n">
        <v>0</v>
      </c>
      <c r="L3528" s="3" t="n">
        <v>128.83</v>
      </c>
      <c r="M3528" s="3" t="n">
        <v>76.33</v>
      </c>
      <c r="N3528" s="3" t="n">
        <v>52.5</v>
      </c>
      <c r="O3528">
        <f>TEXT(A3528,"yyyy-mm")</f>
        <v/>
      </c>
    </row>
    <row r="3529">
      <c r="A3529" s="2" t="n">
        <v>46075</v>
      </c>
      <c r="B3529" t="n">
        <v>2026</v>
      </c>
      <c r="C3529" t="inlineStr">
        <is>
          <t>February</t>
        </is>
      </c>
      <c r="D3529" t="inlineStr">
        <is>
          <t>Wireless Drone</t>
        </is>
      </c>
      <c r="E3529" t="inlineStr">
        <is>
          <t>Toys &amp; Games</t>
        </is>
      </c>
      <c r="F3529" t="inlineStr">
        <is>
          <t>Maria Martin</t>
        </is>
      </c>
      <c r="G3529" t="inlineStr">
        <is>
          <t>Germany</t>
        </is>
      </c>
      <c r="H3529" t="inlineStr">
        <is>
          <t>Mobile App</t>
        </is>
      </c>
      <c r="I3529" t="n">
        <v>1</v>
      </c>
      <c r="J3529" s="3" t="n">
        <v>221.32</v>
      </c>
      <c r="K3529" s="3" t="n">
        <v>0</v>
      </c>
      <c r="L3529" s="3" t="n">
        <v>221.32</v>
      </c>
      <c r="M3529" s="3" t="n">
        <v>131.29</v>
      </c>
      <c r="N3529" s="3" t="n">
        <v>90.03</v>
      </c>
      <c r="O3529">
        <f>TEXT(A3529,"yyyy-mm")</f>
        <v/>
      </c>
    </row>
    <row r="3530">
      <c r="A3530" s="2" t="n">
        <v>46075</v>
      </c>
      <c r="B3530" t="n">
        <v>2026</v>
      </c>
      <c r="C3530" t="inlineStr">
        <is>
          <t>February</t>
        </is>
      </c>
      <c r="D3530" t="inlineStr">
        <is>
          <t>Smart Honey</t>
        </is>
      </c>
      <c r="E3530" t="inlineStr">
        <is>
          <t>Grocery</t>
        </is>
      </c>
      <c r="F3530" t="inlineStr">
        <is>
          <t>Maria Martin</t>
        </is>
      </c>
      <c r="G3530" t="inlineStr">
        <is>
          <t>Germany</t>
        </is>
      </c>
      <c r="H3530" t="inlineStr">
        <is>
          <t>Mobile App</t>
        </is>
      </c>
      <c r="I3530" t="n">
        <v>2</v>
      </c>
      <c r="J3530" s="3" t="n">
        <v>265.12</v>
      </c>
      <c r="K3530" s="3" t="n">
        <v>0</v>
      </c>
      <c r="L3530" s="3" t="n">
        <v>265.12</v>
      </c>
      <c r="M3530" s="3" t="n">
        <v>142.88</v>
      </c>
      <c r="N3530" s="3" t="n">
        <v>122.24</v>
      </c>
      <c r="O3530">
        <f>TEXT(A3530,"yyyy-mm")</f>
        <v/>
      </c>
    </row>
    <row r="3531">
      <c r="A3531" s="2" t="n">
        <v>46076</v>
      </c>
      <c r="B3531" t="n">
        <v>2026</v>
      </c>
      <c r="C3531" t="inlineStr">
        <is>
          <t>February</t>
        </is>
      </c>
      <c r="D3531" t="inlineStr">
        <is>
          <t>Ultra Toolset</t>
        </is>
      </c>
      <c r="E3531" t="inlineStr">
        <is>
          <t>Home &amp; Garden</t>
        </is>
      </c>
      <c r="F3531" t="inlineStr">
        <is>
          <t>Peter Garcia</t>
        </is>
      </c>
      <c r="G3531" t="inlineStr">
        <is>
          <t>Poland</t>
        </is>
      </c>
      <c r="H3531" t="inlineStr">
        <is>
          <t>Marketplace</t>
        </is>
      </c>
      <c r="I3531" t="n">
        <v>3</v>
      </c>
      <c r="J3531" s="3" t="n">
        <v>1065.39</v>
      </c>
      <c r="K3531" s="3" t="n">
        <v>53.27</v>
      </c>
      <c r="L3531" s="3" t="n">
        <v>1012.12</v>
      </c>
      <c r="M3531" s="3" t="n">
        <v>571.2</v>
      </c>
      <c r="N3531" s="3" t="n">
        <v>440.92</v>
      </c>
      <c r="O3531">
        <f>TEXT(A3531,"yyyy-mm")</f>
        <v/>
      </c>
    </row>
    <row r="3532">
      <c r="A3532" s="2" t="n">
        <v>46076</v>
      </c>
      <c r="B3532" t="n">
        <v>2026</v>
      </c>
      <c r="C3532" t="inlineStr">
        <is>
          <t>February</t>
        </is>
      </c>
      <c r="D3532" t="inlineStr">
        <is>
          <t>Smart Coffee Beans</t>
        </is>
      </c>
      <c r="E3532" t="inlineStr">
        <is>
          <t>Grocery</t>
        </is>
      </c>
      <c r="F3532" t="inlineStr">
        <is>
          <t>Peter Garcia</t>
        </is>
      </c>
      <c r="G3532" t="inlineStr">
        <is>
          <t>Poland</t>
        </is>
      </c>
      <c r="H3532" t="inlineStr">
        <is>
          <t>Marketplace</t>
        </is>
      </c>
      <c r="I3532" t="n">
        <v>2</v>
      </c>
      <c r="J3532" s="3" t="n">
        <v>227.74</v>
      </c>
      <c r="K3532" s="3" t="n">
        <v>45.55</v>
      </c>
      <c r="L3532" s="3" t="n">
        <v>182.19</v>
      </c>
      <c r="M3532" s="3" t="n">
        <v>145.7</v>
      </c>
      <c r="N3532" s="3" t="n">
        <v>36.49</v>
      </c>
      <c r="O3532">
        <f>TEXT(A3532,"yyyy-mm")</f>
        <v/>
      </c>
    </row>
    <row r="3533">
      <c r="A3533" s="2" t="n">
        <v>46076</v>
      </c>
      <c r="B3533" t="n">
        <v>2026</v>
      </c>
      <c r="C3533" t="inlineStr">
        <is>
          <t>February</t>
        </is>
      </c>
      <c r="D3533" t="inlineStr">
        <is>
          <t>Classic Bike Helmet</t>
        </is>
      </c>
      <c r="E3533" t="inlineStr">
        <is>
          <t>Sports &amp; Outdoors</t>
        </is>
      </c>
      <c r="F3533" t="inlineStr">
        <is>
          <t>Peter Garcia</t>
        </is>
      </c>
      <c r="G3533" t="inlineStr">
        <is>
          <t>Poland</t>
        </is>
      </c>
      <c r="H3533" t="inlineStr">
        <is>
          <t>Marketplace</t>
        </is>
      </c>
      <c r="I3533" t="n">
        <v>5</v>
      </c>
      <c r="J3533" s="3" t="n">
        <v>1090.05</v>
      </c>
      <c r="K3533" s="3" t="n">
        <v>218.01</v>
      </c>
      <c r="L3533" s="3" t="n">
        <v>872.04</v>
      </c>
      <c r="M3533" s="3" t="n">
        <v>769.05</v>
      </c>
      <c r="N3533" s="3" t="n">
        <v>102.99</v>
      </c>
      <c r="O3533">
        <f>TEXT(A3533,"yyyy-mm")</f>
        <v/>
      </c>
    </row>
    <row r="3534">
      <c r="A3534" s="2" t="n">
        <v>46076</v>
      </c>
      <c r="B3534" t="n">
        <v>2026</v>
      </c>
      <c r="C3534" t="inlineStr">
        <is>
          <t>February</t>
        </is>
      </c>
      <c r="D3534" t="inlineStr">
        <is>
          <t>Smart Tea Set</t>
        </is>
      </c>
      <c r="E3534" t="inlineStr">
        <is>
          <t>Grocery</t>
        </is>
      </c>
      <c r="F3534" t="inlineStr">
        <is>
          <t>Peter Garcia</t>
        </is>
      </c>
      <c r="G3534" t="inlineStr">
        <is>
          <t>Poland</t>
        </is>
      </c>
      <c r="H3534" t="inlineStr">
        <is>
          <t>Marketplace</t>
        </is>
      </c>
      <c r="I3534" t="n">
        <v>2</v>
      </c>
      <c r="J3534" s="3" t="n">
        <v>172.36</v>
      </c>
      <c r="K3534" s="3" t="n">
        <v>8.619999999999999</v>
      </c>
      <c r="L3534" s="3" t="n">
        <v>163.74</v>
      </c>
      <c r="M3534" s="3" t="n">
        <v>123.6</v>
      </c>
      <c r="N3534" s="3" t="n">
        <v>40.14</v>
      </c>
      <c r="O3534">
        <f>TEXT(A3534,"yyyy-mm")</f>
        <v/>
      </c>
    </row>
    <row r="3535">
      <c r="A3535" s="2" t="n">
        <v>46077</v>
      </c>
      <c r="B3535" t="n">
        <v>2026</v>
      </c>
      <c r="C3535" t="inlineStr">
        <is>
          <t>February</t>
        </is>
      </c>
      <c r="D3535" t="inlineStr">
        <is>
          <t>Smart Drone</t>
        </is>
      </c>
      <c r="E3535" t="inlineStr">
        <is>
          <t>Toys &amp; Games</t>
        </is>
      </c>
      <c r="F3535" t="inlineStr">
        <is>
          <t>Michael Brown</t>
        </is>
      </c>
      <c r="G3535" t="inlineStr">
        <is>
          <t>Spain</t>
        </is>
      </c>
      <c r="H3535" t="inlineStr">
        <is>
          <t>Web Store</t>
        </is>
      </c>
      <c r="I3535" t="n">
        <v>4</v>
      </c>
      <c r="J3535" s="3" t="n">
        <v>881.08</v>
      </c>
      <c r="K3535" s="3" t="n">
        <v>0</v>
      </c>
      <c r="L3535" s="3" t="n">
        <v>881.08</v>
      </c>
      <c r="M3535" s="3" t="n">
        <v>507.8</v>
      </c>
      <c r="N3535" s="3" t="n">
        <v>373.28</v>
      </c>
      <c r="O3535">
        <f>TEXT(A3535,"yyyy-mm")</f>
        <v/>
      </c>
    </row>
    <row r="3536">
      <c r="A3536" s="2" t="n">
        <v>46077</v>
      </c>
      <c r="B3536" t="n">
        <v>2026</v>
      </c>
      <c r="C3536" t="inlineStr">
        <is>
          <t>February</t>
        </is>
      </c>
      <c r="D3536" t="inlineStr">
        <is>
          <t>Deluxe Scarf</t>
        </is>
      </c>
      <c r="E3536" t="inlineStr">
        <is>
          <t>Clothing</t>
        </is>
      </c>
      <c r="F3536" t="inlineStr">
        <is>
          <t>David Bianchi</t>
        </is>
      </c>
      <c r="G3536" t="inlineStr">
        <is>
          <t>Netherlands</t>
        </is>
      </c>
      <c r="H3536" t="inlineStr">
        <is>
          <t>Mobile App</t>
        </is>
      </c>
      <c r="I3536" t="n">
        <v>3</v>
      </c>
      <c r="J3536" s="3" t="n">
        <v>596.0700000000001</v>
      </c>
      <c r="K3536" s="3" t="n">
        <v>0</v>
      </c>
      <c r="L3536" s="3" t="n">
        <v>596.0700000000001</v>
      </c>
      <c r="M3536" s="3" t="n">
        <v>325.56</v>
      </c>
      <c r="N3536" s="3" t="n">
        <v>270.51</v>
      </c>
      <c r="O3536">
        <f>TEXT(A3536,"yyyy-mm")</f>
        <v/>
      </c>
    </row>
    <row r="3537">
      <c r="A3537" s="2" t="n">
        <v>46077</v>
      </c>
      <c r="B3537" t="n">
        <v>2026</v>
      </c>
      <c r="C3537" t="inlineStr">
        <is>
          <t>February</t>
        </is>
      </c>
      <c r="D3537" t="inlineStr">
        <is>
          <t>Wireless Coffee Beans</t>
        </is>
      </c>
      <c r="E3537" t="inlineStr">
        <is>
          <t>Grocery</t>
        </is>
      </c>
      <c r="F3537" t="inlineStr">
        <is>
          <t>David Bianchi</t>
        </is>
      </c>
      <c r="G3537" t="inlineStr">
        <is>
          <t>Netherlands</t>
        </is>
      </c>
      <c r="H3537" t="inlineStr">
        <is>
          <t>Mobile App</t>
        </is>
      </c>
      <c r="I3537" t="n">
        <v>3</v>
      </c>
      <c r="J3537" s="3" t="n">
        <v>641.52</v>
      </c>
      <c r="K3537" s="3" t="n">
        <v>128.3</v>
      </c>
      <c r="L3537" s="3" t="n">
        <v>513.22</v>
      </c>
      <c r="M3537" s="3" t="n">
        <v>390.39</v>
      </c>
      <c r="N3537" s="3" t="n">
        <v>122.83</v>
      </c>
      <c r="O3537">
        <f>TEXT(A3537,"yyyy-mm")</f>
        <v/>
      </c>
    </row>
    <row r="3538">
      <c r="A3538" s="2" t="n">
        <v>46077</v>
      </c>
      <c r="B3538" t="n">
        <v>2026</v>
      </c>
      <c r="C3538" t="inlineStr">
        <is>
          <t>February</t>
        </is>
      </c>
      <c r="D3538" t="inlineStr">
        <is>
          <t>Smart Face Cream</t>
        </is>
      </c>
      <c r="E3538" t="inlineStr">
        <is>
          <t>Beauty &amp; Health</t>
        </is>
      </c>
      <c r="F3538" t="inlineStr">
        <is>
          <t>David Bianchi</t>
        </is>
      </c>
      <c r="G3538" t="inlineStr">
        <is>
          <t>Netherlands</t>
        </is>
      </c>
      <c r="H3538" t="inlineStr">
        <is>
          <t>Mobile App</t>
        </is>
      </c>
      <c r="I3538" t="n">
        <v>2</v>
      </c>
      <c r="J3538" s="3" t="n">
        <v>527.28</v>
      </c>
      <c r="K3538" s="3" t="n">
        <v>105.46</v>
      </c>
      <c r="L3538" s="3" t="n">
        <v>421.82</v>
      </c>
      <c r="M3538" s="3" t="n">
        <v>386.28</v>
      </c>
      <c r="N3538" s="3" t="n">
        <v>35.54</v>
      </c>
      <c r="O3538">
        <f>TEXT(A3538,"yyyy-mm")</f>
        <v/>
      </c>
    </row>
    <row r="3539">
      <c r="A3539" s="2" t="n">
        <v>46077</v>
      </c>
      <c r="B3539" t="n">
        <v>2026</v>
      </c>
      <c r="C3539" t="inlineStr">
        <is>
          <t>February</t>
        </is>
      </c>
      <c r="D3539" t="inlineStr">
        <is>
          <t>Smart Coffee Beans</t>
        </is>
      </c>
      <c r="E3539" t="inlineStr">
        <is>
          <t>Grocery</t>
        </is>
      </c>
      <c r="F3539" t="inlineStr">
        <is>
          <t>Michael Brown</t>
        </is>
      </c>
      <c r="G3539" t="inlineStr">
        <is>
          <t>Spain</t>
        </is>
      </c>
      <c r="H3539" t="inlineStr">
        <is>
          <t>Web Store</t>
        </is>
      </c>
      <c r="I3539" t="n">
        <v>4</v>
      </c>
      <c r="J3539" s="3" t="n">
        <v>425.8</v>
      </c>
      <c r="K3539" s="3" t="n">
        <v>63.87</v>
      </c>
      <c r="L3539" s="3" t="n">
        <v>361.93</v>
      </c>
      <c r="M3539" s="3" t="n">
        <v>291.4</v>
      </c>
      <c r="N3539" s="3" t="n">
        <v>70.53</v>
      </c>
      <c r="O3539">
        <f>TEXT(A3539,"yyyy-mm")</f>
        <v/>
      </c>
    </row>
    <row r="3540">
      <c r="A3540" s="2" t="n">
        <v>46077</v>
      </c>
      <c r="B3540" t="n">
        <v>2026</v>
      </c>
      <c r="C3540" t="inlineStr">
        <is>
          <t>February</t>
        </is>
      </c>
      <c r="D3540" t="inlineStr">
        <is>
          <t>Portable Speaker</t>
        </is>
      </c>
      <c r="E3540" t="inlineStr">
        <is>
          <t>Electronics</t>
        </is>
      </c>
      <c r="F3540" t="inlineStr">
        <is>
          <t>Michael Brown</t>
        </is>
      </c>
      <c r="G3540" t="inlineStr">
        <is>
          <t>Spain</t>
        </is>
      </c>
      <c r="H3540" t="inlineStr">
        <is>
          <t>Web Store</t>
        </is>
      </c>
      <c r="I3540" t="n">
        <v>1</v>
      </c>
      <c r="J3540" s="3" t="n">
        <v>323.28</v>
      </c>
      <c r="K3540" s="3" t="n">
        <v>32.33</v>
      </c>
      <c r="L3540" s="3" t="n">
        <v>290.95</v>
      </c>
      <c r="M3540" s="3" t="n">
        <v>174.83</v>
      </c>
      <c r="N3540" s="3" t="n">
        <v>116.12</v>
      </c>
      <c r="O3540">
        <f>TEXT(A3540,"yyyy-mm")</f>
        <v/>
      </c>
    </row>
    <row r="3541">
      <c r="A3541" s="2" t="n">
        <v>46078</v>
      </c>
      <c r="B3541" t="n">
        <v>2026</v>
      </c>
      <c r="C3541" t="inlineStr">
        <is>
          <t>February</t>
        </is>
      </c>
      <c r="D3541" t="inlineStr">
        <is>
          <t>Wireless Coffee Beans</t>
        </is>
      </c>
      <c r="E3541" t="inlineStr">
        <is>
          <t>Grocery</t>
        </is>
      </c>
      <c r="F3541" t="inlineStr">
        <is>
          <t>David Nowak</t>
        </is>
      </c>
      <c r="G3541" t="inlineStr">
        <is>
          <t>United Kingdom</t>
        </is>
      </c>
      <c r="H3541" t="inlineStr">
        <is>
          <t>Mobile App</t>
        </is>
      </c>
      <c r="I3541" t="n">
        <v>1</v>
      </c>
      <c r="J3541" s="3" t="n">
        <v>214.97</v>
      </c>
      <c r="K3541" s="3" t="n">
        <v>0</v>
      </c>
      <c r="L3541" s="3" t="n">
        <v>214.97</v>
      </c>
      <c r="M3541" s="3" t="n">
        <v>130.13</v>
      </c>
      <c r="N3541" s="3" t="n">
        <v>84.84</v>
      </c>
      <c r="O3541">
        <f>TEXT(A3541,"yyyy-mm")</f>
        <v/>
      </c>
    </row>
    <row r="3542">
      <c r="A3542" s="2" t="n">
        <v>46078</v>
      </c>
      <c r="B3542" t="n">
        <v>2026</v>
      </c>
      <c r="C3542" t="inlineStr">
        <is>
          <t>February</t>
        </is>
      </c>
      <c r="D3542" t="inlineStr">
        <is>
          <t>Deluxe Toolset</t>
        </is>
      </c>
      <c r="E3542" t="inlineStr">
        <is>
          <t>Home &amp; Garden</t>
        </is>
      </c>
      <c r="F3542" t="inlineStr">
        <is>
          <t>David Nowak</t>
        </is>
      </c>
      <c r="G3542" t="inlineStr">
        <is>
          <t>United Kingdom</t>
        </is>
      </c>
      <c r="H3542" t="inlineStr">
        <is>
          <t>Mobile App</t>
        </is>
      </c>
      <c r="I3542" t="n">
        <v>5</v>
      </c>
      <c r="J3542" s="3" t="n">
        <v>338.35</v>
      </c>
      <c r="K3542" s="3" t="n">
        <v>0</v>
      </c>
      <c r="L3542" s="3" t="n">
        <v>338.35</v>
      </c>
      <c r="M3542" s="3" t="n">
        <v>238.55</v>
      </c>
      <c r="N3542" s="3" t="n">
        <v>99.8</v>
      </c>
      <c r="O3542">
        <f>TEXT(A3542,"yyyy-mm")</f>
        <v/>
      </c>
    </row>
    <row r="3543">
      <c r="A3543" s="2" t="n">
        <v>46079</v>
      </c>
      <c r="B3543" t="n">
        <v>2026</v>
      </c>
      <c r="C3543" t="inlineStr">
        <is>
          <t>February</t>
        </is>
      </c>
      <c r="D3543" t="inlineStr">
        <is>
          <t>Essential Lamp</t>
        </is>
      </c>
      <c r="E3543" t="inlineStr">
        <is>
          <t>Home &amp; Garden</t>
        </is>
      </c>
      <c r="F3543" t="inlineStr">
        <is>
          <t>Nina Wilson</t>
        </is>
      </c>
      <c r="G3543" t="inlineStr">
        <is>
          <t>Poland</t>
        </is>
      </c>
      <c r="H3543" t="inlineStr">
        <is>
          <t>Mobile App</t>
        </is>
      </c>
      <c r="I3543" t="n">
        <v>3</v>
      </c>
      <c r="J3543" s="3" t="n">
        <v>201.75</v>
      </c>
      <c r="K3543" s="3" t="n">
        <v>20.18</v>
      </c>
      <c r="L3543" s="3" t="n">
        <v>181.58</v>
      </c>
      <c r="M3543" s="3" t="n">
        <v>136.2</v>
      </c>
      <c r="N3543" s="3" t="n">
        <v>45.38</v>
      </c>
      <c r="O3543">
        <f>TEXT(A3543,"yyyy-mm")</f>
        <v/>
      </c>
    </row>
    <row r="3544">
      <c r="A3544" s="2" t="n">
        <v>46079</v>
      </c>
      <c r="B3544" t="n">
        <v>2026</v>
      </c>
      <c r="C3544" t="inlineStr">
        <is>
          <t>February</t>
        </is>
      </c>
      <c r="D3544" t="inlineStr">
        <is>
          <t>Smart Charger</t>
        </is>
      </c>
      <c r="E3544" t="inlineStr">
        <is>
          <t>Electronics</t>
        </is>
      </c>
      <c r="F3544" t="inlineStr">
        <is>
          <t>Sophie Schmidt</t>
        </is>
      </c>
      <c r="G3544" t="inlineStr">
        <is>
          <t>Germany</t>
        </is>
      </c>
      <c r="H3544" t="inlineStr">
        <is>
          <t>Marketplace</t>
        </is>
      </c>
      <c r="I3544" t="n">
        <v>4</v>
      </c>
      <c r="J3544" s="3" t="n">
        <v>1067.56</v>
      </c>
      <c r="K3544" s="3" t="n">
        <v>0</v>
      </c>
      <c r="L3544" s="3" t="n">
        <v>1067.56</v>
      </c>
      <c r="M3544" s="3" t="n">
        <v>570.08</v>
      </c>
      <c r="N3544" s="3" t="n">
        <v>497.48</v>
      </c>
      <c r="O3544">
        <f>TEXT(A3544,"yyyy-mm")</f>
        <v/>
      </c>
    </row>
    <row r="3545">
      <c r="A3545" s="2" t="n">
        <v>46079</v>
      </c>
      <c r="B3545" t="n">
        <v>2026</v>
      </c>
      <c r="C3545" t="inlineStr">
        <is>
          <t>February</t>
        </is>
      </c>
      <c r="D3545" t="inlineStr">
        <is>
          <t>Classic Tea Set</t>
        </is>
      </c>
      <c r="E3545" t="inlineStr">
        <is>
          <t>Grocery</t>
        </is>
      </c>
      <c r="F3545" t="inlineStr">
        <is>
          <t>Sophie Schmidt</t>
        </is>
      </c>
      <c r="G3545" t="inlineStr">
        <is>
          <t>Germany</t>
        </is>
      </c>
      <c r="H3545" t="inlineStr">
        <is>
          <t>Marketplace</t>
        </is>
      </c>
      <c r="I3545" t="n">
        <v>2</v>
      </c>
      <c r="J3545" s="3" t="n">
        <v>364.86</v>
      </c>
      <c r="K3545" s="3" t="n">
        <v>54.73</v>
      </c>
      <c r="L3545" s="3" t="n">
        <v>310.13</v>
      </c>
      <c r="M3545" s="3" t="n">
        <v>250.8</v>
      </c>
      <c r="N3545" s="3" t="n">
        <v>59.33</v>
      </c>
      <c r="O3545">
        <f>TEXT(A3545,"yyyy-mm")</f>
        <v/>
      </c>
    </row>
    <row r="3546">
      <c r="A3546" s="2" t="n">
        <v>46079</v>
      </c>
      <c r="B3546" t="n">
        <v>2026</v>
      </c>
      <c r="C3546" t="inlineStr">
        <is>
          <t>February</t>
        </is>
      </c>
      <c r="D3546" t="inlineStr">
        <is>
          <t>Smart Charger</t>
        </is>
      </c>
      <c r="E3546" t="inlineStr">
        <is>
          <t>Electronics</t>
        </is>
      </c>
      <c r="F3546" t="inlineStr">
        <is>
          <t>David Wojcik</t>
        </is>
      </c>
      <c r="G3546" t="inlineStr">
        <is>
          <t>Germany</t>
        </is>
      </c>
      <c r="H3546" t="inlineStr">
        <is>
          <t>Marketplace</t>
        </is>
      </c>
      <c r="I3546" t="n">
        <v>3</v>
      </c>
      <c r="J3546" s="3" t="n">
        <v>120.12</v>
      </c>
      <c r="K3546" s="3" t="n">
        <v>0</v>
      </c>
      <c r="L3546" s="3" t="n">
        <v>120.12</v>
      </c>
      <c r="M3546" s="3" t="n">
        <v>82.92</v>
      </c>
      <c r="N3546" s="3" t="n">
        <v>37.2</v>
      </c>
      <c r="O3546">
        <f>TEXT(A3546,"yyyy-mm")</f>
        <v/>
      </c>
    </row>
    <row r="3547">
      <c r="A3547" s="2" t="n">
        <v>46079</v>
      </c>
      <c r="B3547" t="n">
        <v>2026</v>
      </c>
      <c r="C3547" t="inlineStr">
        <is>
          <t>February</t>
        </is>
      </c>
      <c r="D3547" t="inlineStr">
        <is>
          <t>Smart Honey</t>
        </is>
      </c>
      <c r="E3547" t="inlineStr">
        <is>
          <t>Grocery</t>
        </is>
      </c>
      <c r="F3547" t="inlineStr">
        <is>
          <t>David Wojcik</t>
        </is>
      </c>
      <c r="G3547" t="inlineStr">
        <is>
          <t>Germany</t>
        </is>
      </c>
      <c r="H3547" t="inlineStr">
        <is>
          <t>Marketplace</t>
        </is>
      </c>
      <c r="I3547" t="n">
        <v>4</v>
      </c>
      <c r="J3547" s="3" t="n">
        <v>555.4400000000001</v>
      </c>
      <c r="K3547" s="3" t="n">
        <v>55.54</v>
      </c>
      <c r="L3547" s="3" t="n">
        <v>499.9</v>
      </c>
      <c r="M3547" s="3" t="n">
        <v>285.76</v>
      </c>
      <c r="N3547" s="3" t="n">
        <v>214.14</v>
      </c>
      <c r="O3547">
        <f>TEXT(A3547,"yyyy-mm")</f>
        <v/>
      </c>
    </row>
    <row r="3548">
      <c r="A3548" s="2" t="n">
        <v>46080</v>
      </c>
      <c r="B3548" t="n">
        <v>2026</v>
      </c>
      <c r="C3548" t="inlineStr">
        <is>
          <t>February</t>
        </is>
      </c>
      <c r="D3548" t="inlineStr">
        <is>
          <t>Deluxe Toolset</t>
        </is>
      </c>
      <c r="E3548" t="inlineStr">
        <is>
          <t>Home &amp; Garden</t>
        </is>
      </c>
      <c r="F3548" t="inlineStr">
        <is>
          <t>Olivia Conti</t>
        </is>
      </c>
      <c r="G3548" t="inlineStr">
        <is>
          <t>Poland</t>
        </is>
      </c>
      <c r="H3548" t="inlineStr">
        <is>
          <t>Mobile App</t>
        </is>
      </c>
      <c r="I3548" t="n">
        <v>3</v>
      </c>
      <c r="J3548" s="3" t="n">
        <v>203.25</v>
      </c>
      <c r="K3548" s="3" t="n">
        <v>10.16</v>
      </c>
      <c r="L3548" s="3" t="n">
        <v>193.09</v>
      </c>
      <c r="M3548" s="3" t="n">
        <v>143.13</v>
      </c>
      <c r="N3548" s="3" t="n">
        <v>49.96</v>
      </c>
      <c r="O3548">
        <f>TEXT(A3548,"yyyy-mm")</f>
        <v/>
      </c>
    </row>
    <row r="3549">
      <c r="A3549" s="2" t="n">
        <v>46080</v>
      </c>
      <c r="B3549" t="n">
        <v>2026</v>
      </c>
      <c r="C3549" t="inlineStr">
        <is>
          <t>February</t>
        </is>
      </c>
      <c r="D3549" t="inlineStr">
        <is>
          <t>Smart Face Cream</t>
        </is>
      </c>
      <c r="E3549" t="inlineStr">
        <is>
          <t>Beauty &amp; Health</t>
        </is>
      </c>
      <c r="F3549" t="inlineStr">
        <is>
          <t>Olivia Conti</t>
        </is>
      </c>
      <c r="G3549" t="inlineStr">
        <is>
          <t>Poland</t>
        </is>
      </c>
      <c r="H3549" t="inlineStr">
        <is>
          <t>Mobile App</t>
        </is>
      </c>
      <c r="I3549" t="n">
        <v>1</v>
      </c>
      <c r="J3549" s="3" t="n">
        <v>273.04</v>
      </c>
      <c r="K3549" s="3" t="n">
        <v>27.3</v>
      </c>
      <c r="L3549" s="3" t="n">
        <v>245.74</v>
      </c>
      <c r="M3549" s="3" t="n">
        <v>193.14</v>
      </c>
      <c r="N3549" s="3" t="n">
        <v>52.6</v>
      </c>
      <c r="O3549">
        <f>TEXT(A3549,"yyyy-mm")</f>
        <v/>
      </c>
    </row>
    <row r="3550">
      <c r="A3550" s="2" t="n">
        <v>46080</v>
      </c>
      <c r="B3550" t="n">
        <v>2026</v>
      </c>
      <c r="C3550" t="inlineStr">
        <is>
          <t>February</t>
        </is>
      </c>
      <c r="D3550" t="inlineStr">
        <is>
          <t>Essential Rug</t>
        </is>
      </c>
      <c r="E3550" t="inlineStr">
        <is>
          <t>Home &amp; Garden</t>
        </is>
      </c>
      <c r="F3550" t="inlineStr">
        <is>
          <t>Daniel Lopez</t>
        </is>
      </c>
      <c r="G3550" t="inlineStr">
        <is>
          <t>Italy</t>
        </is>
      </c>
      <c r="H3550" t="inlineStr">
        <is>
          <t>Mobile App</t>
        </is>
      </c>
      <c r="I3550" t="n">
        <v>3</v>
      </c>
      <c r="J3550" s="3" t="n">
        <v>414</v>
      </c>
      <c r="K3550" s="3" t="n">
        <v>0</v>
      </c>
      <c r="L3550" s="3" t="n">
        <v>414</v>
      </c>
      <c r="M3550" s="3" t="n">
        <v>228.99</v>
      </c>
      <c r="N3550" s="3" t="n">
        <v>185.01</v>
      </c>
      <c r="O3550">
        <f>TEXT(A3550,"yyyy-mm")</f>
        <v/>
      </c>
    </row>
    <row r="3551">
      <c r="A3551" s="2" t="n">
        <v>46080</v>
      </c>
      <c r="B3551" t="n">
        <v>2026</v>
      </c>
      <c r="C3551" t="inlineStr">
        <is>
          <t>February</t>
        </is>
      </c>
      <c r="D3551" t="inlineStr">
        <is>
          <t>Smart Tea Set</t>
        </is>
      </c>
      <c r="E3551" t="inlineStr">
        <is>
          <t>Grocery</t>
        </is>
      </c>
      <c r="F3551" t="inlineStr">
        <is>
          <t>Daniel Lopez</t>
        </is>
      </c>
      <c r="G3551" t="inlineStr">
        <is>
          <t>Italy</t>
        </is>
      </c>
      <c r="H3551" t="inlineStr">
        <is>
          <t>Mobile App</t>
        </is>
      </c>
      <c r="I3551" t="n">
        <v>4</v>
      </c>
      <c r="J3551" s="3" t="n">
        <v>346</v>
      </c>
      <c r="K3551" s="3" t="n">
        <v>0</v>
      </c>
      <c r="L3551" s="3" t="n">
        <v>346</v>
      </c>
      <c r="M3551" s="3" t="n">
        <v>247.2</v>
      </c>
      <c r="N3551" s="3" t="n">
        <v>98.8</v>
      </c>
      <c r="O3551">
        <f>TEXT(A3551,"yyyy-mm")</f>
        <v/>
      </c>
    </row>
    <row r="3552">
      <c r="A3552" s="2" t="n">
        <v>46080</v>
      </c>
      <c r="B3552" t="n">
        <v>2026</v>
      </c>
      <c r="C3552" t="inlineStr">
        <is>
          <t>February</t>
        </is>
      </c>
      <c r="D3552" t="inlineStr">
        <is>
          <t>Smart Puzzle</t>
        </is>
      </c>
      <c r="E3552" t="inlineStr">
        <is>
          <t>Toys &amp; Games</t>
        </is>
      </c>
      <c r="F3552" t="inlineStr">
        <is>
          <t>Daniel Lopez</t>
        </is>
      </c>
      <c r="G3552" t="inlineStr">
        <is>
          <t>Italy</t>
        </is>
      </c>
      <c r="H3552" t="inlineStr">
        <is>
          <t>Mobile App</t>
        </is>
      </c>
      <c r="I3552" t="n">
        <v>2</v>
      </c>
      <c r="J3552" s="3" t="n">
        <v>529.02</v>
      </c>
      <c r="K3552" s="3" t="n">
        <v>0</v>
      </c>
      <c r="L3552" s="3" t="n">
        <v>529.02</v>
      </c>
      <c r="M3552" s="3" t="n">
        <v>385.52</v>
      </c>
      <c r="N3552" s="3" t="n">
        <v>143.5</v>
      </c>
      <c r="O3552">
        <f>TEXT(A3552,"yyyy-mm")</f>
        <v/>
      </c>
    </row>
    <row r="3553">
      <c r="A3553" s="2" t="n">
        <v>46080</v>
      </c>
      <c r="B3553" t="n">
        <v>2026</v>
      </c>
      <c r="C3553" t="inlineStr">
        <is>
          <t>February</t>
        </is>
      </c>
      <c r="D3553" t="inlineStr">
        <is>
          <t>Smart Board Game</t>
        </is>
      </c>
      <c r="E3553" t="inlineStr">
        <is>
          <t>Toys &amp; Games</t>
        </is>
      </c>
      <c r="F3553" t="inlineStr">
        <is>
          <t>James Nowak</t>
        </is>
      </c>
      <c r="G3553" t="inlineStr">
        <is>
          <t>France</t>
        </is>
      </c>
      <c r="H3553" t="inlineStr">
        <is>
          <t>Retail Store</t>
        </is>
      </c>
      <c r="I3553" t="n">
        <v>5</v>
      </c>
      <c r="J3553" s="3" t="n">
        <v>660.45</v>
      </c>
      <c r="K3553" s="3" t="n">
        <v>132.09</v>
      </c>
      <c r="L3553" s="3" t="n">
        <v>528.36</v>
      </c>
      <c r="M3553" s="3" t="n">
        <v>458.6</v>
      </c>
      <c r="N3553" s="3" t="n">
        <v>69.76000000000001</v>
      </c>
      <c r="O3553">
        <f>TEXT(A3553,"yyyy-mm")</f>
        <v/>
      </c>
    </row>
    <row r="3554">
      <c r="A3554" s="2" t="n">
        <v>46080</v>
      </c>
      <c r="B3554" t="n">
        <v>2026</v>
      </c>
      <c r="C3554" t="inlineStr">
        <is>
          <t>February</t>
        </is>
      </c>
      <c r="D3554" t="inlineStr">
        <is>
          <t>Compact Pasta</t>
        </is>
      </c>
      <c r="E3554" t="inlineStr">
        <is>
          <t>Grocery</t>
        </is>
      </c>
      <c r="F3554" t="inlineStr">
        <is>
          <t>Julia Brown</t>
        </is>
      </c>
      <c r="G3554" t="inlineStr">
        <is>
          <t>United Kingdom</t>
        </is>
      </c>
      <c r="H3554" t="inlineStr">
        <is>
          <t>Mobile App</t>
        </is>
      </c>
      <c r="I3554" t="n">
        <v>4</v>
      </c>
      <c r="J3554" s="3" t="n">
        <v>1209.76</v>
      </c>
      <c r="K3554" s="3" t="n">
        <v>0</v>
      </c>
      <c r="L3554" s="3" t="n">
        <v>1209.76</v>
      </c>
      <c r="M3554" s="3" t="n">
        <v>797.6</v>
      </c>
      <c r="N3554" s="3" t="n">
        <v>412.16</v>
      </c>
      <c r="O3554">
        <f>TEXT(A3554,"yyyy-mm")</f>
        <v/>
      </c>
    </row>
    <row r="3555">
      <c r="A3555" s="2" t="n">
        <v>46080</v>
      </c>
      <c r="B3555" t="n">
        <v>2026</v>
      </c>
      <c r="C3555" t="inlineStr">
        <is>
          <t>February</t>
        </is>
      </c>
      <c r="D3555" t="inlineStr">
        <is>
          <t>Classic Atlas</t>
        </is>
      </c>
      <c r="E3555" t="inlineStr">
        <is>
          <t>Books</t>
        </is>
      </c>
      <c r="F3555" t="inlineStr">
        <is>
          <t>Julia Brown</t>
        </is>
      </c>
      <c r="G3555" t="inlineStr">
        <is>
          <t>United Kingdom</t>
        </is>
      </c>
      <c r="H3555" t="inlineStr">
        <is>
          <t>Mobile App</t>
        </is>
      </c>
      <c r="I3555" t="n">
        <v>5</v>
      </c>
      <c r="J3555" s="3" t="n">
        <v>316</v>
      </c>
      <c r="K3555" s="3" t="n">
        <v>15.8</v>
      </c>
      <c r="L3555" s="3" t="n">
        <v>300.2</v>
      </c>
      <c r="M3555" s="3" t="n">
        <v>172.95</v>
      </c>
      <c r="N3555" s="3" t="n">
        <v>127.25</v>
      </c>
      <c r="O3555">
        <f>TEXT(A3555,"yyyy-mm")</f>
        <v/>
      </c>
    </row>
    <row r="3556">
      <c r="A3556" s="2" t="n">
        <v>46080</v>
      </c>
      <c r="B3556" t="n">
        <v>2026</v>
      </c>
      <c r="C3556" t="inlineStr">
        <is>
          <t>February</t>
        </is>
      </c>
      <c r="D3556" t="inlineStr">
        <is>
          <t>Essential Pasta</t>
        </is>
      </c>
      <c r="E3556" t="inlineStr">
        <is>
          <t>Grocery</t>
        </is>
      </c>
      <c r="F3556" t="inlineStr">
        <is>
          <t>James Nowak</t>
        </is>
      </c>
      <c r="G3556" t="inlineStr">
        <is>
          <t>France</t>
        </is>
      </c>
      <c r="H3556" t="inlineStr">
        <is>
          <t>Retail Store</t>
        </is>
      </c>
      <c r="I3556" t="n">
        <v>5</v>
      </c>
      <c r="J3556" s="3" t="n">
        <v>290.65</v>
      </c>
      <c r="K3556" s="3" t="n">
        <v>0</v>
      </c>
      <c r="L3556" s="3" t="n">
        <v>290.65</v>
      </c>
      <c r="M3556" s="3" t="n">
        <v>179.05</v>
      </c>
      <c r="N3556" s="3" t="n">
        <v>111.6</v>
      </c>
      <c r="O3556">
        <f>TEXT(A3556,"yyyy-mm")</f>
        <v/>
      </c>
    </row>
    <row r="3557">
      <c r="A3557" s="2" t="n">
        <v>46081</v>
      </c>
      <c r="B3557" t="n">
        <v>2026</v>
      </c>
      <c r="C3557" t="inlineStr">
        <is>
          <t>February</t>
        </is>
      </c>
      <c r="D3557" t="inlineStr">
        <is>
          <t>Portable Toolset</t>
        </is>
      </c>
      <c r="E3557" t="inlineStr">
        <is>
          <t>Home &amp; Garden</t>
        </is>
      </c>
      <c r="F3557" t="inlineStr">
        <is>
          <t>Robert Kowalski</t>
        </is>
      </c>
      <c r="G3557" t="inlineStr">
        <is>
          <t>Germany</t>
        </is>
      </c>
      <c r="H3557" t="inlineStr">
        <is>
          <t>Mobile App</t>
        </is>
      </c>
      <c r="I3557" t="n">
        <v>3</v>
      </c>
      <c r="J3557" s="3" t="n">
        <v>444.6</v>
      </c>
      <c r="K3557" s="3" t="n">
        <v>22.23</v>
      </c>
      <c r="L3557" s="3" t="n">
        <v>422.37</v>
      </c>
      <c r="M3557" s="3" t="n">
        <v>278.55</v>
      </c>
      <c r="N3557" s="3" t="n">
        <v>143.82</v>
      </c>
      <c r="O3557">
        <f>TEXT(A3557,"yyyy-mm")</f>
        <v/>
      </c>
    </row>
    <row r="3558">
      <c r="A3558" s="2" t="n">
        <v>46083</v>
      </c>
      <c r="B3558" t="n">
        <v>2026</v>
      </c>
      <c r="C3558" t="inlineStr">
        <is>
          <t>March</t>
        </is>
      </c>
      <c r="D3558" t="inlineStr">
        <is>
          <t>Portable Speaker</t>
        </is>
      </c>
      <c r="E3558" t="inlineStr">
        <is>
          <t>Electronics</t>
        </is>
      </c>
      <c r="F3558" t="inlineStr">
        <is>
          <t>Anna Martin</t>
        </is>
      </c>
      <c r="G3558" t="inlineStr">
        <is>
          <t>France</t>
        </is>
      </c>
      <c r="H3558" t="inlineStr">
        <is>
          <t>Retail Store</t>
        </is>
      </c>
      <c r="I3558" t="n">
        <v>2</v>
      </c>
      <c r="J3558" s="3" t="n">
        <v>649.36</v>
      </c>
      <c r="K3558" s="3" t="n">
        <v>64.94</v>
      </c>
      <c r="L3558" s="3" t="n">
        <v>584.42</v>
      </c>
      <c r="M3558" s="3" t="n">
        <v>349.66</v>
      </c>
      <c r="N3558" s="3" t="n">
        <v>234.76</v>
      </c>
      <c r="O3558">
        <f>TEXT(A3558,"yyyy-mm")</f>
        <v/>
      </c>
    </row>
    <row r="3559">
      <c r="A3559" s="2" t="n">
        <v>46083</v>
      </c>
      <c r="B3559" t="n">
        <v>2026</v>
      </c>
      <c r="C3559" t="inlineStr">
        <is>
          <t>March</t>
        </is>
      </c>
      <c r="D3559" t="inlineStr">
        <is>
          <t>Deluxe Notebook</t>
        </is>
      </c>
      <c r="E3559" t="inlineStr">
        <is>
          <t>Books</t>
        </is>
      </c>
      <c r="F3559" t="inlineStr">
        <is>
          <t>Anna Martin</t>
        </is>
      </c>
      <c r="G3559" t="inlineStr">
        <is>
          <t>France</t>
        </is>
      </c>
      <c r="H3559" t="inlineStr">
        <is>
          <t>Retail Store</t>
        </is>
      </c>
      <c r="I3559" t="n">
        <v>4</v>
      </c>
      <c r="J3559" s="3" t="n">
        <v>844.28</v>
      </c>
      <c r="K3559" s="3" t="n">
        <v>0</v>
      </c>
      <c r="L3559" s="3" t="n">
        <v>844.28</v>
      </c>
      <c r="M3559" s="3" t="n">
        <v>603.04</v>
      </c>
      <c r="N3559" s="3" t="n">
        <v>241.24</v>
      </c>
      <c r="O3559">
        <f>TEXT(A3559,"yyyy-mm")</f>
        <v/>
      </c>
    </row>
    <row r="3560">
      <c r="A3560" s="2" t="n">
        <v>46083</v>
      </c>
      <c r="B3560" t="n">
        <v>2026</v>
      </c>
      <c r="C3560" t="inlineStr">
        <is>
          <t>March</t>
        </is>
      </c>
      <c r="D3560" t="inlineStr">
        <is>
          <t>Smart Puzzle</t>
        </is>
      </c>
      <c r="E3560" t="inlineStr">
        <is>
          <t>Toys &amp; Games</t>
        </is>
      </c>
      <c r="F3560" t="inlineStr">
        <is>
          <t>David Wojcik</t>
        </is>
      </c>
      <c r="G3560" t="inlineStr">
        <is>
          <t>Germany</t>
        </is>
      </c>
      <c r="H3560" t="inlineStr">
        <is>
          <t>Web Store</t>
        </is>
      </c>
      <c r="I3560" t="n">
        <v>1</v>
      </c>
      <c r="J3560" s="3" t="n">
        <v>44.65</v>
      </c>
      <c r="K3560" s="3" t="n">
        <v>0</v>
      </c>
      <c r="L3560" s="3" t="n">
        <v>44.65</v>
      </c>
      <c r="M3560" s="3" t="n">
        <v>24.44</v>
      </c>
      <c r="N3560" s="3" t="n">
        <v>20.21</v>
      </c>
      <c r="O3560">
        <f>TEXT(A3560,"yyyy-mm")</f>
        <v/>
      </c>
    </row>
    <row r="3561">
      <c r="A3561" s="2" t="n">
        <v>46083</v>
      </c>
      <c r="B3561" t="n">
        <v>2026</v>
      </c>
      <c r="C3561" t="inlineStr">
        <is>
          <t>March</t>
        </is>
      </c>
      <c r="D3561" t="inlineStr">
        <is>
          <t>Classic Tea Set</t>
        </is>
      </c>
      <c r="E3561" t="inlineStr">
        <is>
          <t>Grocery</t>
        </is>
      </c>
      <c r="F3561" t="inlineStr">
        <is>
          <t>Clara Martin</t>
        </is>
      </c>
      <c r="G3561" t="inlineStr">
        <is>
          <t>United States</t>
        </is>
      </c>
      <c r="H3561" t="inlineStr">
        <is>
          <t>Web Store</t>
        </is>
      </c>
      <c r="I3561" t="n">
        <v>2</v>
      </c>
      <c r="J3561" s="3" t="n">
        <v>354.94</v>
      </c>
      <c r="K3561" s="3" t="n">
        <v>17.75</v>
      </c>
      <c r="L3561" s="3" t="n">
        <v>337.19</v>
      </c>
      <c r="M3561" s="3" t="n">
        <v>250.8</v>
      </c>
      <c r="N3561" s="3" t="n">
        <v>86.39</v>
      </c>
      <c r="O3561">
        <f>TEXT(A3561,"yyyy-mm")</f>
        <v/>
      </c>
    </row>
    <row r="3562">
      <c r="A3562" s="2" t="n">
        <v>46083</v>
      </c>
      <c r="B3562" t="n">
        <v>2026</v>
      </c>
      <c r="C3562" t="inlineStr">
        <is>
          <t>March</t>
        </is>
      </c>
      <c r="D3562" t="inlineStr">
        <is>
          <t>Smart Face Cream</t>
        </is>
      </c>
      <c r="E3562" t="inlineStr">
        <is>
          <t>Beauty &amp; Health</t>
        </is>
      </c>
      <c r="F3562" t="inlineStr">
        <is>
          <t>Clara Martin</t>
        </is>
      </c>
      <c r="G3562" t="inlineStr">
        <is>
          <t>United States</t>
        </is>
      </c>
      <c r="H3562" t="inlineStr">
        <is>
          <t>Web Store</t>
        </is>
      </c>
      <c r="I3562" t="n">
        <v>1</v>
      </c>
      <c r="J3562" s="3" t="n">
        <v>262.75</v>
      </c>
      <c r="K3562" s="3" t="n">
        <v>0</v>
      </c>
      <c r="L3562" s="3" t="n">
        <v>262.75</v>
      </c>
      <c r="M3562" s="3" t="n">
        <v>193.14</v>
      </c>
      <c r="N3562" s="3" t="n">
        <v>69.61</v>
      </c>
      <c r="O3562">
        <f>TEXT(A3562,"yyyy-mm")</f>
        <v/>
      </c>
    </row>
    <row r="3563">
      <c r="A3563" s="2" t="n">
        <v>46083</v>
      </c>
      <c r="B3563" t="n">
        <v>2026</v>
      </c>
      <c r="C3563" t="inlineStr">
        <is>
          <t>March</t>
        </is>
      </c>
      <c r="D3563" t="inlineStr">
        <is>
          <t>Eco Tent</t>
        </is>
      </c>
      <c r="E3563" t="inlineStr">
        <is>
          <t>Sports &amp; Outdoors</t>
        </is>
      </c>
      <c r="F3563" t="inlineStr">
        <is>
          <t>Clara Martin</t>
        </is>
      </c>
      <c r="G3563" t="inlineStr">
        <is>
          <t>United States</t>
        </is>
      </c>
      <c r="H3563" t="inlineStr">
        <is>
          <t>Web Store</t>
        </is>
      </c>
      <c r="I3563" t="n">
        <v>1</v>
      </c>
      <c r="J3563" s="3" t="n">
        <v>64.19</v>
      </c>
      <c r="K3563" s="3" t="n">
        <v>3.21</v>
      </c>
      <c r="L3563" s="3" t="n">
        <v>60.98</v>
      </c>
      <c r="M3563" s="3" t="n">
        <v>43.85</v>
      </c>
      <c r="N3563" s="3" t="n">
        <v>17.13</v>
      </c>
      <c r="O3563">
        <f>TEXT(A3563,"yyyy-mm")</f>
        <v/>
      </c>
    </row>
    <row r="3564">
      <c r="A3564" s="2" t="n">
        <v>46083</v>
      </c>
      <c r="B3564" t="n">
        <v>2026</v>
      </c>
      <c r="C3564" t="inlineStr">
        <is>
          <t>March</t>
        </is>
      </c>
      <c r="D3564" t="inlineStr">
        <is>
          <t>Premium Water Bottle</t>
        </is>
      </c>
      <c r="E3564" t="inlineStr">
        <is>
          <t>Sports &amp; Outdoors</t>
        </is>
      </c>
      <c r="F3564" t="inlineStr">
        <is>
          <t>David Wojcik</t>
        </is>
      </c>
      <c r="G3564" t="inlineStr">
        <is>
          <t>Germany</t>
        </is>
      </c>
      <c r="H3564" t="inlineStr">
        <is>
          <t>Marketplace</t>
        </is>
      </c>
      <c r="I3564" t="n">
        <v>2</v>
      </c>
      <c r="J3564" s="3" t="n">
        <v>609.14</v>
      </c>
      <c r="K3564" s="3" t="n">
        <v>0</v>
      </c>
      <c r="L3564" s="3" t="n">
        <v>609.14</v>
      </c>
      <c r="M3564" s="3" t="n">
        <v>362.32</v>
      </c>
      <c r="N3564" s="3" t="n">
        <v>246.82</v>
      </c>
      <c r="O3564">
        <f>TEXT(A3564,"yyyy-mm")</f>
        <v/>
      </c>
    </row>
    <row r="3565">
      <c r="A3565" s="2" t="n">
        <v>46083</v>
      </c>
      <c r="B3565" t="n">
        <v>2026</v>
      </c>
      <c r="C3565" t="inlineStr">
        <is>
          <t>March</t>
        </is>
      </c>
      <c r="D3565" t="inlineStr">
        <is>
          <t>Eco Drone</t>
        </is>
      </c>
      <c r="E3565" t="inlineStr">
        <is>
          <t>Toys &amp; Games</t>
        </is>
      </c>
      <c r="F3565" t="inlineStr">
        <is>
          <t>Robert Garcia</t>
        </is>
      </c>
      <c r="G3565" t="inlineStr">
        <is>
          <t>United Kingdom</t>
        </is>
      </c>
      <c r="H3565" t="inlineStr">
        <is>
          <t>Mobile App</t>
        </is>
      </c>
      <c r="I3565" t="n">
        <v>2</v>
      </c>
      <c r="J3565" s="3" t="n">
        <v>411.84</v>
      </c>
      <c r="K3565" s="3" t="n">
        <v>0</v>
      </c>
      <c r="L3565" s="3" t="n">
        <v>411.84</v>
      </c>
      <c r="M3565" s="3" t="n">
        <v>259.18</v>
      </c>
      <c r="N3565" s="3" t="n">
        <v>152.66</v>
      </c>
      <c r="O3565">
        <f>TEXT(A3565,"yyyy-mm")</f>
        <v/>
      </c>
    </row>
    <row r="3566">
      <c r="A3566" s="2" t="n">
        <v>46083</v>
      </c>
      <c r="B3566" t="n">
        <v>2026</v>
      </c>
      <c r="C3566" t="inlineStr">
        <is>
          <t>March</t>
        </is>
      </c>
      <c r="D3566" t="inlineStr">
        <is>
          <t>Smart Board Game</t>
        </is>
      </c>
      <c r="E3566" t="inlineStr">
        <is>
          <t>Toys &amp; Games</t>
        </is>
      </c>
      <c r="F3566" t="inlineStr">
        <is>
          <t>Robert Garcia</t>
        </is>
      </c>
      <c r="G3566" t="inlineStr">
        <is>
          <t>United Kingdom</t>
        </is>
      </c>
      <c r="H3566" t="inlineStr">
        <is>
          <t>Mobile App</t>
        </is>
      </c>
      <c r="I3566" t="n">
        <v>2</v>
      </c>
      <c r="J3566" s="3" t="n">
        <v>262</v>
      </c>
      <c r="K3566" s="3" t="n">
        <v>13.1</v>
      </c>
      <c r="L3566" s="3" t="n">
        <v>248.9</v>
      </c>
      <c r="M3566" s="3" t="n">
        <v>183.44</v>
      </c>
      <c r="N3566" s="3" t="n">
        <v>65.45999999999999</v>
      </c>
      <c r="O3566">
        <f>TEXT(A3566,"yyyy-mm")</f>
        <v/>
      </c>
    </row>
    <row r="3567">
      <c r="A3567" s="2" t="n">
        <v>46083</v>
      </c>
      <c r="B3567" t="n">
        <v>2026</v>
      </c>
      <c r="C3567" t="inlineStr">
        <is>
          <t>March</t>
        </is>
      </c>
      <c r="D3567" t="inlineStr">
        <is>
          <t>Premium Tent</t>
        </is>
      </c>
      <c r="E3567" t="inlineStr">
        <is>
          <t>Sports &amp; Outdoors</t>
        </is>
      </c>
      <c r="F3567" t="inlineStr">
        <is>
          <t>Clara Martin</t>
        </is>
      </c>
      <c r="G3567" t="inlineStr">
        <is>
          <t>United States</t>
        </is>
      </c>
      <c r="H3567" t="inlineStr">
        <is>
          <t>Web Store</t>
        </is>
      </c>
      <c r="I3567" t="n">
        <v>3</v>
      </c>
      <c r="J3567" s="3" t="n">
        <v>448.05</v>
      </c>
      <c r="K3567" s="3" t="n">
        <v>22.4</v>
      </c>
      <c r="L3567" s="3" t="n">
        <v>425.65</v>
      </c>
      <c r="M3567" s="3" t="n">
        <v>289.2</v>
      </c>
      <c r="N3567" s="3" t="n">
        <v>136.45</v>
      </c>
      <c r="O3567">
        <f>TEXT(A3567,"yyyy-mm")</f>
        <v/>
      </c>
    </row>
    <row r="3568">
      <c r="A3568" s="2" t="n">
        <v>46083</v>
      </c>
      <c r="B3568" t="n">
        <v>2026</v>
      </c>
      <c r="C3568" t="inlineStr">
        <is>
          <t>March</t>
        </is>
      </c>
      <c r="D3568" t="inlineStr">
        <is>
          <t>Essential Cushion</t>
        </is>
      </c>
      <c r="E3568" t="inlineStr">
        <is>
          <t>Home &amp; Garden</t>
        </is>
      </c>
      <c r="F3568" t="inlineStr">
        <is>
          <t>Robert Garcia</t>
        </is>
      </c>
      <c r="G3568" t="inlineStr">
        <is>
          <t>United Kingdom</t>
        </is>
      </c>
      <c r="H3568" t="inlineStr">
        <is>
          <t>Mobile App</t>
        </is>
      </c>
      <c r="I3568" t="n">
        <v>3</v>
      </c>
      <c r="J3568" s="3" t="n">
        <v>141.39</v>
      </c>
      <c r="K3568" s="3" t="n">
        <v>14.14</v>
      </c>
      <c r="L3568" s="3" t="n">
        <v>127.25</v>
      </c>
      <c r="M3568" s="3" t="n">
        <v>91.65000000000001</v>
      </c>
      <c r="N3568" s="3" t="n">
        <v>35.6</v>
      </c>
      <c r="O3568">
        <f>TEXT(A3568,"yyyy-mm")</f>
        <v/>
      </c>
    </row>
    <row r="3569">
      <c r="A3569" s="2" t="n">
        <v>46083</v>
      </c>
      <c r="B3569" t="n">
        <v>2026</v>
      </c>
      <c r="C3569" t="inlineStr">
        <is>
          <t>March</t>
        </is>
      </c>
      <c r="D3569" t="inlineStr">
        <is>
          <t>Eco Drone</t>
        </is>
      </c>
      <c r="E3569" t="inlineStr">
        <is>
          <t>Toys &amp; Games</t>
        </is>
      </c>
      <c r="F3569" t="inlineStr">
        <is>
          <t>David Wojcik</t>
        </is>
      </c>
      <c r="G3569" t="inlineStr">
        <is>
          <t>Germany</t>
        </is>
      </c>
      <c r="H3569" t="inlineStr">
        <is>
          <t>Marketplace</t>
        </is>
      </c>
      <c r="I3569" t="n">
        <v>1</v>
      </c>
      <c r="J3569" s="3" t="n">
        <v>194.91</v>
      </c>
      <c r="K3569" s="3" t="n">
        <v>19.49</v>
      </c>
      <c r="L3569" s="3" t="n">
        <v>175.42</v>
      </c>
      <c r="M3569" s="3" t="n">
        <v>129.59</v>
      </c>
      <c r="N3569" s="3" t="n">
        <v>45.83</v>
      </c>
      <c r="O3569">
        <f>TEXT(A3569,"yyyy-mm")</f>
        <v/>
      </c>
    </row>
    <row r="3570">
      <c r="A3570" s="2" t="n">
        <v>46084</v>
      </c>
      <c r="B3570" t="n">
        <v>2026</v>
      </c>
      <c r="C3570" t="inlineStr">
        <is>
          <t>March</t>
        </is>
      </c>
      <c r="D3570" t="inlineStr">
        <is>
          <t>Eco Biography</t>
        </is>
      </c>
      <c r="E3570" t="inlineStr">
        <is>
          <t>Books</t>
        </is>
      </c>
      <c r="F3570" t="inlineStr">
        <is>
          <t>Paul Wojcik</t>
        </is>
      </c>
      <c r="G3570" t="inlineStr">
        <is>
          <t>United States</t>
        </is>
      </c>
      <c r="H3570" t="inlineStr">
        <is>
          <t>Web Store</t>
        </is>
      </c>
      <c r="I3570" t="n">
        <v>5</v>
      </c>
      <c r="J3570" s="3" t="n">
        <v>635.3</v>
      </c>
      <c r="K3570" s="3" t="n">
        <v>31.76</v>
      </c>
      <c r="L3570" s="3" t="n">
        <v>603.54</v>
      </c>
      <c r="M3570" s="3" t="n">
        <v>355.1</v>
      </c>
      <c r="N3570" s="3" t="n">
        <v>248.44</v>
      </c>
      <c r="O3570">
        <f>TEXT(A3570,"yyyy-mm")</f>
        <v/>
      </c>
    </row>
    <row r="3571">
      <c r="A3571" s="2" t="n">
        <v>46084</v>
      </c>
      <c r="B3571" t="n">
        <v>2026</v>
      </c>
      <c r="C3571" t="inlineStr">
        <is>
          <t>March</t>
        </is>
      </c>
      <c r="D3571" t="inlineStr">
        <is>
          <t>Premium Water Bottle</t>
        </is>
      </c>
      <c r="E3571" t="inlineStr">
        <is>
          <t>Sports &amp; Outdoors</t>
        </is>
      </c>
      <c r="F3571" t="inlineStr">
        <is>
          <t>Paul Wojcik</t>
        </is>
      </c>
      <c r="G3571" t="inlineStr">
        <is>
          <t>United States</t>
        </is>
      </c>
      <c r="H3571" t="inlineStr">
        <is>
          <t>Web Store</t>
        </is>
      </c>
      <c r="I3571" t="n">
        <v>2</v>
      </c>
      <c r="J3571" s="3" t="n">
        <v>631.96</v>
      </c>
      <c r="K3571" s="3" t="n">
        <v>63.2</v>
      </c>
      <c r="L3571" s="3" t="n">
        <v>568.76</v>
      </c>
      <c r="M3571" s="3" t="n">
        <v>362.32</v>
      </c>
      <c r="N3571" s="3" t="n">
        <v>206.44</v>
      </c>
      <c r="O3571">
        <f>TEXT(A3571,"yyyy-mm")</f>
        <v/>
      </c>
    </row>
    <row r="3572">
      <c r="A3572" s="2" t="n">
        <v>46084</v>
      </c>
      <c r="B3572" t="n">
        <v>2026</v>
      </c>
      <c r="C3572" t="inlineStr">
        <is>
          <t>March</t>
        </is>
      </c>
      <c r="D3572" t="inlineStr">
        <is>
          <t>Smart Charger</t>
        </is>
      </c>
      <c r="E3572" t="inlineStr">
        <is>
          <t>Electronics</t>
        </is>
      </c>
      <c r="F3572" t="inlineStr">
        <is>
          <t>Paul Wojcik</t>
        </is>
      </c>
      <c r="G3572" t="inlineStr">
        <is>
          <t>United States</t>
        </is>
      </c>
      <c r="H3572" t="inlineStr">
        <is>
          <t>Web Store</t>
        </is>
      </c>
      <c r="I3572" t="n">
        <v>4</v>
      </c>
      <c r="J3572" s="3" t="n">
        <v>969.24</v>
      </c>
      <c r="K3572" s="3" t="n">
        <v>0</v>
      </c>
      <c r="L3572" s="3" t="n">
        <v>969.24</v>
      </c>
      <c r="M3572" s="3" t="n">
        <v>570.08</v>
      </c>
      <c r="N3572" s="3" t="n">
        <v>399.16</v>
      </c>
      <c r="O3572">
        <f>TEXT(A3572,"yyyy-mm")</f>
        <v/>
      </c>
    </row>
    <row r="3573">
      <c r="A3573" s="2" t="n">
        <v>46084</v>
      </c>
      <c r="B3573" t="n">
        <v>2026</v>
      </c>
      <c r="C3573" t="inlineStr">
        <is>
          <t>March</t>
        </is>
      </c>
      <c r="D3573" t="inlineStr">
        <is>
          <t>Essential Charger</t>
        </is>
      </c>
      <c r="E3573" t="inlineStr">
        <is>
          <t>Electronics</t>
        </is>
      </c>
      <c r="F3573" t="inlineStr">
        <is>
          <t>James Nowak</t>
        </is>
      </c>
      <c r="G3573" t="inlineStr">
        <is>
          <t>United States</t>
        </is>
      </c>
      <c r="H3573" t="inlineStr">
        <is>
          <t>Marketplace</t>
        </is>
      </c>
      <c r="I3573" t="n">
        <v>2</v>
      </c>
      <c r="J3573" s="3" t="n">
        <v>84.78</v>
      </c>
      <c r="K3573" s="3" t="n">
        <v>0</v>
      </c>
      <c r="L3573" s="3" t="n">
        <v>84.78</v>
      </c>
      <c r="M3573" s="3" t="n">
        <v>58.2</v>
      </c>
      <c r="N3573" s="3" t="n">
        <v>26.58</v>
      </c>
      <c r="O3573">
        <f>TEXT(A3573,"yyyy-mm")</f>
        <v/>
      </c>
    </row>
    <row r="3574">
      <c r="A3574" s="2" t="n">
        <v>46084</v>
      </c>
      <c r="B3574" t="n">
        <v>2026</v>
      </c>
      <c r="C3574" t="inlineStr">
        <is>
          <t>March</t>
        </is>
      </c>
      <c r="D3574" t="inlineStr">
        <is>
          <t>Classic Yoga Mat</t>
        </is>
      </c>
      <c r="E3574" t="inlineStr">
        <is>
          <t>Sports &amp; Outdoors</t>
        </is>
      </c>
      <c r="F3574" t="inlineStr">
        <is>
          <t>James Nowak</t>
        </is>
      </c>
      <c r="G3574" t="inlineStr">
        <is>
          <t>United States</t>
        </is>
      </c>
      <c r="H3574" t="inlineStr">
        <is>
          <t>Marketplace</t>
        </is>
      </c>
      <c r="I3574" t="n">
        <v>3</v>
      </c>
      <c r="J3574" s="3" t="n">
        <v>1004.7</v>
      </c>
      <c r="K3574" s="3" t="n">
        <v>200.94</v>
      </c>
      <c r="L3574" s="3" t="n">
        <v>803.76</v>
      </c>
      <c r="M3574" s="3" t="n">
        <v>587.1</v>
      </c>
      <c r="N3574" s="3" t="n">
        <v>216.66</v>
      </c>
      <c r="O3574">
        <f>TEXT(A3574,"yyyy-mm")</f>
        <v/>
      </c>
    </row>
    <row r="3575">
      <c r="A3575" s="2" t="n">
        <v>46084</v>
      </c>
      <c r="B3575" t="n">
        <v>2026</v>
      </c>
      <c r="C3575" t="inlineStr">
        <is>
          <t>March</t>
        </is>
      </c>
      <c r="D3575" t="inlineStr">
        <is>
          <t>Eco Tent</t>
        </is>
      </c>
      <c r="E3575" t="inlineStr">
        <is>
          <t>Sports &amp; Outdoors</t>
        </is>
      </c>
      <c r="F3575" t="inlineStr">
        <is>
          <t>James Nowak</t>
        </is>
      </c>
      <c r="G3575" t="inlineStr">
        <is>
          <t>United States</t>
        </is>
      </c>
      <c r="H3575" t="inlineStr">
        <is>
          <t>Marketplace</t>
        </is>
      </c>
      <c r="I3575" t="n">
        <v>5</v>
      </c>
      <c r="J3575" s="3" t="n">
        <v>337.45</v>
      </c>
      <c r="K3575" s="3" t="n">
        <v>50.62</v>
      </c>
      <c r="L3575" s="3" t="n">
        <v>286.83</v>
      </c>
      <c r="M3575" s="3" t="n">
        <v>219.25</v>
      </c>
      <c r="N3575" s="3" t="n">
        <v>67.58</v>
      </c>
      <c r="O3575">
        <f>TEXT(A3575,"yyyy-mm")</f>
        <v/>
      </c>
    </row>
    <row r="3576">
      <c r="A3576" s="2" t="n">
        <v>46085</v>
      </c>
      <c r="B3576" t="n">
        <v>2026</v>
      </c>
      <c r="C3576" t="inlineStr">
        <is>
          <t>March</t>
        </is>
      </c>
      <c r="D3576" t="inlineStr">
        <is>
          <t>Smart Camera</t>
        </is>
      </c>
      <c r="E3576" t="inlineStr">
        <is>
          <t>Electronics</t>
        </is>
      </c>
      <c r="F3576" t="inlineStr">
        <is>
          <t>Daniel Garcia</t>
        </is>
      </c>
      <c r="G3576" t="inlineStr">
        <is>
          <t>Spain</t>
        </is>
      </c>
      <c r="H3576" t="inlineStr">
        <is>
          <t>Marketplace</t>
        </is>
      </c>
      <c r="I3576" t="n">
        <v>5</v>
      </c>
      <c r="J3576" s="3" t="n">
        <v>593.55</v>
      </c>
      <c r="K3576" s="3" t="n">
        <v>89.03</v>
      </c>
      <c r="L3576" s="3" t="n">
        <v>504.52</v>
      </c>
      <c r="M3576" s="3" t="n">
        <v>427.9</v>
      </c>
      <c r="N3576" s="3" t="n">
        <v>76.62</v>
      </c>
      <c r="O3576">
        <f>TEXT(A3576,"yyyy-mm")</f>
        <v/>
      </c>
    </row>
    <row r="3577">
      <c r="A3577" s="2" t="n">
        <v>46086</v>
      </c>
      <c r="B3577" t="n">
        <v>2026</v>
      </c>
      <c r="C3577" t="inlineStr">
        <is>
          <t>March</t>
        </is>
      </c>
      <c r="D3577" t="inlineStr">
        <is>
          <t>Portable Speaker</t>
        </is>
      </c>
      <c r="E3577" t="inlineStr">
        <is>
          <t>Electronics</t>
        </is>
      </c>
      <c r="F3577" t="inlineStr">
        <is>
          <t>Mark Wojcik</t>
        </is>
      </c>
      <c r="G3577" t="inlineStr">
        <is>
          <t>United States</t>
        </is>
      </c>
      <c r="H3577" t="inlineStr">
        <is>
          <t>Retail Store</t>
        </is>
      </c>
      <c r="I3577" t="n">
        <v>5</v>
      </c>
      <c r="J3577" s="3" t="n">
        <v>1718.85</v>
      </c>
      <c r="K3577" s="3" t="n">
        <v>171.88</v>
      </c>
      <c r="L3577" s="3" t="n">
        <v>1546.96</v>
      </c>
      <c r="M3577" s="3" t="n">
        <v>874.15</v>
      </c>
      <c r="N3577" s="3" t="n">
        <v>672.8099999999999</v>
      </c>
      <c r="O3577">
        <f>TEXT(A3577,"yyyy-mm")</f>
        <v/>
      </c>
    </row>
    <row r="3578">
      <c r="A3578" s="2" t="n">
        <v>46086</v>
      </c>
      <c r="B3578" t="n">
        <v>2026</v>
      </c>
      <c r="C3578" t="inlineStr">
        <is>
          <t>March</t>
        </is>
      </c>
      <c r="D3578" t="inlineStr">
        <is>
          <t>Wireless Drone</t>
        </is>
      </c>
      <c r="E3578" t="inlineStr">
        <is>
          <t>Toys &amp; Games</t>
        </is>
      </c>
      <c r="F3578" t="inlineStr">
        <is>
          <t>Robert Fischer</t>
        </is>
      </c>
      <c r="G3578" t="inlineStr">
        <is>
          <t>Poland</t>
        </is>
      </c>
      <c r="H3578" t="inlineStr">
        <is>
          <t>Marketplace</t>
        </is>
      </c>
      <c r="I3578" t="n">
        <v>4</v>
      </c>
      <c r="J3578" s="3" t="n">
        <v>916.76</v>
      </c>
      <c r="K3578" s="3" t="n">
        <v>0</v>
      </c>
      <c r="L3578" s="3" t="n">
        <v>916.76</v>
      </c>
      <c r="M3578" s="3" t="n">
        <v>525.16</v>
      </c>
      <c r="N3578" s="3" t="n">
        <v>391.6</v>
      </c>
      <c r="O3578">
        <f>TEXT(A3578,"yyyy-mm")</f>
        <v/>
      </c>
    </row>
    <row r="3579">
      <c r="A3579" s="2" t="n">
        <v>46086</v>
      </c>
      <c r="B3579" t="n">
        <v>2026</v>
      </c>
      <c r="C3579" t="inlineStr">
        <is>
          <t>March</t>
        </is>
      </c>
      <c r="D3579" t="inlineStr">
        <is>
          <t>Smart Charger</t>
        </is>
      </c>
      <c r="E3579" t="inlineStr">
        <is>
          <t>Electronics</t>
        </is>
      </c>
      <c r="F3579" t="inlineStr">
        <is>
          <t>Robert Fischer</t>
        </is>
      </c>
      <c r="G3579" t="inlineStr">
        <is>
          <t>Poland</t>
        </is>
      </c>
      <c r="H3579" t="inlineStr">
        <is>
          <t>Marketplace</t>
        </is>
      </c>
      <c r="I3579" t="n">
        <v>2</v>
      </c>
      <c r="J3579" s="3" t="n">
        <v>486.12</v>
      </c>
      <c r="K3579" s="3" t="n">
        <v>0</v>
      </c>
      <c r="L3579" s="3" t="n">
        <v>486.12</v>
      </c>
      <c r="M3579" s="3" t="n">
        <v>285.04</v>
      </c>
      <c r="N3579" s="3" t="n">
        <v>201.08</v>
      </c>
      <c r="O3579">
        <f>TEXT(A3579,"yyyy-mm")</f>
        <v/>
      </c>
    </row>
    <row r="3580">
      <c r="A3580" s="2" t="n">
        <v>46086</v>
      </c>
      <c r="B3580" t="n">
        <v>2026</v>
      </c>
      <c r="C3580" t="inlineStr">
        <is>
          <t>March</t>
        </is>
      </c>
      <c r="D3580" t="inlineStr">
        <is>
          <t>Smart Olive Oil</t>
        </is>
      </c>
      <c r="E3580" t="inlineStr">
        <is>
          <t>Grocery</t>
        </is>
      </c>
      <c r="F3580" t="inlineStr">
        <is>
          <t>Mark Brown</t>
        </is>
      </c>
      <c r="G3580" t="inlineStr">
        <is>
          <t>Spain</t>
        </is>
      </c>
      <c r="H3580" t="inlineStr">
        <is>
          <t>Marketplace</t>
        </is>
      </c>
      <c r="I3580" t="n">
        <v>5</v>
      </c>
      <c r="J3580" s="3" t="n">
        <v>807.8</v>
      </c>
      <c r="K3580" s="3" t="n">
        <v>0</v>
      </c>
      <c r="L3580" s="3" t="n">
        <v>807.8</v>
      </c>
      <c r="M3580" s="3" t="n">
        <v>550.1</v>
      </c>
      <c r="N3580" s="3" t="n">
        <v>257.7</v>
      </c>
      <c r="O3580">
        <f>TEXT(A3580,"yyyy-mm")</f>
        <v/>
      </c>
    </row>
    <row r="3581">
      <c r="A3581" s="2" t="n">
        <v>46086</v>
      </c>
      <c r="B3581" t="n">
        <v>2026</v>
      </c>
      <c r="C3581" t="inlineStr">
        <is>
          <t>March</t>
        </is>
      </c>
      <c r="D3581" t="inlineStr">
        <is>
          <t>Premium Rug</t>
        </is>
      </c>
      <c r="E3581" t="inlineStr">
        <is>
          <t>Home &amp; Garden</t>
        </is>
      </c>
      <c r="F3581" t="inlineStr">
        <is>
          <t>Mark Brown</t>
        </is>
      </c>
      <c r="G3581" t="inlineStr">
        <is>
          <t>Spain</t>
        </is>
      </c>
      <c r="H3581" t="inlineStr">
        <is>
          <t>Marketplace</t>
        </is>
      </c>
      <c r="I3581" t="n">
        <v>1</v>
      </c>
      <c r="J3581" s="3" t="n">
        <v>196.13</v>
      </c>
      <c r="K3581" s="3" t="n">
        <v>0</v>
      </c>
      <c r="L3581" s="3" t="n">
        <v>196.13</v>
      </c>
      <c r="M3581" s="3" t="n">
        <v>111.19</v>
      </c>
      <c r="N3581" s="3" t="n">
        <v>84.94</v>
      </c>
      <c r="O3581">
        <f>TEXT(A3581,"yyyy-mm")</f>
        <v/>
      </c>
    </row>
    <row r="3582">
      <c r="A3582" s="2" t="n">
        <v>46086</v>
      </c>
      <c r="B3582" t="n">
        <v>2026</v>
      </c>
      <c r="C3582" t="inlineStr">
        <is>
          <t>March</t>
        </is>
      </c>
      <c r="D3582" t="inlineStr">
        <is>
          <t>Smart Puzzle</t>
        </is>
      </c>
      <c r="E3582" t="inlineStr">
        <is>
          <t>Toys &amp; Games</t>
        </is>
      </c>
      <c r="F3582" t="inlineStr">
        <is>
          <t>Mark Brown</t>
        </is>
      </c>
      <c r="G3582" t="inlineStr">
        <is>
          <t>Spain</t>
        </is>
      </c>
      <c r="H3582" t="inlineStr">
        <is>
          <t>Marketplace</t>
        </is>
      </c>
      <c r="I3582" t="n">
        <v>4</v>
      </c>
      <c r="J3582" s="3" t="n">
        <v>1085.72</v>
      </c>
      <c r="K3582" s="3" t="n">
        <v>0</v>
      </c>
      <c r="L3582" s="3" t="n">
        <v>1085.72</v>
      </c>
      <c r="M3582" s="3" t="n">
        <v>771.04</v>
      </c>
      <c r="N3582" s="3" t="n">
        <v>314.68</v>
      </c>
      <c r="O3582">
        <f>TEXT(A3582,"yyyy-mm")</f>
        <v/>
      </c>
    </row>
    <row r="3583">
      <c r="A3583" s="2" t="n">
        <v>46087</v>
      </c>
      <c r="B3583" t="n">
        <v>2026</v>
      </c>
      <c r="C3583" t="inlineStr">
        <is>
          <t>March</t>
        </is>
      </c>
      <c r="D3583" t="inlineStr">
        <is>
          <t>Premium Tent</t>
        </is>
      </c>
      <c r="E3583" t="inlineStr">
        <is>
          <t>Sports &amp; Outdoors</t>
        </is>
      </c>
      <c r="F3583" t="inlineStr">
        <is>
          <t>Robert Kowalski</t>
        </is>
      </c>
      <c r="G3583" t="inlineStr">
        <is>
          <t>Germany</t>
        </is>
      </c>
      <c r="H3583" t="inlineStr">
        <is>
          <t>Marketplace</t>
        </is>
      </c>
      <c r="I3583" t="n">
        <v>2</v>
      </c>
      <c r="J3583" s="3" t="n">
        <v>297.84</v>
      </c>
      <c r="K3583" s="3" t="n">
        <v>59.57</v>
      </c>
      <c r="L3583" s="3" t="n">
        <v>238.27</v>
      </c>
      <c r="M3583" s="3" t="n">
        <v>192.8</v>
      </c>
      <c r="N3583" s="3" t="n">
        <v>45.47</v>
      </c>
      <c r="O3583">
        <f>TEXT(A3583,"yyyy-mm")</f>
        <v/>
      </c>
    </row>
    <row r="3584">
      <c r="A3584" s="2" t="n">
        <v>46087</v>
      </c>
      <c r="B3584" t="n">
        <v>2026</v>
      </c>
      <c r="C3584" t="inlineStr">
        <is>
          <t>March</t>
        </is>
      </c>
      <c r="D3584" t="inlineStr">
        <is>
          <t>Compact Biography</t>
        </is>
      </c>
      <c r="E3584" t="inlineStr">
        <is>
          <t>Books</t>
        </is>
      </c>
      <c r="F3584" t="inlineStr">
        <is>
          <t>Mark Smith</t>
        </is>
      </c>
      <c r="G3584" t="inlineStr">
        <is>
          <t>United States</t>
        </is>
      </c>
      <c r="H3584" t="inlineStr">
        <is>
          <t>Mobile App</t>
        </is>
      </c>
      <c r="I3584" t="n">
        <v>5</v>
      </c>
      <c r="J3584" s="3" t="n">
        <v>1324.4</v>
      </c>
      <c r="K3584" s="3" t="n">
        <v>132.44</v>
      </c>
      <c r="L3584" s="3" t="n">
        <v>1191.96</v>
      </c>
      <c r="M3584" s="3" t="n">
        <v>701.65</v>
      </c>
      <c r="N3584" s="3" t="n">
        <v>490.31</v>
      </c>
      <c r="O3584">
        <f>TEXT(A3584,"yyyy-mm")</f>
        <v/>
      </c>
    </row>
    <row r="3585">
      <c r="A3585" s="2" t="n">
        <v>46087</v>
      </c>
      <c r="B3585" t="n">
        <v>2026</v>
      </c>
      <c r="C3585" t="inlineStr">
        <is>
          <t>March</t>
        </is>
      </c>
      <c r="D3585" t="inlineStr">
        <is>
          <t>Portable Toolset</t>
        </is>
      </c>
      <c r="E3585" t="inlineStr">
        <is>
          <t>Home &amp; Garden</t>
        </is>
      </c>
      <c r="F3585" t="inlineStr">
        <is>
          <t>Paul Fischer</t>
        </is>
      </c>
      <c r="G3585" t="inlineStr">
        <is>
          <t>Poland</t>
        </is>
      </c>
      <c r="H3585" t="inlineStr">
        <is>
          <t>Retail Store</t>
        </is>
      </c>
      <c r="I3585" t="n">
        <v>5</v>
      </c>
      <c r="J3585" s="3" t="n">
        <v>441</v>
      </c>
      <c r="K3585" s="3" t="n">
        <v>0</v>
      </c>
      <c r="L3585" s="3" t="n">
        <v>441</v>
      </c>
      <c r="M3585" s="3" t="n">
        <v>252.7</v>
      </c>
      <c r="N3585" s="3" t="n">
        <v>188.3</v>
      </c>
      <c r="O3585">
        <f>TEXT(A3585,"yyyy-mm")</f>
        <v/>
      </c>
    </row>
    <row r="3586">
      <c r="A3586" s="2" t="n">
        <v>46087</v>
      </c>
      <c r="B3586" t="n">
        <v>2026</v>
      </c>
      <c r="C3586" t="inlineStr">
        <is>
          <t>March</t>
        </is>
      </c>
      <c r="D3586" t="inlineStr">
        <is>
          <t>Premium Water Bottle</t>
        </is>
      </c>
      <c r="E3586" t="inlineStr">
        <is>
          <t>Sports &amp; Outdoors</t>
        </is>
      </c>
      <c r="F3586" t="inlineStr">
        <is>
          <t>Paul Fischer</t>
        </is>
      </c>
      <c r="G3586" t="inlineStr">
        <is>
          <t>Poland</t>
        </is>
      </c>
      <c r="H3586" t="inlineStr">
        <is>
          <t>Retail Store</t>
        </is>
      </c>
      <c r="I3586" t="n">
        <v>4</v>
      </c>
      <c r="J3586" s="3" t="n">
        <v>117.44</v>
      </c>
      <c r="K3586" s="3" t="n">
        <v>23.49</v>
      </c>
      <c r="L3586" s="3" t="n">
        <v>93.95</v>
      </c>
      <c r="M3586" s="3" t="n">
        <v>66.52</v>
      </c>
      <c r="N3586" s="3" t="n">
        <v>27.43</v>
      </c>
      <c r="O3586">
        <f>TEXT(A3586,"yyyy-mm")</f>
        <v/>
      </c>
    </row>
    <row r="3587">
      <c r="A3587" s="2" t="n">
        <v>46087</v>
      </c>
      <c r="B3587" t="n">
        <v>2026</v>
      </c>
      <c r="C3587" t="inlineStr">
        <is>
          <t>March</t>
        </is>
      </c>
      <c r="D3587" t="inlineStr">
        <is>
          <t>Smart Tea Set</t>
        </is>
      </c>
      <c r="E3587" t="inlineStr">
        <is>
          <t>Grocery</t>
        </is>
      </c>
      <c r="F3587" t="inlineStr">
        <is>
          <t>Paul Fischer</t>
        </is>
      </c>
      <c r="G3587" t="inlineStr">
        <is>
          <t>Poland</t>
        </is>
      </c>
      <c r="H3587" t="inlineStr">
        <is>
          <t>Retail Store</t>
        </is>
      </c>
      <c r="I3587" t="n">
        <v>1</v>
      </c>
      <c r="J3587" s="3" t="n">
        <v>91.93000000000001</v>
      </c>
      <c r="K3587" s="3" t="n">
        <v>13.79</v>
      </c>
      <c r="L3587" s="3" t="n">
        <v>78.14</v>
      </c>
      <c r="M3587" s="3" t="n">
        <v>61.8</v>
      </c>
      <c r="N3587" s="3" t="n">
        <v>16.34</v>
      </c>
      <c r="O3587">
        <f>TEXT(A3587,"yyyy-mm")</f>
        <v/>
      </c>
    </row>
    <row r="3588">
      <c r="A3588" s="2" t="n">
        <v>46087</v>
      </c>
      <c r="B3588" t="n">
        <v>2026</v>
      </c>
      <c r="C3588" t="inlineStr">
        <is>
          <t>March</t>
        </is>
      </c>
      <c r="D3588" t="inlineStr">
        <is>
          <t>Smart Face Cream</t>
        </is>
      </c>
      <c r="E3588" t="inlineStr">
        <is>
          <t>Beauty &amp; Health</t>
        </is>
      </c>
      <c r="F3588" t="inlineStr">
        <is>
          <t>Paul Fischer</t>
        </is>
      </c>
      <c r="G3588" t="inlineStr">
        <is>
          <t>Poland</t>
        </is>
      </c>
      <c r="H3588" t="inlineStr">
        <is>
          <t>Retail Store</t>
        </is>
      </c>
      <c r="I3588" t="n">
        <v>1</v>
      </c>
      <c r="J3588" s="3" t="n">
        <v>273.41</v>
      </c>
      <c r="K3588" s="3" t="n">
        <v>27.34</v>
      </c>
      <c r="L3588" s="3" t="n">
        <v>246.07</v>
      </c>
      <c r="M3588" s="3" t="n">
        <v>193.14</v>
      </c>
      <c r="N3588" s="3" t="n">
        <v>52.93</v>
      </c>
      <c r="O3588">
        <f>TEXT(A3588,"yyyy-mm")</f>
        <v/>
      </c>
    </row>
    <row r="3589">
      <c r="A3589" s="2" t="n">
        <v>46088</v>
      </c>
      <c r="B3589" t="n">
        <v>2026</v>
      </c>
      <c r="C3589" t="inlineStr">
        <is>
          <t>March</t>
        </is>
      </c>
      <c r="D3589" t="inlineStr">
        <is>
          <t>Premium Rug</t>
        </is>
      </c>
      <c r="E3589" t="inlineStr">
        <is>
          <t>Home &amp; Garden</t>
        </is>
      </c>
      <c r="F3589" t="inlineStr">
        <is>
          <t>Anna Fischer</t>
        </is>
      </c>
      <c r="G3589" t="inlineStr">
        <is>
          <t>Spain</t>
        </is>
      </c>
      <c r="H3589" t="inlineStr">
        <is>
          <t>Mobile App</t>
        </is>
      </c>
      <c r="I3589" t="n">
        <v>1</v>
      </c>
      <c r="J3589" s="3" t="n">
        <v>179.32</v>
      </c>
      <c r="K3589" s="3" t="n">
        <v>0</v>
      </c>
      <c r="L3589" s="3" t="n">
        <v>179.32</v>
      </c>
      <c r="M3589" s="3" t="n">
        <v>111.19</v>
      </c>
      <c r="N3589" s="3" t="n">
        <v>68.13</v>
      </c>
      <c r="O3589">
        <f>TEXT(A3589,"yyyy-mm")</f>
        <v/>
      </c>
    </row>
    <row r="3590">
      <c r="A3590" s="2" t="n">
        <v>46088</v>
      </c>
      <c r="B3590" t="n">
        <v>2026</v>
      </c>
      <c r="C3590" t="inlineStr">
        <is>
          <t>March</t>
        </is>
      </c>
      <c r="D3590" t="inlineStr">
        <is>
          <t>Smart Olive Oil</t>
        </is>
      </c>
      <c r="E3590" t="inlineStr">
        <is>
          <t>Grocery</t>
        </is>
      </c>
      <c r="F3590" t="inlineStr">
        <is>
          <t>Anna Fischer</t>
        </is>
      </c>
      <c r="G3590" t="inlineStr">
        <is>
          <t>Spain</t>
        </is>
      </c>
      <c r="H3590" t="inlineStr">
        <is>
          <t>Mobile App</t>
        </is>
      </c>
      <c r="I3590" t="n">
        <v>3</v>
      </c>
      <c r="J3590" s="3" t="n">
        <v>492.57</v>
      </c>
      <c r="K3590" s="3" t="n">
        <v>0</v>
      </c>
      <c r="L3590" s="3" t="n">
        <v>492.57</v>
      </c>
      <c r="M3590" s="3" t="n">
        <v>330.06</v>
      </c>
      <c r="N3590" s="3" t="n">
        <v>162.51</v>
      </c>
      <c r="O3590">
        <f>TEXT(A3590,"yyyy-mm")</f>
        <v/>
      </c>
    </row>
    <row r="3591">
      <c r="A3591" s="2" t="n">
        <v>46088</v>
      </c>
      <c r="B3591" t="n">
        <v>2026</v>
      </c>
      <c r="C3591" t="inlineStr">
        <is>
          <t>March</t>
        </is>
      </c>
      <c r="D3591" t="inlineStr">
        <is>
          <t>Premium Water Bottle</t>
        </is>
      </c>
      <c r="E3591" t="inlineStr">
        <is>
          <t>Sports &amp; Outdoors</t>
        </is>
      </c>
      <c r="F3591" t="inlineStr">
        <is>
          <t>Daniel Garcia</t>
        </is>
      </c>
      <c r="G3591" t="inlineStr">
        <is>
          <t>Spain</t>
        </is>
      </c>
      <c r="H3591" t="inlineStr">
        <is>
          <t>Web Store</t>
        </is>
      </c>
      <c r="I3591" t="n">
        <v>5</v>
      </c>
      <c r="J3591" s="3" t="n">
        <v>611.3</v>
      </c>
      <c r="K3591" s="3" t="n">
        <v>0</v>
      </c>
      <c r="L3591" s="3" t="n">
        <v>611.3</v>
      </c>
      <c r="M3591" s="3" t="n">
        <v>448.1</v>
      </c>
      <c r="N3591" s="3" t="n">
        <v>163.2</v>
      </c>
      <c r="O3591">
        <f>TEXT(A3591,"yyyy-mm")</f>
        <v/>
      </c>
    </row>
    <row r="3592">
      <c r="A3592" s="2" t="n">
        <v>46090</v>
      </c>
      <c r="B3592" t="n">
        <v>2026</v>
      </c>
      <c r="C3592" t="inlineStr">
        <is>
          <t>March</t>
        </is>
      </c>
      <c r="D3592" t="inlineStr">
        <is>
          <t>Smart Camera</t>
        </is>
      </c>
      <c r="E3592" t="inlineStr">
        <is>
          <t>Electronics</t>
        </is>
      </c>
      <c r="F3592" t="inlineStr">
        <is>
          <t>Emma Johnson</t>
        </is>
      </c>
      <c r="G3592" t="inlineStr">
        <is>
          <t>United Kingdom</t>
        </is>
      </c>
      <c r="H3592" t="inlineStr">
        <is>
          <t>Retail Store</t>
        </is>
      </c>
      <c r="I3592" t="n">
        <v>5</v>
      </c>
      <c r="J3592" s="3" t="n">
        <v>1550.2</v>
      </c>
      <c r="K3592" s="3" t="n">
        <v>0</v>
      </c>
      <c r="L3592" s="3" t="n">
        <v>1550.2</v>
      </c>
      <c r="M3592" s="3" t="n">
        <v>837</v>
      </c>
      <c r="N3592" s="3" t="n">
        <v>713.2</v>
      </c>
      <c r="O3592">
        <f>TEXT(A3592,"yyyy-mm")</f>
        <v/>
      </c>
    </row>
    <row r="3593">
      <c r="A3593" s="2" t="n">
        <v>46090</v>
      </c>
      <c r="B3593" t="n">
        <v>2026</v>
      </c>
      <c r="C3593" t="inlineStr">
        <is>
          <t>March</t>
        </is>
      </c>
      <c r="D3593" t="inlineStr">
        <is>
          <t>Compact Sunscreen</t>
        </is>
      </c>
      <c r="E3593" t="inlineStr">
        <is>
          <t>Beauty &amp; Health</t>
        </is>
      </c>
      <c r="F3593" t="inlineStr">
        <is>
          <t>Emma Johnson</t>
        </is>
      </c>
      <c r="G3593" t="inlineStr">
        <is>
          <t>United Kingdom</t>
        </is>
      </c>
      <c r="H3593" t="inlineStr">
        <is>
          <t>Retail Store</t>
        </is>
      </c>
      <c r="I3593" t="n">
        <v>1</v>
      </c>
      <c r="J3593" s="3" t="n">
        <v>290.65</v>
      </c>
      <c r="K3593" s="3" t="n">
        <v>58.13</v>
      </c>
      <c r="L3593" s="3" t="n">
        <v>232.52</v>
      </c>
      <c r="M3593" s="3" t="n">
        <v>177.66</v>
      </c>
      <c r="N3593" s="3" t="n">
        <v>54.86</v>
      </c>
      <c r="O3593">
        <f>TEXT(A3593,"yyyy-mm")</f>
        <v/>
      </c>
    </row>
    <row r="3594">
      <c r="A3594" s="2" t="n">
        <v>46090</v>
      </c>
      <c r="B3594" t="n">
        <v>2026</v>
      </c>
      <c r="C3594" t="inlineStr">
        <is>
          <t>March</t>
        </is>
      </c>
      <c r="D3594" t="inlineStr">
        <is>
          <t>Ultra Backpack</t>
        </is>
      </c>
      <c r="E3594" t="inlineStr">
        <is>
          <t>Sports &amp; Outdoors</t>
        </is>
      </c>
      <c r="F3594" t="inlineStr">
        <is>
          <t>Emma Johnson</t>
        </is>
      </c>
      <c r="G3594" t="inlineStr">
        <is>
          <t>United Kingdom</t>
        </is>
      </c>
      <c r="H3594" t="inlineStr">
        <is>
          <t>Retail Store</t>
        </is>
      </c>
      <c r="I3594" t="n">
        <v>3</v>
      </c>
      <c r="J3594" s="3" t="n">
        <v>951.0599999999999</v>
      </c>
      <c r="K3594" s="3" t="n">
        <v>47.55</v>
      </c>
      <c r="L3594" s="3" t="n">
        <v>903.51</v>
      </c>
      <c r="M3594" s="3" t="n">
        <v>521.0700000000001</v>
      </c>
      <c r="N3594" s="3" t="n">
        <v>382.44</v>
      </c>
      <c r="O3594">
        <f>TEXT(A3594,"yyyy-mm")</f>
        <v/>
      </c>
    </row>
    <row r="3595">
      <c r="A3595" s="2" t="n">
        <v>46090</v>
      </c>
      <c r="B3595" t="n">
        <v>2026</v>
      </c>
      <c r="C3595" t="inlineStr">
        <is>
          <t>March</t>
        </is>
      </c>
      <c r="D3595" t="inlineStr">
        <is>
          <t>Classic Tea Set</t>
        </is>
      </c>
      <c r="E3595" t="inlineStr">
        <is>
          <t>Grocery</t>
        </is>
      </c>
      <c r="F3595" t="inlineStr">
        <is>
          <t>James Wojcik</t>
        </is>
      </c>
      <c r="G3595" t="inlineStr">
        <is>
          <t>Netherlands</t>
        </is>
      </c>
      <c r="H3595" t="inlineStr">
        <is>
          <t>Retail Store</t>
        </is>
      </c>
      <c r="I3595" t="n">
        <v>3</v>
      </c>
      <c r="J3595" s="3" t="n">
        <v>517.8</v>
      </c>
      <c r="K3595" s="3" t="n">
        <v>103.56</v>
      </c>
      <c r="L3595" s="3" t="n">
        <v>414.24</v>
      </c>
      <c r="M3595" s="3" t="n">
        <v>376.2</v>
      </c>
      <c r="N3595" s="3" t="n">
        <v>38.04</v>
      </c>
      <c r="O3595">
        <f>TEXT(A3595,"yyyy-mm")</f>
        <v/>
      </c>
    </row>
    <row r="3596">
      <c r="A3596" s="2" t="n">
        <v>46091</v>
      </c>
      <c r="B3596" t="n">
        <v>2026</v>
      </c>
      <c r="C3596" t="inlineStr">
        <is>
          <t>March</t>
        </is>
      </c>
      <c r="D3596" t="inlineStr">
        <is>
          <t>Eco Sweater</t>
        </is>
      </c>
      <c r="E3596" t="inlineStr">
        <is>
          <t>Clothing</t>
        </is>
      </c>
      <c r="F3596" t="inlineStr">
        <is>
          <t>Nina Muller</t>
        </is>
      </c>
      <c r="G3596" t="inlineStr">
        <is>
          <t>Spain</t>
        </is>
      </c>
      <c r="H3596" t="inlineStr">
        <is>
          <t>Mobile App</t>
        </is>
      </c>
      <c r="I3596" t="n">
        <v>1</v>
      </c>
      <c r="J3596" s="3" t="n">
        <v>157.39</v>
      </c>
      <c r="K3596" s="3" t="n">
        <v>0</v>
      </c>
      <c r="L3596" s="3" t="n">
        <v>157.39</v>
      </c>
      <c r="M3596" s="3" t="n">
        <v>104.23</v>
      </c>
      <c r="N3596" s="3" t="n">
        <v>53.16</v>
      </c>
      <c r="O3596">
        <f>TEXT(A3596,"yyyy-mm")</f>
        <v/>
      </c>
    </row>
    <row r="3597">
      <c r="A3597" s="2" t="n">
        <v>46091</v>
      </c>
      <c r="B3597" t="n">
        <v>2026</v>
      </c>
      <c r="C3597" t="inlineStr">
        <is>
          <t>March</t>
        </is>
      </c>
      <c r="D3597" t="inlineStr">
        <is>
          <t>Smart Charger</t>
        </is>
      </c>
      <c r="E3597" t="inlineStr">
        <is>
          <t>Electronics</t>
        </is>
      </c>
      <c r="F3597" t="inlineStr">
        <is>
          <t>Thomas Fischer</t>
        </is>
      </c>
      <c r="G3597" t="inlineStr">
        <is>
          <t>France</t>
        </is>
      </c>
      <c r="H3597" t="inlineStr">
        <is>
          <t>Web Store</t>
        </is>
      </c>
      <c r="I3597" t="n">
        <v>4</v>
      </c>
      <c r="J3597" s="3" t="n">
        <v>163.44</v>
      </c>
      <c r="K3597" s="3" t="n">
        <v>24.52</v>
      </c>
      <c r="L3597" s="3" t="n">
        <v>138.92</v>
      </c>
      <c r="M3597" s="3" t="n">
        <v>110.56</v>
      </c>
      <c r="N3597" s="3" t="n">
        <v>28.36</v>
      </c>
      <c r="O3597">
        <f>TEXT(A3597,"yyyy-mm")</f>
        <v/>
      </c>
    </row>
    <row r="3598">
      <c r="A3598" s="2" t="n">
        <v>46091</v>
      </c>
      <c r="B3598" t="n">
        <v>2026</v>
      </c>
      <c r="C3598" t="inlineStr">
        <is>
          <t>March</t>
        </is>
      </c>
      <c r="D3598" t="inlineStr">
        <is>
          <t>Essential Rug</t>
        </is>
      </c>
      <c r="E3598" t="inlineStr">
        <is>
          <t>Home &amp; Garden</t>
        </is>
      </c>
      <c r="F3598" t="inlineStr">
        <is>
          <t>Nina Muller</t>
        </is>
      </c>
      <c r="G3598" t="inlineStr">
        <is>
          <t>Spain</t>
        </is>
      </c>
      <c r="H3598" t="inlineStr">
        <is>
          <t>Mobile App</t>
        </is>
      </c>
      <c r="I3598" t="n">
        <v>1</v>
      </c>
      <c r="J3598" s="3" t="n">
        <v>128.81</v>
      </c>
      <c r="K3598" s="3" t="n">
        <v>0</v>
      </c>
      <c r="L3598" s="3" t="n">
        <v>128.81</v>
      </c>
      <c r="M3598" s="3" t="n">
        <v>76.33</v>
      </c>
      <c r="N3598" s="3" t="n">
        <v>52.48</v>
      </c>
      <c r="O3598">
        <f>TEXT(A3598,"yyyy-mm")</f>
        <v/>
      </c>
    </row>
    <row r="3599">
      <c r="A3599" s="2" t="n">
        <v>46091</v>
      </c>
      <c r="B3599" t="n">
        <v>2026</v>
      </c>
      <c r="C3599" t="inlineStr">
        <is>
          <t>March</t>
        </is>
      </c>
      <c r="D3599" t="inlineStr">
        <is>
          <t>Smart Tea Set</t>
        </is>
      </c>
      <c r="E3599" t="inlineStr">
        <is>
          <t>Grocery</t>
        </is>
      </c>
      <c r="F3599" t="inlineStr">
        <is>
          <t>Nina Muller</t>
        </is>
      </c>
      <c r="G3599" t="inlineStr">
        <is>
          <t>Spain</t>
        </is>
      </c>
      <c r="H3599" t="inlineStr">
        <is>
          <t>Mobile App</t>
        </is>
      </c>
      <c r="I3599" t="n">
        <v>4</v>
      </c>
      <c r="J3599" s="3" t="n">
        <v>359.28</v>
      </c>
      <c r="K3599" s="3" t="n">
        <v>71.86</v>
      </c>
      <c r="L3599" s="3" t="n">
        <v>287.42</v>
      </c>
      <c r="M3599" s="3" t="n">
        <v>247.2</v>
      </c>
      <c r="N3599" s="3" t="n">
        <v>40.22</v>
      </c>
      <c r="O3599">
        <f>TEXT(A3599,"yyyy-mm")</f>
        <v/>
      </c>
    </row>
    <row r="3600">
      <c r="A3600" s="2" t="n">
        <v>46091</v>
      </c>
      <c r="B3600" t="n">
        <v>2026</v>
      </c>
      <c r="C3600" t="inlineStr">
        <is>
          <t>March</t>
        </is>
      </c>
      <c r="D3600" t="inlineStr">
        <is>
          <t>Premium Water Bottle</t>
        </is>
      </c>
      <c r="E3600" t="inlineStr">
        <is>
          <t>Sports &amp; Outdoors</t>
        </is>
      </c>
      <c r="F3600" t="inlineStr">
        <is>
          <t>Michael Moreau</t>
        </is>
      </c>
      <c r="G3600" t="inlineStr">
        <is>
          <t>United States</t>
        </is>
      </c>
      <c r="H3600" t="inlineStr">
        <is>
          <t>Mobile App</t>
        </is>
      </c>
      <c r="I3600" t="n">
        <v>3</v>
      </c>
      <c r="J3600" s="3" t="n">
        <v>356.31</v>
      </c>
      <c r="K3600" s="3" t="n">
        <v>35.63</v>
      </c>
      <c r="L3600" s="3" t="n">
        <v>320.68</v>
      </c>
      <c r="M3600" s="3" t="n">
        <v>268.86</v>
      </c>
      <c r="N3600" s="3" t="n">
        <v>51.82</v>
      </c>
      <c r="O3600">
        <f>TEXT(A3600,"yyyy-mm")</f>
        <v/>
      </c>
    </row>
    <row r="3601">
      <c r="A3601" s="2" t="n">
        <v>46091</v>
      </c>
      <c r="B3601" t="n">
        <v>2026</v>
      </c>
      <c r="C3601" t="inlineStr">
        <is>
          <t>March</t>
        </is>
      </c>
      <c r="D3601" t="inlineStr">
        <is>
          <t>Compact Jacket</t>
        </is>
      </c>
      <c r="E3601" t="inlineStr">
        <is>
          <t>Clothing</t>
        </is>
      </c>
      <c r="F3601" t="inlineStr">
        <is>
          <t>Michael Moreau</t>
        </is>
      </c>
      <c r="G3601" t="inlineStr">
        <is>
          <t>United States</t>
        </is>
      </c>
      <c r="H3601" t="inlineStr">
        <is>
          <t>Mobile App</t>
        </is>
      </c>
      <c r="I3601" t="n">
        <v>4</v>
      </c>
      <c r="J3601" s="3" t="n">
        <v>148.12</v>
      </c>
      <c r="K3601" s="3" t="n">
        <v>7.41</v>
      </c>
      <c r="L3601" s="3" t="n">
        <v>140.71</v>
      </c>
      <c r="M3601" s="3" t="n">
        <v>81.59999999999999</v>
      </c>
      <c r="N3601" s="3" t="n">
        <v>59.11</v>
      </c>
      <c r="O3601">
        <f>TEXT(A3601,"yyyy-mm")</f>
        <v/>
      </c>
    </row>
    <row r="3602">
      <c r="A3602" s="2" t="n">
        <v>46091</v>
      </c>
      <c r="B3602" t="n">
        <v>2026</v>
      </c>
      <c r="C3602" t="inlineStr">
        <is>
          <t>March</t>
        </is>
      </c>
      <c r="D3602" t="inlineStr">
        <is>
          <t>Premium Cookbook</t>
        </is>
      </c>
      <c r="E3602" t="inlineStr">
        <is>
          <t>Books</t>
        </is>
      </c>
      <c r="F3602" t="inlineStr">
        <is>
          <t>Thomas Fischer</t>
        </is>
      </c>
      <c r="G3602" t="inlineStr">
        <is>
          <t>France</t>
        </is>
      </c>
      <c r="H3602" t="inlineStr">
        <is>
          <t>Web Store</t>
        </is>
      </c>
      <c r="I3602" t="n">
        <v>5</v>
      </c>
      <c r="J3602" s="3" t="n">
        <v>627</v>
      </c>
      <c r="K3602" s="3" t="n">
        <v>0</v>
      </c>
      <c r="L3602" s="3" t="n">
        <v>627</v>
      </c>
      <c r="M3602" s="3" t="n">
        <v>474.9</v>
      </c>
      <c r="N3602" s="3" t="n">
        <v>152.1</v>
      </c>
      <c r="O3602">
        <f>TEXT(A3602,"yyyy-mm")</f>
        <v/>
      </c>
    </row>
    <row r="3603">
      <c r="A3603" s="2" t="n">
        <v>46091</v>
      </c>
      <c r="B3603" t="n">
        <v>2026</v>
      </c>
      <c r="C3603" t="inlineStr">
        <is>
          <t>March</t>
        </is>
      </c>
      <c r="D3603" t="inlineStr">
        <is>
          <t>Eco Planter</t>
        </is>
      </c>
      <c r="E3603" t="inlineStr">
        <is>
          <t>Home &amp; Garden</t>
        </is>
      </c>
      <c r="F3603" t="inlineStr">
        <is>
          <t>Thomas Fischer</t>
        </is>
      </c>
      <c r="G3603" t="inlineStr">
        <is>
          <t>France</t>
        </is>
      </c>
      <c r="H3603" t="inlineStr">
        <is>
          <t>Web Store</t>
        </is>
      </c>
      <c r="I3603" t="n">
        <v>4</v>
      </c>
      <c r="J3603" s="3" t="n">
        <v>701.48</v>
      </c>
      <c r="K3603" s="3" t="n">
        <v>0</v>
      </c>
      <c r="L3603" s="3" t="n">
        <v>701.48</v>
      </c>
      <c r="M3603" s="3" t="n">
        <v>449.64</v>
      </c>
      <c r="N3603" s="3" t="n">
        <v>251.84</v>
      </c>
      <c r="O3603">
        <f>TEXT(A3603,"yyyy-mm")</f>
        <v/>
      </c>
    </row>
    <row r="3604">
      <c r="A3604" s="2" t="n">
        <v>46091</v>
      </c>
      <c r="B3604" t="n">
        <v>2026</v>
      </c>
      <c r="C3604" t="inlineStr">
        <is>
          <t>March</t>
        </is>
      </c>
      <c r="D3604" t="inlineStr">
        <is>
          <t>Essential Jacket</t>
        </is>
      </c>
      <c r="E3604" t="inlineStr">
        <is>
          <t>Clothing</t>
        </is>
      </c>
      <c r="F3604" t="inlineStr">
        <is>
          <t>Thomas Fischer</t>
        </is>
      </c>
      <c r="G3604" t="inlineStr">
        <is>
          <t>France</t>
        </is>
      </c>
      <c r="H3604" t="inlineStr">
        <is>
          <t>Web Store</t>
        </is>
      </c>
      <c r="I3604" t="n">
        <v>5</v>
      </c>
      <c r="J3604" s="3" t="n">
        <v>740.05</v>
      </c>
      <c r="K3604" s="3" t="n">
        <v>0</v>
      </c>
      <c r="L3604" s="3" t="n">
        <v>740.05</v>
      </c>
      <c r="M3604" s="3" t="n">
        <v>426.75</v>
      </c>
      <c r="N3604" s="3" t="n">
        <v>313.3</v>
      </c>
      <c r="O3604">
        <f>TEXT(A3604,"yyyy-mm")</f>
        <v/>
      </c>
    </row>
    <row r="3605">
      <c r="A3605" s="2" t="n">
        <v>46092</v>
      </c>
      <c r="B3605" t="n">
        <v>2026</v>
      </c>
      <c r="C3605" t="inlineStr">
        <is>
          <t>March</t>
        </is>
      </c>
      <c r="D3605" t="inlineStr">
        <is>
          <t>Smart Board Game</t>
        </is>
      </c>
      <c r="E3605" t="inlineStr">
        <is>
          <t>Toys &amp; Games</t>
        </is>
      </c>
      <c r="F3605" t="inlineStr">
        <is>
          <t>Anna Schmidt</t>
        </is>
      </c>
      <c r="G3605" t="inlineStr">
        <is>
          <t>Italy</t>
        </is>
      </c>
      <c r="H3605" t="inlineStr">
        <is>
          <t>Marketplace</t>
        </is>
      </c>
      <c r="I3605" t="n">
        <v>2</v>
      </c>
      <c r="J3605" s="3" t="n">
        <v>255.82</v>
      </c>
      <c r="K3605" s="3" t="n">
        <v>0</v>
      </c>
      <c r="L3605" s="3" t="n">
        <v>255.82</v>
      </c>
      <c r="M3605" s="3" t="n">
        <v>183.44</v>
      </c>
      <c r="N3605" s="3" t="n">
        <v>72.38</v>
      </c>
      <c r="O3605">
        <f>TEXT(A3605,"yyyy-mm")</f>
        <v/>
      </c>
    </row>
    <row r="3606">
      <c r="A3606" s="2" t="n">
        <v>46093</v>
      </c>
      <c r="B3606" t="n">
        <v>2026</v>
      </c>
      <c r="C3606" t="inlineStr">
        <is>
          <t>March</t>
        </is>
      </c>
      <c r="D3606" t="inlineStr">
        <is>
          <t>Smart Charger</t>
        </is>
      </c>
      <c r="E3606" t="inlineStr">
        <is>
          <t>Electronics</t>
        </is>
      </c>
      <c r="F3606" t="inlineStr">
        <is>
          <t>Maria Moreau</t>
        </is>
      </c>
      <c r="G3606" t="inlineStr">
        <is>
          <t>United Kingdom</t>
        </is>
      </c>
      <c r="H3606" t="inlineStr">
        <is>
          <t>Marketplace</t>
        </is>
      </c>
      <c r="I3606" t="n">
        <v>4</v>
      </c>
      <c r="J3606" s="3" t="n">
        <v>159</v>
      </c>
      <c r="K3606" s="3" t="n">
        <v>0</v>
      </c>
      <c r="L3606" s="3" t="n">
        <v>159</v>
      </c>
      <c r="M3606" s="3" t="n">
        <v>110.56</v>
      </c>
      <c r="N3606" s="3" t="n">
        <v>48.44</v>
      </c>
      <c r="O3606">
        <f>TEXT(A3606,"yyyy-mm")</f>
        <v/>
      </c>
    </row>
    <row r="3607">
      <c r="A3607" s="2" t="n">
        <v>46093</v>
      </c>
      <c r="B3607" t="n">
        <v>2026</v>
      </c>
      <c r="C3607" t="inlineStr">
        <is>
          <t>March</t>
        </is>
      </c>
      <c r="D3607" t="inlineStr">
        <is>
          <t>Smart Jeans</t>
        </is>
      </c>
      <c r="E3607" t="inlineStr">
        <is>
          <t>Clothing</t>
        </is>
      </c>
      <c r="F3607" t="inlineStr">
        <is>
          <t>Emily Conti</t>
        </is>
      </c>
      <c r="G3607" t="inlineStr">
        <is>
          <t>Germany</t>
        </is>
      </c>
      <c r="H3607" t="inlineStr">
        <is>
          <t>Web Store</t>
        </is>
      </c>
      <c r="I3607" t="n">
        <v>5</v>
      </c>
      <c r="J3607" s="3" t="n">
        <v>1479.8</v>
      </c>
      <c r="K3607" s="3" t="n">
        <v>147.98</v>
      </c>
      <c r="L3607" s="3" t="n">
        <v>1331.82</v>
      </c>
      <c r="M3607" s="3" t="n">
        <v>968.2</v>
      </c>
      <c r="N3607" s="3" t="n">
        <v>363.62</v>
      </c>
      <c r="O3607">
        <f>TEXT(A3607,"yyyy-mm")</f>
        <v/>
      </c>
    </row>
    <row r="3608">
      <c r="A3608" s="2" t="n">
        <v>46093</v>
      </c>
      <c r="B3608" t="n">
        <v>2026</v>
      </c>
      <c r="C3608" t="inlineStr">
        <is>
          <t>March</t>
        </is>
      </c>
      <c r="D3608" t="inlineStr">
        <is>
          <t>Smart Puzzle</t>
        </is>
      </c>
      <c r="E3608" t="inlineStr">
        <is>
          <t>Toys &amp; Games</t>
        </is>
      </c>
      <c r="F3608" t="inlineStr">
        <is>
          <t>Daniel Conti</t>
        </is>
      </c>
      <c r="G3608" t="inlineStr">
        <is>
          <t>United Kingdom</t>
        </is>
      </c>
      <c r="H3608" t="inlineStr">
        <is>
          <t>Mobile App</t>
        </is>
      </c>
      <c r="I3608" t="n">
        <v>1</v>
      </c>
      <c r="J3608" s="3" t="n">
        <v>43.7</v>
      </c>
      <c r="K3608" s="3" t="n">
        <v>0</v>
      </c>
      <c r="L3608" s="3" t="n">
        <v>43.7</v>
      </c>
      <c r="M3608" s="3" t="n">
        <v>24.44</v>
      </c>
      <c r="N3608" s="3" t="n">
        <v>19.26</v>
      </c>
      <c r="O3608">
        <f>TEXT(A3608,"yyyy-mm")</f>
        <v/>
      </c>
    </row>
    <row r="3609">
      <c r="A3609" s="2" t="n">
        <v>46093</v>
      </c>
      <c r="B3609" t="n">
        <v>2026</v>
      </c>
      <c r="C3609" t="inlineStr">
        <is>
          <t>March</t>
        </is>
      </c>
      <c r="D3609" t="inlineStr">
        <is>
          <t>Essential Charger</t>
        </is>
      </c>
      <c r="E3609" t="inlineStr">
        <is>
          <t>Electronics</t>
        </is>
      </c>
      <c r="F3609" t="inlineStr">
        <is>
          <t>Daniel Conti</t>
        </is>
      </c>
      <c r="G3609" t="inlineStr">
        <is>
          <t>United Kingdom</t>
        </is>
      </c>
      <c r="H3609" t="inlineStr">
        <is>
          <t>Mobile App</t>
        </is>
      </c>
      <c r="I3609" t="n">
        <v>4</v>
      </c>
      <c r="J3609" s="3" t="n">
        <v>175.92</v>
      </c>
      <c r="K3609" s="3" t="n">
        <v>8.800000000000001</v>
      </c>
      <c r="L3609" s="3" t="n">
        <v>167.12</v>
      </c>
      <c r="M3609" s="3" t="n">
        <v>116.4</v>
      </c>
      <c r="N3609" s="3" t="n">
        <v>50.72</v>
      </c>
      <c r="O3609">
        <f>TEXT(A3609,"yyyy-mm")</f>
        <v/>
      </c>
    </row>
    <row r="3610">
      <c r="A3610" s="2" t="n">
        <v>46093</v>
      </c>
      <c r="B3610" t="n">
        <v>2026</v>
      </c>
      <c r="C3610" t="inlineStr">
        <is>
          <t>March</t>
        </is>
      </c>
      <c r="D3610" t="inlineStr">
        <is>
          <t>Portable Notebook</t>
        </is>
      </c>
      <c r="E3610" t="inlineStr">
        <is>
          <t>Books</t>
        </is>
      </c>
      <c r="F3610" t="inlineStr">
        <is>
          <t>David Johnson</t>
        </is>
      </c>
      <c r="G3610" t="inlineStr">
        <is>
          <t>Netherlands</t>
        </is>
      </c>
      <c r="H3610" t="inlineStr">
        <is>
          <t>Marketplace</t>
        </is>
      </c>
      <c r="I3610" t="n">
        <v>5</v>
      </c>
      <c r="J3610" s="3" t="n">
        <v>662.25</v>
      </c>
      <c r="K3610" s="3" t="n">
        <v>66.23</v>
      </c>
      <c r="L3610" s="3" t="n">
        <v>596.02</v>
      </c>
      <c r="M3610" s="3" t="n">
        <v>356.4</v>
      </c>
      <c r="N3610" s="3" t="n">
        <v>239.62</v>
      </c>
      <c r="O3610">
        <f>TEXT(A3610,"yyyy-mm")</f>
        <v/>
      </c>
    </row>
    <row r="3611">
      <c r="A3611" s="2" t="n">
        <v>46094</v>
      </c>
      <c r="B3611" t="n">
        <v>2026</v>
      </c>
      <c r="C3611" t="inlineStr">
        <is>
          <t>March</t>
        </is>
      </c>
      <c r="D3611" t="inlineStr">
        <is>
          <t>Compact Biography</t>
        </is>
      </c>
      <c r="E3611" t="inlineStr">
        <is>
          <t>Books</t>
        </is>
      </c>
      <c r="F3611" t="inlineStr">
        <is>
          <t>Thomas Nowak</t>
        </is>
      </c>
      <c r="G3611" t="inlineStr">
        <is>
          <t>United States</t>
        </is>
      </c>
      <c r="H3611" t="inlineStr">
        <is>
          <t>Retail Store</t>
        </is>
      </c>
      <c r="I3611" t="n">
        <v>1</v>
      </c>
      <c r="J3611" s="3" t="n">
        <v>246.53</v>
      </c>
      <c r="K3611" s="3" t="n">
        <v>0</v>
      </c>
      <c r="L3611" s="3" t="n">
        <v>246.53</v>
      </c>
      <c r="M3611" s="3" t="n">
        <v>140.33</v>
      </c>
      <c r="N3611" s="3" t="n">
        <v>106.2</v>
      </c>
      <c r="O3611">
        <f>TEXT(A3611,"yyyy-mm")</f>
        <v/>
      </c>
    </row>
    <row r="3612">
      <c r="A3612" s="2" t="n">
        <v>46094</v>
      </c>
      <c r="B3612" t="n">
        <v>2026</v>
      </c>
      <c r="C3612" t="inlineStr">
        <is>
          <t>March</t>
        </is>
      </c>
      <c r="D3612" t="inlineStr">
        <is>
          <t>Eco Drone</t>
        </is>
      </c>
      <c r="E3612" t="inlineStr">
        <is>
          <t>Toys &amp; Games</t>
        </is>
      </c>
      <c r="F3612" t="inlineStr">
        <is>
          <t>Thomas Nowak</t>
        </is>
      </c>
      <c r="G3612" t="inlineStr">
        <is>
          <t>United States</t>
        </is>
      </c>
      <c r="H3612" t="inlineStr">
        <is>
          <t>Retail Store</t>
        </is>
      </c>
      <c r="I3612" t="n">
        <v>4</v>
      </c>
      <c r="J3612" s="3" t="n">
        <v>823.96</v>
      </c>
      <c r="K3612" s="3" t="n">
        <v>123.59</v>
      </c>
      <c r="L3612" s="3" t="n">
        <v>700.37</v>
      </c>
      <c r="M3612" s="3" t="n">
        <v>518.36</v>
      </c>
      <c r="N3612" s="3" t="n">
        <v>182.01</v>
      </c>
      <c r="O3612">
        <f>TEXT(A3612,"yyyy-mm")</f>
        <v/>
      </c>
    </row>
    <row r="3613">
      <c r="A3613" s="2" t="n">
        <v>46094</v>
      </c>
      <c r="B3613" t="n">
        <v>2026</v>
      </c>
      <c r="C3613" t="inlineStr">
        <is>
          <t>March</t>
        </is>
      </c>
      <c r="D3613" t="inlineStr">
        <is>
          <t>Classic Coffee Beans</t>
        </is>
      </c>
      <c r="E3613" t="inlineStr">
        <is>
          <t>Grocery</t>
        </is>
      </c>
      <c r="F3613" t="inlineStr">
        <is>
          <t>Thomas Nowak</t>
        </is>
      </c>
      <c r="G3613" t="inlineStr">
        <is>
          <t>United States</t>
        </is>
      </c>
      <c r="H3613" t="inlineStr">
        <is>
          <t>Retail Store</t>
        </is>
      </c>
      <c r="I3613" t="n">
        <v>2</v>
      </c>
      <c r="J3613" s="3" t="n">
        <v>650</v>
      </c>
      <c r="K3613" s="3" t="n">
        <v>65</v>
      </c>
      <c r="L3613" s="3" t="n">
        <v>585</v>
      </c>
      <c r="M3613" s="3" t="n">
        <v>389.52</v>
      </c>
      <c r="N3613" s="3" t="n">
        <v>195.48</v>
      </c>
      <c r="O3613">
        <f>TEXT(A3613,"yyyy-mm")</f>
        <v/>
      </c>
    </row>
    <row r="3614">
      <c r="A3614" s="2" t="n">
        <v>46094</v>
      </c>
      <c r="B3614" t="n">
        <v>2026</v>
      </c>
      <c r="C3614" t="inlineStr">
        <is>
          <t>March</t>
        </is>
      </c>
      <c r="D3614" t="inlineStr">
        <is>
          <t>Smart Puzzle</t>
        </is>
      </c>
      <c r="E3614" t="inlineStr">
        <is>
          <t>Toys &amp; Games</t>
        </is>
      </c>
      <c r="F3614" t="inlineStr">
        <is>
          <t>Thomas Nowak</t>
        </is>
      </c>
      <c r="G3614" t="inlineStr">
        <is>
          <t>United States</t>
        </is>
      </c>
      <c r="H3614" t="inlineStr">
        <is>
          <t>Retail Store</t>
        </is>
      </c>
      <c r="I3614" t="n">
        <v>3</v>
      </c>
      <c r="J3614" s="3" t="n">
        <v>131.49</v>
      </c>
      <c r="K3614" s="3" t="n">
        <v>13.15</v>
      </c>
      <c r="L3614" s="3" t="n">
        <v>118.34</v>
      </c>
      <c r="M3614" s="3" t="n">
        <v>73.31999999999999</v>
      </c>
      <c r="N3614" s="3" t="n">
        <v>45.02</v>
      </c>
      <c r="O3614">
        <f>TEXT(A3614,"yyyy-mm")</f>
        <v/>
      </c>
    </row>
    <row r="3615">
      <c r="A3615" s="2" t="n">
        <v>46094</v>
      </c>
      <c r="B3615" t="n">
        <v>2026</v>
      </c>
      <c r="C3615" t="inlineStr">
        <is>
          <t>March</t>
        </is>
      </c>
      <c r="D3615" t="inlineStr">
        <is>
          <t>Smart Honey</t>
        </is>
      </c>
      <c r="E3615" t="inlineStr">
        <is>
          <t>Grocery</t>
        </is>
      </c>
      <c r="F3615" t="inlineStr">
        <is>
          <t>Olivia Bianchi</t>
        </is>
      </c>
      <c r="G3615" t="inlineStr">
        <is>
          <t>United Kingdom</t>
        </is>
      </c>
      <c r="H3615" t="inlineStr">
        <is>
          <t>Marketplace</t>
        </is>
      </c>
      <c r="I3615" t="n">
        <v>3</v>
      </c>
      <c r="J3615" s="3" t="n">
        <v>409.2</v>
      </c>
      <c r="K3615" s="3" t="n">
        <v>20.46</v>
      </c>
      <c r="L3615" s="3" t="n">
        <v>388.74</v>
      </c>
      <c r="M3615" s="3" t="n">
        <v>214.32</v>
      </c>
      <c r="N3615" s="3" t="n">
        <v>174.42</v>
      </c>
      <c r="O3615">
        <f>TEXT(A3615,"yyyy-mm")</f>
        <v/>
      </c>
    </row>
    <row r="3616">
      <c r="A3616" s="2" t="n">
        <v>46094</v>
      </c>
      <c r="B3616" t="n">
        <v>2026</v>
      </c>
      <c r="C3616" t="inlineStr">
        <is>
          <t>March</t>
        </is>
      </c>
      <c r="D3616" t="inlineStr">
        <is>
          <t>Ultra Backpack</t>
        </is>
      </c>
      <c r="E3616" t="inlineStr">
        <is>
          <t>Sports &amp; Outdoors</t>
        </is>
      </c>
      <c r="F3616" t="inlineStr">
        <is>
          <t>Clara Nowak</t>
        </is>
      </c>
      <c r="G3616" t="inlineStr">
        <is>
          <t>United Kingdom</t>
        </is>
      </c>
      <c r="H3616" t="inlineStr">
        <is>
          <t>Web Store</t>
        </is>
      </c>
      <c r="I3616" t="n">
        <v>3</v>
      </c>
      <c r="J3616" s="3" t="n">
        <v>916.17</v>
      </c>
      <c r="K3616" s="3" t="n">
        <v>0</v>
      </c>
      <c r="L3616" s="3" t="n">
        <v>916.17</v>
      </c>
      <c r="M3616" s="3" t="n">
        <v>521.0700000000001</v>
      </c>
      <c r="N3616" s="3" t="n">
        <v>395.1</v>
      </c>
      <c r="O3616">
        <f>TEXT(A3616,"yyyy-mm")</f>
        <v/>
      </c>
    </row>
    <row r="3617">
      <c r="A3617" s="2" t="n">
        <v>46094</v>
      </c>
      <c r="B3617" t="n">
        <v>2026</v>
      </c>
      <c r="C3617" t="inlineStr">
        <is>
          <t>March</t>
        </is>
      </c>
      <c r="D3617" t="inlineStr">
        <is>
          <t>Premium Water Bottle</t>
        </is>
      </c>
      <c r="E3617" t="inlineStr">
        <is>
          <t>Sports &amp; Outdoors</t>
        </is>
      </c>
      <c r="F3617" t="inlineStr">
        <is>
          <t>Clara Nowak</t>
        </is>
      </c>
      <c r="G3617" t="inlineStr">
        <is>
          <t>United Kingdom</t>
        </is>
      </c>
      <c r="H3617" t="inlineStr">
        <is>
          <t>Web Store</t>
        </is>
      </c>
      <c r="I3617" t="n">
        <v>1</v>
      </c>
      <c r="J3617" s="3" t="n">
        <v>29.97</v>
      </c>
      <c r="K3617" s="3" t="n">
        <v>5.99</v>
      </c>
      <c r="L3617" s="3" t="n">
        <v>23.98</v>
      </c>
      <c r="M3617" s="3" t="n">
        <v>16.63</v>
      </c>
      <c r="N3617" s="3" t="n">
        <v>7.35</v>
      </c>
      <c r="O3617">
        <f>TEXT(A3617,"yyyy-mm")</f>
        <v/>
      </c>
    </row>
    <row r="3618">
      <c r="A3618" s="2" t="n">
        <v>46094</v>
      </c>
      <c r="B3618" t="n">
        <v>2026</v>
      </c>
      <c r="C3618" t="inlineStr">
        <is>
          <t>March</t>
        </is>
      </c>
      <c r="D3618" t="inlineStr">
        <is>
          <t>Essential Jacket</t>
        </is>
      </c>
      <c r="E3618" t="inlineStr">
        <is>
          <t>Clothing</t>
        </is>
      </c>
      <c r="F3618" t="inlineStr">
        <is>
          <t>Clara Nowak</t>
        </is>
      </c>
      <c r="G3618" t="inlineStr">
        <is>
          <t>United Kingdom</t>
        </is>
      </c>
      <c r="H3618" t="inlineStr">
        <is>
          <t>Web Store</t>
        </is>
      </c>
      <c r="I3618" t="n">
        <v>4</v>
      </c>
      <c r="J3618" s="3" t="n">
        <v>602.16</v>
      </c>
      <c r="K3618" s="3" t="n">
        <v>0</v>
      </c>
      <c r="L3618" s="3" t="n">
        <v>602.16</v>
      </c>
      <c r="M3618" s="3" t="n">
        <v>341.4</v>
      </c>
      <c r="N3618" s="3" t="n">
        <v>260.76</v>
      </c>
      <c r="O3618">
        <f>TEXT(A3618,"yyyy-mm")</f>
        <v/>
      </c>
    </row>
    <row r="3619">
      <c r="A3619" s="2" t="n">
        <v>46094</v>
      </c>
      <c r="B3619" t="n">
        <v>2026</v>
      </c>
      <c r="C3619" t="inlineStr">
        <is>
          <t>March</t>
        </is>
      </c>
      <c r="D3619" t="inlineStr">
        <is>
          <t>Wireless Coffee Beans</t>
        </is>
      </c>
      <c r="E3619" t="inlineStr">
        <is>
          <t>Grocery</t>
        </is>
      </c>
      <c r="F3619" t="inlineStr">
        <is>
          <t>Robert Fischer</t>
        </is>
      </c>
      <c r="G3619" t="inlineStr">
        <is>
          <t>Poland</t>
        </is>
      </c>
      <c r="H3619" t="inlineStr">
        <is>
          <t>Retail Store</t>
        </is>
      </c>
      <c r="I3619" t="n">
        <v>2</v>
      </c>
      <c r="J3619" s="3" t="n">
        <v>420.4</v>
      </c>
      <c r="K3619" s="3" t="n">
        <v>0</v>
      </c>
      <c r="L3619" s="3" t="n">
        <v>420.4</v>
      </c>
      <c r="M3619" s="3" t="n">
        <v>260.26</v>
      </c>
      <c r="N3619" s="3" t="n">
        <v>160.14</v>
      </c>
      <c r="O3619">
        <f>TEXT(A3619,"yyyy-mm")</f>
        <v/>
      </c>
    </row>
    <row r="3620">
      <c r="A3620" s="2" t="n">
        <v>46094</v>
      </c>
      <c r="B3620" t="n">
        <v>2026</v>
      </c>
      <c r="C3620" t="inlineStr">
        <is>
          <t>March</t>
        </is>
      </c>
      <c r="D3620" t="inlineStr">
        <is>
          <t>Classic Yoga Mat</t>
        </is>
      </c>
      <c r="E3620" t="inlineStr">
        <is>
          <t>Sports &amp; Outdoors</t>
        </is>
      </c>
      <c r="F3620" t="inlineStr">
        <is>
          <t>Olivia Bianchi</t>
        </is>
      </c>
      <c r="G3620" t="inlineStr">
        <is>
          <t>United Kingdom</t>
        </is>
      </c>
      <c r="H3620" t="inlineStr">
        <is>
          <t>Marketplace</t>
        </is>
      </c>
      <c r="I3620" t="n">
        <v>2</v>
      </c>
      <c r="J3620" s="3" t="n">
        <v>650.1799999999999</v>
      </c>
      <c r="K3620" s="3" t="n">
        <v>65.02</v>
      </c>
      <c r="L3620" s="3" t="n">
        <v>585.16</v>
      </c>
      <c r="M3620" s="3" t="n">
        <v>391.4</v>
      </c>
      <c r="N3620" s="3" t="n">
        <v>193.76</v>
      </c>
      <c r="O3620">
        <f>TEXT(A3620,"yyyy-mm")</f>
        <v/>
      </c>
    </row>
    <row r="3621">
      <c r="A3621" s="2" t="n">
        <v>46095</v>
      </c>
      <c r="B3621" t="n">
        <v>2026</v>
      </c>
      <c r="C3621" t="inlineStr">
        <is>
          <t>March</t>
        </is>
      </c>
      <c r="D3621" t="inlineStr">
        <is>
          <t>Essential Pasta</t>
        </is>
      </c>
      <c r="E3621" t="inlineStr">
        <is>
          <t>Grocery</t>
        </is>
      </c>
      <c r="F3621" t="inlineStr">
        <is>
          <t>Olivia Wojcik</t>
        </is>
      </c>
      <c r="G3621" t="inlineStr">
        <is>
          <t>France</t>
        </is>
      </c>
      <c r="H3621" t="inlineStr">
        <is>
          <t>Web Store</t>
        </is>
      </c>
      <c r="I3621" t="n">
        <v>3</v>
      </c>
      <c r="J3621" s="3" t="n">
        <v>164.16</v>
      </c>
      <c r="K3621" s="3" t="n">
        <v>0</v>
      </c>
      <c r="L3621" s="3" t="n">
        <v>164.16</v>
      </c>
      <c r="M3621" s="3" t="n">
        <v>107.43</v>
      </c>
      <c r="N3621" s="3" t="n">
        <v>56.73</v>
      </c>
      <c r="O3621">
        <f>TEXT(A3621,"yyyy-mm")</f>
        <v/>
      </c>
    </row>
    <row r="3622">
      <c r="A3622" s="2" t="n">
        <v>46095</v>
      </c>
      <c r="B3622" t="n">
        <v>2026</v>
      </c>
      <c r="C3622" t="inlineStr">
        <is>
          <t>March</t>
        </is>
      </c>
      <c r="D3622" t="inlineStr">
        <is>
          <t>Portable Notebook</t>
        </is>
      </c>
      <c r="E3622" t="inlineStr">
        <is>
          <t>Books</t>
        </is>
      </c>
      <c r="F3622" t="inlineStr">
        <is>
          <t>Nina Lopez</t>
        </is>
      </c>
      <c r="G3622" t="inlineStr">
        <is>
          <t>Poland</t>
        </is>
      </c>
      <c r="H3622" t="inlineStr">
        <is>
          <t>Retail Store</t>
        </is>
      </c>
      <c r="I3622" t="n">
        <v>2</v>
      </c>
      <c r="J3622" s="3" t="n">
        <v>254.68</v>
      </c>
      <c r="K3622" s="3" t="n">
        <v>25.47</v>
      </c>
      <c r="L3622" s="3" t="n">
        <v>229.21</v>
      </c>
      <c r="M3622" s="3" t="n">
        <v>142.56</v>
      </c>
      <c r="N3622" s="3" t="n">
        <v>86.65000000000001</v>
      </c>
      <c r="O3622">
        <f>TEXT(A3622,"yyyy-mm")</f>
        <v/>
      </c>
    </row>
    <row r="3623">
      <c r="A3623" s="2" t="n">
        <v>46095</v>
      </c>
      <c r="B3623" t="n">
        <v>2026</v>
      </c>
      <c r="C3623" t="inlineStr">
        <is>
          <t>March</t>
        </is>
      </c>
      <c r="D3623" t="inlineStr">
        <is>
          <t>Essential Jacket</t>
        </is>
      </c>
      <c r="E3623" t="inlineStr">
        <is>
          <t>Clothing</t>
        </is>
      </c>
      <c r="F3623" t="inlineStr">
        <is>
          <t>Nina Lopez</t>
        </is>
      </c>
      <c r="G3623" t="inlineStr">
        <is>
          <t>Poland</t>
        </is>
      </c>
      <c r="H3623" t="inlineStr">
        <is>
          <t>Retail Store</t>
        </is>
      </c>
      <c r="I3623" t="n">
        <v>5</v>
      </c>
      <c r="J3623" s="3" t="n">
        <v>704.8</v>
      </c>
      <c r="K3623" s="3" t="n">
        <v>0</v>
      </c>
      <c r="L3623" s="3" t="n">
        <v>704.8</v>
      </c>
      <c r="M3623" s="3" t="n">
        <v>426.75</v>
      </c>
      <c r="N3623" s="3" t="n">
        <v>278.05</v>
      </c>
      <c r="O3623">
        <f>TEXT(A3623,"yyyy-mm")</f>
        <v/>
      </c>
    </row>
    <row r="3624">
      <c r="A3624" s="2" t="n">
        <v>46095</v>
      </c>
      <c r="B3624" t="n">
        <v>2026</v>
      </c>
      <c r="C3624" t="inlineStr">
        <is>
          <t>March</t>
        </is>
      </c>
      <c r="D3624" t="inlineStr">
        <is>
          <t>Deluxe Cookbook</t>
        </is>
      </c>
      <c r="E3624" t="inlineStr">
        <is>
          <t>Books</t>
        </is>
      </c>
      <c r="F3624" t="inlineStr">
        <is>
          <t>Olivia Bianchi</t>
        </is>
      </c>
      <c r="G3624" t="inlineStr">
        <is>
          <t>Poland</t>
        </is>
      </c>
      <c r="H3624" t="inlineStr">
        <is>
          <t>Retail Store</t>
        </is>
      </c>
      <c r="I3624" t="n">
        <v>1</v>
      </c>
      <c r="J3624" s="3" t="n">
        <v>140.23</v>
      </c>
      <c r="K3624" s="3" t="n">
        <v>0</v>
      </c>
      <c r="L3624" s="3" t="n">
        <v>140.23</v>
      </c>
      <c r="M3624" s="3" t="n">
        <v>85.27</v>
      </c>
      <c r="N3624" s="3" t="n">
        <v>54.96</v>
      </c>
      <c r="O3624">
        <f>TEXT(A3624,"yyyy-mm")</f>
        <v/>
      </c>
    </row>
    <row r="3625">
      <c r="A3625" s="2" t="n">
        <v>46095</v>
      </c>
      <c r="B3625" t="n">
        <v>2026</v>
      </c>
      <c r="C3625" t="inlineStr">
        <is>
          <t>March</t>
        </is>
      </c>
      <c r="D3625" t="inlineStr">
        <is>
          <t>Essential Toolset</t>
        </is>
      </c>
      <c r="E3625" t="inlineStr">
        <is>
          <t>Home &amp; Garden</t>
        </is>
      </c>
      <c r="F3625" t="inlineStr">
        <is>
          <t>Nina Lopez</t>
        </is>
      </c>
      <c r="G3625" t="inlineStr">
        <is>
          <t>Poland</t>
        </is>
      </c>
      <c r="H3625" t="inlineStr">
        <is>
          <t>Retail Store</t>
        </is>
      </c>
      <c r="I3625" t="n">
        <v>4</v>
      </c>
      <c r="J3625" s="3" t="n">
        <v>823.76</v>
      </c>
      <c r="K3625" s="3" t="n">
        <v>0</v>
      </c>
      <c r="L3625" s="3" t="n">
        <v>823.76</v>
      </c>
      <c r="M3625" s="3" t="n">
        <v>602.12</v>
      </c>
      <c r="N3625" s="3" t="n">
        <v>221.64</v>
      </c>
      <c r="O3625">
        <f>TEXT(A3625,"yyyy-mm")</f>
        <v/>
      </c>
    </row>
    <row r="3626">
      <c r="A3626" s="2" t="n">
        <v>46095</v>
      </c>
      <c r="B3626" t="n">
        <v>2026</v>
      </c>
      <c r="C3626" t="inlineStr">
        <is>
          <t>March</t>
        </is>
      </c>
      <c r="D3626" t="inlineStr">
        <is>
          <t>Premium Water Bottle</t>
        </is>
      </c>
      <c r="E3626" t="inlineStr">
        <is>
          <t>Sports &amp; Outdoors</t>
        </is>
      </c>
      <c r="F3626" t="inlineStr">
        <is>
          <t>Peter Conti</t>
        </is>
      </c>
      <c r="G3626" t="inlineStr">
        <is>
          <t>Spain</t>
        </is>
      </c>
      <c r="H3626" t="inlineStr">
        <is>
          <t>Retail Store</t>
        </is>
      </c>
      <c r="I3626" t="n">
        <v>5</v>
      </c>
      <c r="J3626" s="3" t="n">
        <v>143.15</v>
      </c>
      <c r="K3626" s="3" t="n">
        <v>28.63</v>
      </c>
      <c r="L3626" s="3" t="n">
        <v>114.52</v>
      </c>
      <c r="M3626" s="3" t="n">
        <v>83.15000000000001</v>
      </c>
      <c r="N3626" s="3" t="n">
        <v>31.37</v>
      </c>
      <c r="O3626">
        <f>TEXT(A3626,"yyyy-mm")</f>
        <v/>
      </c>
    </row>
    <row r="3627">
      <c r="A3627" s="2" t="n">
        <v>46095</v>
      </c>
      <c r="B3627" t="n">
        <v>2026</v>
      </c>
      <c r="C3627" t="inlineStr">
        <is>
          <t>March</t>
        </is>
      </c>
      <c r="D3627" t="inlineStr">
        <is>
          <t>Classic Atlas</t>
        </is>
      </c>
      <c r="E3627" t="inlineStr">
        <is>
          <t>Books</t>
        </is>
      </c>
      <c r="F3627" t="inlineStr">
        <is>
          <t>Peter Conti</t>
        </is>
      </c>
      <c r="G3627" t="inlineStr">
        <is>
          <t>Spain</t>
        </is>
      </c>
      <c r="H3627" t="inlineStr">
        <is>
          <t>Retail Store</t>
        </is>
      </c>
      <c r="I3627" t="n">
        <v>1</v>
      </c>
      <c r="J3627" s="3" t="n">
        <v>59.71</v>
      </c>
      <c r="K3627" s="3" t="n">
        <v>0</v>
      </c>
      <c r="L3627" s="3" t="n">
        <v>59.71</v>
      </c>
      <c r="M3627" s="3" t="n">
        <v>34.59</v>
      </c>
      <c r="N3627" s="3" t="n">
        <v>25.12</v>
      </c>
      <c r="O3627">
        <f>TEXT(A3627,"yyyy-mm")</f>
        <v/>
      </c>
    </row>
    <row r="3628">
      <c r="A3628" s="2" t="n">
        <v>46095</v>
      </c>
      <c r="B3628" t="n">
        <v>2026</v>
      </c>
      <c r="C3628" t="inlineStr">
        <is>
          <t>March</t>
        </is>
      </c>
      <c r="D3628" t="inlineStr">
        <is>
          <t>Compact Pasta</t>
        </is>
      </c>
      <c r="E3628" t="inlineStr">
        <is>
          <t>Grocery</t>
        </is>
      </c>
      <c r="F3628" t="inlineStr">
        <is>
          <t>Olivia Wojcik</t>
        </is>
      </c>
      <c r="G3628" t="inlineStr">
        <is>
          <t>France</t>
        </is>
      </c>
      <c r="H3628" t="inlineStr">
        <is>
          <t>Web Store</t>
        </is>
      </c>
      <c r="I3628" t="n">
        <v>1</v>
      </c>
      <c r="J3628" s="3" t="n">
        <v>324.57</v>
      </c>
      <c r="K3628" s="3" t="n">
        <v>0</v>
      </c>
      <c r="L3628" s="3" t="n">
        <v>324.57</v>
      </c>
      <c r="M3628" s="3" t="n">
        <v>199.4</v>
      </c>
      <c r="N3628" s="3" t="n">
        <v>125.17</v>
      </c>
      <c r="O3628">
        <f>TEXT(A3628,"yyyy-mm")</f>
        <v/>
      </c>
    </row>
    <row r="3629">
      <c r="A3629" s="2" t="n">
        <v>46095</v>
      </c>
      <c r="B3629" t="n">
        <v>2026</v>
      </c>
      <c r="C3629" t="inlineStr">
        <is>
          <t>March</t>
        </is>
      </c>
      <c r="D3629" t="inlineStr">
        <is>
          <t>Portable Bike Helmet</t>
        </is>
      </c>
      <c r="E3629" t="inlineStr">
        <is>
          <t>Sports &amp; Outdoors</t>
        </is>
      </c>
      <c r="F3629" t="inlineStr">
        <is>
          <t>Olivia Bianchi</t>
        </is>
      </c>
      <c r="G3629" t="inlineStr">
        <is>
          <t>Poland</t>
        </is>
      </c>
      <c r="H3629" t="inlineStr">
        <is>
          <t>Retail Store</t>
        </is>
      </c>
      <c r="I3629" t="n">
        <v>4</v>
      </c>
      <c r="J3629" s="3" t="n">
        <v>1256.2</v>
      </c>
      <c r="K3629" s="3" t="n">
        <v>0</v>
      </c>
      <c r="L3629" s="3" t="n">
        <v>1256.2</v>
      </c>
      <c r="M3629" s="3" t="n">
        <v>661.48</v>
      </c>
      <c r="N3629" s="3" t="n">
        <v>594.72</v>
      </c>
      <c r="O3629">
        <f>TEXT(A3629,"yyyy-mm")</f>
        <v/>
      </c>
    </row>
    <row r="3630">
      <c r="A3630" s="2" t="n">
        <v>46095</v>
      </c>
      <c r="B3630" t="n">
        <v>2026</v>
      </c>
      <c r="C3630" t="inlineStr">
        <is>
          <t>March</t>
        </is>
      </c>
      <c r="D3630" t="inlineStr">
        <is>
          <t>Eco Drone</t>
        </is>
      </c>
      <c r="E3630" t="inlineStr">
        <is>
          <t>Toys &amp; Games</t>
        </is>
      </c>
      <c r="F3630" t="inlineStr">
        <is>
          <t>Olivia Bianchi</t>
        </is>
      </c>
      <c r="G3630" t="inlineStr">
        <is>
          <t>Poland</t>
        </is>
      </c>
      <c r="H3630" t="inlineStr">
        <is>
          <t>Retail Store</t>
        </is>
      </c>
      <c r="I3630" t="n">
        <v>5</v>
      </c>
      <c r="J3630" s="3" t="n">
        <v>1037.2</v>
      </c>
      <c r="K3630" s="3" t="n">
        <v>0</v>
      </c>
      <c r="L3630" s="3" t="n">
        <v>1037.2</v>
      </c>
      <c r="M3630" s="3" t="n">
        <v>647.95</v>
      </c>
      <c r="N3630" s="3" t="n">
        <v>389.25</v>
      </c>
      <c r="O3630">
        <f>TEXT(A3630,"yyyy-mm")</f>
        <v/>
      </c>
    </row>
    <row r="3631">
      <c r="A3631" s="2" t="n">
        <v>46095</v>
      </c>
      <c r="B3631" t="n">
        <v>2026</v>
      </c>
      <c r="C3631" t="inlineStr">
        <is>
          <t>March</t>
        </is>
      </c>
      <c r="D3631" t="inlineStr">
        <is>
          <t>Essential Lamp</t>
        </is>
      </c>
      <c r="E3631" t="inlineStr">
        <is>
          <t>Home &amp; Garden</t>
        </is>
      </c>
      <c r="F3631" t="inlineStr">
        <is>
          <t>Peter Conti</t>
        </is>
      </c>
      <c r="G3631" t="inlineStr">
        <is>
          <t>Spain</t>
        </is>
      </c>
      <c r="H3631" t="inlineStr">
        <is>
          <t>Retail Store</t>
        </is>
      </c>
      <c r="I3631" t="n">
        <v>2</v>
      </c>
      <c r="J3631" s="3" t="n">
        <v>130.08</v>
      </c>
      <c r="K3631" s="3" t="n">
        <v>19.51</v>
      </c>
      <c r="L3631" s="3" t="n">
        <v>110.57</v>
      </c>
      <c r="M3631" s="3" t="n">
        <v>90.8</v>
      </c>
      <c r="N3631" s="3" t="n">
        <v>19.77</v>
      </c>
      <c r="O3631">
        <f>TEXT(A3631,"yyyy-mm")</f>
        <v/>
      </c>
    </row>
    <row r="3632">
      <c r="A3632" s="2" t="n">
        <v>46096</v>
      </c>
      <c r="B3632" t="n">
        <v>2026</v>
      </c>
      <c r="C3632" t="inlineStr">
        <is>
          <t>March</t>
        </is>
      </c>
      <c r="D3632" t="inlineStr">
        <is>
          <t>Deluxe Notebook</t>
        </is>
      </c>
      <c r="E3632" t="inlineStr">
        <is>
          <t>Books</t>
        </is>
      </c>
      <c r="F3632" t="inlineStr">
        <is>
          <t>Mark Lopez</t>
        </is>
      </c>
      <c r="G3632" t="inlineStr">
        <is>
          <t>Italy</t>
        </is>
      </c>
      <c r="H3632" t="inlineStr">
        <is>
          <t>Retail Store</t>
        </is>
      </c>
      <c r="I3632" t="n">
        <v>1</v>
      </c>
      <c r="J3632" s="3" t="n">
        <v>213.73</v>
      </c>
      <c r="K3632" s="3" t="n">
        <v>0</v>
      </c>
      <c r="L3632" s="3" t="n">
        <v>213.73</v>
      </c>
      <c r="M3632" s="3" t="n">
        <v>150.76</v>
      </c>
      <c r="N3632" s="3" t="n">
        <v>62.97</v>
      </c>
      <c r="O3632">
        <f>TEXT(A3632,"yyyy-mm")</f>
        <v/>
      </c>
    </row>
    <row r="3633">
      <c r="A3633" s="2" t="n">
        <v>46096</v>
      </c>
      <c r="B3633" t="n">
        <v>2026</v>
      </c>
      <c r="C3633" t="inlineStr">
        <is>
          <t>March</t>
        </is>
      </c>
      <c r="D3633" t="inlineStr">
        <is>
          <t>Premium Tent</t>
        </is>
      </c>
      <c r="E3633" t="inlineStr">
        <is>
          <t>Sports &amp; Outdoors</t>
        </is>
      </c>
      <c r="F3633" t="inlineStr">
        <is>
          <t>Mark Lopez</t>
        </is>
      </c>
      <c r="G3633" t="inlineStr">
        <is>
          <t>Italy</t>
        </is>
      </c>
      <c r="H3633" t="inlineStr">
        <is>
          <t>Retail Store</t>
        </is>
      </c>
      <c r="I3633" t="n">
        <v>3</v>
      </c>
      <c r="J3633" s="3" t="n">
        <v>751.5</v>
      </c>
      <c r="K3633" s="3" t="n">
        <v>0</v>
      </c>
      <c r="L3633" s="3" t="n">
        <v>751.5</v>
      </c>
      <c r="M3633" s="3" t="n">
        <v>417.12</v>
      </c>
      <c r="N3633" s="3" t="n">
        <v>334.38</v>
      </c>
      <c r="O3633">
        <f>TEXT(A3633,"yyyy-mm")</f>
        <v/>
      </c>
    </row>
    <row r="3634">
      <c r="A3634" s="2" t="n">
        <v>46096</v>
      </c>
      <c r="B3634" t="n">
        <v>2026</v>
      </c>
      <c r="C3634" t="inlineStr">
        <is>
          <t>March</t>
        </is>
      </c>
      <c r="D3634" t="inlineStr">
        <is>
          <t>Compact Pasta</t>
        </is>
      </c>
      <c r="E3634" t="inlineStr">
        <is>
          <t>Grocery</t>
        </is>
      </c>
      <c r="F3634" t="inlineStr">
        <is>
          <t>David Wojcik</t>
        </is>
      </c>
      <c r="G3634" t="inlineStr">
        <is>
          <t>Germany</t>
        </is>
      </c>
      <c r="H3634" t="inlineStr">
        <is>
          <t>Marketplace</t>
        </is>
      </c>
      <c r="I3634" t="n">
        <v>2</v>
      </c>
      <c r="J3634" s="3" t="n">
        <v>635.9</v>
      </c>
      <c r="K3634" s="3" t="n">
        <v>31.8</v>
      </c>
      <c r="L3634" s="3" t="n">
        <v>604.1</v>
      </c>
      <c r="M3634" s="3" t="n">
        <v>398.8</v>
      </c>
      <c r="N3634" s="3" t="n">
        <v>205.3</v>
      </c>
      <c r="O3634">
        <f>TEXT(A3634,"yyyy-mm")</f>
        <v/>
      </c>
    </row>
    <row r="3635">
      <c r="A3635" s="2" t="n">
        <v>46096</v>
      </c>
      <c r="B3635" t="n">
        <v>2026</v>
      </c>
      <c r="C3635" t="inlineStr">
        <is>
          <t>March</t>
        </is>
      </c>
      <c r="D3635" t="inlineStr">
        <is>
          <t>Compact Biography</t>
        </is>
      </c>
      <c r="E3635" t="inlineStr">
        <is>
          <t>Books</t>
        </is>
      </c>
      <c r="F3635" t="inlineStr">
        <is>
          <t>David Wojcik</t>
        </is>
      </c>
      <c r="G3635" t="inlineStr">
        <is>
          <t>Germany</t>
        </is>
      </c>
      <c r="H3635" t="inlineStr">
        <is>
          <t>Marketplace</t>
        </is>
      </c>
      <c r="I3635" t="n">
        <v>2</v>
      </c>
      <c r="J3635" s="3" t="n">
        <v>509.82</v>
      </c>
      <c r="K3635" s="3" t="n">
        <v>76.47</v>
      </c>
      <c r="L3635" s="3" t="n">
        <v>433.35</v>
      </c>
      <c r="M3635" s="3" t="n">
        <v>280.66</v>
      </c>
      <c r="N3635" s="3" t="n">
        <v>152.69</v>
      </c>
      <c r="O3635">
        <f>TEXT(A3635,"yyyy-mm")</f>
        <v/>
      </c>
    </row>
    <row r="3636">
      <c r="A3636" s="2" t="n">
        <v>46097</v>
      </c>
      <c r="B3636" t="n">
        <v>2026</v>
      </c>
      <c r="C3636" t="inlineStr">
        <is>
          <t>March</t>
        </is>
      </c>
      <c r="D3636" t="inlineStr">
        <is>
          <t>Portable Tea Set</t>
        </is>
      </c>
      <c r="E3636" t="inlineStr">
        <is>
          <t>Grocery</t>
        </is>
      </c>
      <c r="F3636" t="inlineStr">
        <is>
          <t>Mark Wojcik</t>
        </is>
      </c>
      <c r="G3636" t="inlineStr">
        <is>
          <t>United States</t>
        </is>
      </c>
      <c r="H3636" t="inlineStr">
        <is>
          <t>Web Store</t>
        </is>
      </c>
      <c r="I3636" t="n">
        <v>2</v>
      </c>
      <c r="J3636" s="3" t="n">
        <v>533.74</v>
      </c>
      <c r="K3636" s="3" t="n">
        <v>106.75</v>
      </c>
      <c r="L3636" s="3" t="n">
        <v>426.99</v>
      </c>
      <c r="M3636" s="3" t="n">
        <v>376.24</v>
      </c>
      <c r="N3636" s="3" t="n">
        <v>50.75</v>
      </c>
      <c r="O3636">
        <f>TEXT(A3636,"yyyy-mm")</f>
        <v/>
      </c>
    </row>
    <row r="3637">
      <c r="A3637" s="2" t="n">
        <v>46097</v>
      </c>
      <c r="B3637" t="n">
        <v>2026</v>
      </c>
      <c r="C3637" t="inlineStr">
        <is>
          <t>March</t>
        </is>
      </c>
      <c r="D3637" t="inlineStr">
        <is>
          <t>Wireless Drone</t>
        </is>
      </c>
      <c r="E3637" t="inlineStr">
        <is>
          <t>Toys &amp; Games</t>
        </is>
      </c>
      <c r="F3637" t="inlineStr">
        <is>
          <t>Mark Wojcik</t>
        </is>
      </c>
      <c r="G3637" t="inlineStr">
        <is>
          <t>United States</t>
        </is>
      </c>
      <c r="H3637" t="inlineStr">
        <is>
          <t>Web Store</t>
        </is>
      </c>
      <c r="I3637" t="n">
        <v>5</v>
      </c>
      <c r="J3637" s="3" t="n">
        <v>1097.25</v>
      </c>
      <c r="K3637" s="3" t="n">
        <v>164.59</v>
      </c>
      <c r="L3637" s="3" t="n">
        <v>932.66</v>
      </c>
      <c r="M3637" s="3" t="n">
        <v>656.45</v>
      </c>
      <c r="N3637" s="3" t="n">
        <v>276.21</v>
      </c>
      <c r="O3637">
        <f>TEXT(A3637,"yyyy-mm")</f>
        <v/>
      </c>
    </row>
    <row r="3638">
      <c r="A3638" s="2" t="n">
        <v>46097</v>
      </c>
      <c r="B3638" t="n">
        <v>2026</v>
      </c>
      <c r="C3638" t="inlineStr">
        <is>
          <t>March</t>
        </is>
      </c>
      <c r="D3638" t="inlineStr">
        <is>
          <t>Smart Tea Set</t>
        </is>
      </c>
      <c r="E3638" t="inlineStr">
        <is>
          <t>Grocery</t>
        </is>
      </c>
      <c r="F3638" t="inlineStr">
        <is>
          <t>Robert Brown</t>
        </is>
      </c>
      <c r="G3638" t="inlineStr">
        <is>
          <t>United Kingdom</t>
        </is>
      </c>
      <c r="H3638" t="inlineStr">
        <is>
          <t>Web Store</t>
        </is>
      </c>
      <c r="I3638" t="n">
        <v>4</v>
      </c>
      <c r="J3638" s="3" t="n">
        <v>358.28</v>
      </c>
      <c r="K3638" s="3" t="n">
        <v>35.83</v>
      </c>
      <c r="L3638" s="3" t="n">
        <v>322.45</v>
      </c>
      <c r="M3638" s="3" t="n">
        <v>247.2</v>
      </c>
      <c r="N3638" s="3" t="n">
        <v>75.25</v>
      </c>
      <c r="O3638">
        <f>TEXT(A3638,"yyyy-mm")</f>
        <v/>
      </c>
    </row>
    <row r="3639">
      <c r="A3639" s="2" t="n">
        <v>46097</v>
      </c>
      <c r="B3639" t="n">
        <v>2026</v>
      </c>
      <c r="C3639" t="inlineStr">
        <is>
          <t>March</t>
        </is>
      </c>
      <c r="D3639" t="inlineStr">
        <is>
          <t>Ultra Vitamins</t>
        </is>
      </c>
      <c r="E3639" t="inlineStr">
        <is>
          <t>Beauty &amp; Health</t>
        </is>
      </c>
      <c r="F3639" t="inlineStr">
        <is>
          <t>Robert Brown</t>
        </is>
      </c>
      <c r="G3639" t="inlineStr">
        <is>
          <t>United Kingdom</t>
        </is>
      </c>
      <c r="H3639" t="inlineStr">
        <is>
          <t>Web Store</t>
        </is>
      </c>
      <c r="I3639" t="n">
        <v>4</v>
      </c>
      <c r="J3639" s="3" t="n">
        <v>873.84</v>
      </c>
      <c r="K3639" s="3" t="n">
        <v>174.77</v>
      </c>
      <c r="L3639" s="3" t="n">
        <v>699.0700000000001</v>
      </c>
      <c r="M3639" s="3" t="n">
        <v>504.4</v>
      </c>
      <c r="N3639" s="3" t="n">
        <v>194.67</v>
      </c>
      <c r="O3639">
        <f>TEXT(A3639,"yyyy-mm")</f>
        <v/>
      </c>
    </row>
    <row r="3640">
      <c r="A3640" s="2" t="n">
        <v>46097</v>
      </c>
      <c r="B3640" t="n">
        <v>2026</v>
      </c>
      <c r="C3640" t="inlineStr">
        <is>
          <t>March</t>
        </is>
      </c>
      <c r="D3640" t="inlineStr">
        <is>
          <t>Wireless Coffee Beans</t>
        </is>
      </c>
      <c r="E3640" t="inlineStr">
        <is>
          <t>Grocery</t>
        </is>
      </c>
      <c r="F3640" t="inlineStr">
        <is>
          <t>Robert Brown</t>
        </is>
      </c>
      <c r="G3640" t="inlineStr">
        <is>
          <t>United Kingdom</t>
        </is>
      </c>
      <c r="H3640" t="inlineStr">
        <is>
          <t>Web Store</t>
        </is>
      </c>
      <c r="I3640" t="n">
        <v>4</v>
      </c>
      <c r="J3640" s="3" t="n">
        <v>479.92</v>
      </c>
      <c r="K3640" s="3" t="n">
        <v>71.98999999999999</v>
      </c>
      <c r="L3640" s="3" t="n">
        <v>407.93</v>
      </c>
      <c r="M3640" s="3" t="n">
        <v>317.48</v>
      </c>
      <c r="N3640" s="3" t="n">
        <v>90.45</v>
      </c>
      <c r="O3640">
        <f>TEXT(A3640,"yyyy-mm")</f>
        <v/>
      </c>
    </row>
    <row r="3641">
      <c r="A3641" s="2" t="n">
        <v>46097</v>
      </c>
      <c r="B3641" t="n">
        <v>2026</v>
      </c>
      <c r="C3641" t="inlineStr">
        <is>
          <t>March</t>
        </is>
      </c>
      <c r="D3641" t="inlineStr">
        <is>
          <t>Eco Drone</t>
        </is>
      </c>
      <c r="E3641" t="inlineStr">
        <is>
          <t>Toys &amp; Games</t>
        </is>
      </c>
      <c r="F3641" t="inlineStr">
        <is>
          <t>Daniel Wilson</t>
        </is>
      </c>
      <c r="G3641" t="inlineStr">
        <is>
          <t>Italy</t>
        </is>
      </c>
      <c r="H3641" t="inlineStr">
        <is>
          <t>Retail Store</t>
        </is>
      </c>
      <c r="I3641" t="n">
        <v>4</v>
      </c>
      <c r="J3641" s="3" t="n">
        <v>845.8</v>
      </c>
      <c r="K3641" s="3" t="n">
        <v>126.87</v>
      </c>
      <c r="L3641" s="3" t="n">
        <v>718.9299999999999</v>
      </c>
      <c r="M3641" s="3" t="n">
        <v>518.36</v>
      </c>
      <c r="N3641" s="3" t="n">
        <v>200.57</v>
      </c>
      <c r="O3641">
        <f>TEXT(A3641,"yyyy-mm")</f>
        <v/>
      </c>
    </row>
    <row r="3642">
      <c r="A3642" s="2" t="n">
        <v>46097</v>
      </c>
      <c r="B3642" t="n">
        <v>2026</v>
      </c>
      <c r="C3642" t="inlineStr">
        <is>
          <t>March</t>
        </is>
      </c>
      <c r="D3642" t="inlineStr">
        <is>
          <t>Smart Face Cream</t>
        </is>
      </c>
      <c r="E3642" t="inlineStr">
        <is>
          <t>Beauty &amp; Health</t>
        </is>
      </c>
      <c r="F3642" t="inlineStr">
        <is>
          <t>Daniel Wilson</t>
        </is>
      </c>
      <c r="G3642" t="inlineStr">
        <is>
          <t>Italy</t>
        </is>
      </c>
      <c r="H3642" t="inlineStr">
        <is>
          <t>Retail Store</t>
        </is>
      </c>
      <c r="I3642" t="n">
        <v>3</v>
      </c>
      <c r="J3642" s="3" t="n">
        <v>802.23</v>
      </c>
      <c r="K3642" s="3" t="n">
        <v>0</v>
      </c>
      <c r="L3642" s="3" t="n">
        <v>802.23</v>
      </c>
      <c r="M3642" s="3" t="n">
        <v>579.42</v>
      </c>
      <c r="N3642" s="3" t="n">
        <v>222.81</v>
      </c>
      <c r="O3642">
        <f>TEXT(A3642,"yyyy-mm")</f>
        <v/>
      </c>
    </row>
    <row r="3643">
      <c r="A3643" s="2" t="n">
        <v>46097</v>
      </c>
      <c r="B3643" t="n">
        <v>2026</v>
      </c>
      <c r="C3643" t="inlineStr">
        <is>
          <t>March</t>
        </is>
      </c>
      <c r="D3643" t="inlineStr">
        <is>
          <t>Ultra Toolset</t>
        </is>
      </c>
      <c r="E3643" t="inlineStr">
        <is>
          <t>Home &amp; Garden</t>
        </is>
      </c>
      <c r="F3643" t="inlineStr">
        <is>
          <t>Daniel Wilson</t>
        </is>
      </c>
      <c r="G3643" t="inlineStr">
        <is>
          <t>Italy</t>
        </is>
      </c>
      <c r="H3643" t="inlineStr">
        <is>
          <t>Retail Store</t>
        </is>
      </c>
      <c r="I3643" t="n">
        <v>2</v>
      </c>
      <c r="J3643" s="3" t="n">
        <v>708.24</v>
      </c>
      <c r="K3643" s="3" t="n">
        <v>106.24</v>
      </c>
      <c r="L3643" s="3" t="n">
        <v>602</v>
      </c>
      <c r="M3643" s="3" t="n">
        <v>380.8</v>
      </c>
      <c r="N3643" s="3" t="n">
        <v>221.2</v>
      </c>
      <c r="O3643">
        <f>TEXT(A3643,"yyyy-mm")</f>
        <v/>
      </c>
    </row>
    <row r="3644">
      <c r="A3644" s="2" t="n">
        <v>46097</v>
      </c>
      <c r="B3644" t="n">
        <v>2026</v>
      </c>
      <c r="C3644" t="inlineStr">
        <is>
          <t>March</t>
        </is>
      </c>
      <c r="D3644" t="inlineStr">
        <is>
          <t>Deluxe Cookbook</t>
        </is>
      </c>
      <c r="E3644" t="inlineStr">
        <is>
          <t>Books</t>
        </is>
      </c>
      <c r="F3644" t="inlineStr">
        <is>
          <t>Robert Dubois</t>
        </is>
      </c>
      <c r="G3644" t="inlineStr">
        <is>
          <t>France</t>
        </is>
      </c>
      <c r="H3644" t="inlineStr">
        <is>
          <t>Marketplace</t>
        </is>
      </c>
      <c r="I3644" t="n">
        <v>5</v>
      </c>
      <c r="J3644" s="3" t="n">
        <v>691</v>
      </c>
      <c r="K3644" s="3" t="n">
        <v>69.09999999999999</v>
      </c>
      <c r="L3644" s="3" t="n">
        <v>621.9</v>
      </c>
      <c r="M3644" s="3" t="n">
        <v>426.35</v>
      </c>
      <c r="N3644" s="3" t="n">
        <v>195.55</v>
      </c>
      <c r="O3644">
        <f>TEXT(A3644,"yyyy-mm")</f>
        <v/>
      </c>
    </row>
    <row r="3645">
      <c r="A3645" s="2" t="n">
        <v>46097</v>
      </c>
      <c r="B3645" t="n">
        <v>2026</v>
      </c>
      <c r="C3645" t="inlineStr">
        <is>
          <t>March</t>
        </is>
      </c>
      <c r="D3645" t="inlineStr">
        <is>
          <t>Essential Charger</t>
        </is>
      </c>
      <c r="E3645" t="inlineStr">
        <is>
          <t>Electronics</t>
        </is>
      </c>
      <c r="F3645" t="inlineStr">
        <is>
          <t>Nina Weber</t>
        </is>
      </c>
      <c r="G3645" t="inlineStr">
        <is>
          <t>Italy</t>
        </is>
      </c>
      <c r="H3645" t="inlineStr">
        <is>
          <t>Mobile App</t>
        </is>
      </c>
      <c r="I3645" t="n">
        <v>1</v>
      </c>
      <c r="J3645" s="3" t="n">
        <v>44.97</v>
      </c>
      <c r="K3645" s="3" t="n">
        <v>4.5</v>
      </c>
      <c r="L3645" s="3" t="n">
        <v>40.47</v>
      </c>
      <c r="M3645" s="3" t="n">
        <v>29.1</v>
      </c>
      <c r="N3645" s="3" t="n">
        <v>11.37</v>
      </c>
      <c r="O3645">
        <f>TEXT(A3645,"yyyy-mm")</f>
        <v/>
      </c>
    </row>
    <row r="3646">
      <c r="A3646" s="2" t="n">
        <v>46097</v>
      </c>
      <c r="B3646" t="n">
        <v>2026</v>
      </c>
      <c r="C3646" t="inlineStr">
        <is>
          <t>March</t>
        </is>
      </c>
      <c r="D3646" t="inlineStr">
        <is>
          <t>Smart Board Game</t>
        </is>
      </c>
      <c r="E3646" t="inlineStr">
        <is>
          <t>Toys &amp; Games</t>
        </is>
      </c>
      <c r="F3646" t="inlineStr">
        <is>
          <t>Nina Weber</t>
        </is>
      </c>
      <c r="G3646" t="inlineStr">
        <is>
          <t>Italy</t>
        </is>
      </c>
      <c r="H3646" t="inlineStr">
        <is>
          <t>Mobile App</t>
        </is>
      </c>
      <c r="I3646" t="n">
        <v>2</v>
      </c>
      <c r="J3646" s="3" t="n">
        <v>255.68</v>
      </c>
      <c r="K3646" s="3" t="n">
        <v>51.14</v>
      </c>
      <c r="L3646" s="3" t="n">
        <v>204.54</v>
      </c>
      <c r="M3646" s="3" t="n">
        <v>183.44</v>
      </c>
      <c r="N3646" s="3" t="n">
        <v>21.1</v>
      </c>
      <c r="O3646">
        <f>TEXT(A3646,"yyyy-mm")</f>
        <v/>
      </c>
    </row>
    <row r="3647">
      <c r="A3647" s="2" t="n">
        <v>46097</v>
      </c>
      <c r="B3647" t="n">
        <v>2026</v>
      </c>
      <c r="C3647" t="inlineStr">
        <is>
          <t>March</t>
        </is>
      </c>
      <c r="D3647" t="inlineStr">
        <is>
          <t>Premium Water Bottle</t>
        </is>
      </c>
      <c r="E3647" t="inlineStr">
        <is>
          <t>Sports &amp; Outdoors</t>
        </is>
      </c>
      <c r="F3647" t="inlineStr">
        <is>
          <t>Maria Bianchi</t>
        </is>
      </c>
      <c r="G3647" t="inlineStr">
        <is>
          <t>France</t>
        </is>
      </c>
      <c r="H3647" t="inlineStr">
        <is>
          <t>Retail Store</t>
        </is>
      </c>
      <c r="I3647" t="n">
        <v>2</v>
      </c>
      <c r="J3647" s="3" t="n">
        <v>56.5</v>
      </c>
      <c r="K3647" s="3" t="n">
        <v>0</v>
      </c>
      <c r="L3647" s="3" t="n">
        <v>56.5</v>
      </c>
      <c r="M3647" s="3" t="n">
        <v>33.26</v>
      </c>
      <c r="N3647" s="3" t="n">
        <v>23.24</v>
      </c>
      <c r="O3647">
        <f>TEXT(A3647,"yyyy-mm")</f>
        <v/>
      </c>
    </row>
    <row r="3648">
      <c r="A3648" s="2" t="n">
        <v>46097</v>
      </c>
      <c r="B3648" t="n">
        <v>2026</v>
      </c>
      <c r="C3648" t="inlineStr">
        <is>
          <t>March</t>
        </is>
      </c>
      <c r="D3648" t="inlineStr">
        <is>
          <t>Portable Toolset</t>
        </is>
      </c>
      <c r="E3648" t="inlineStr">
        <is>
          <t>Home &amp; Garden</t>
        </is>
      </c>
      <c r="F3648" t="inlineStr">
        <is>
          <t>Maria Bianchi</t>
        </is>
      </c>
      <c r="G3648" t="inlineStr">
        <is>
          <t>France</t>
        </is>
      </c>
      <c r="H3648" t="inlineStr">
        <is>
          <t>Retail Store</t>
        </is>
      </c>
      <c r="I3648" t="n">
        <v>3</v>
      </c>
      <c r="J3648" s="3" t="n">
        <v>417.6</v>
      </c>
      <c r="K3648" s="3" t="n">
        <v>0</v>
      </c>
      <c r="L3648" s="3" t="n">
        <v>417.6</v>
      </c>
      <c r="M3648" s="3" t="n">
        <v>278.55</v>
      </c>
      <c r="N3648" s="3" t="n">
        <v>139.05</v>
      </c>
      <c r="O3648">
        <f>TEXT(A3648,"yyyy-mm")</f>
        <v/>
      </c>
    </row>
    <row r="3649">
      <c r="A3649" s="2" t="n">
        <v>46097</v>
      </c>
      <c r="B3649" t="n">
        <v>2026</v>
      </c>
      <c r="C3649" t="inlineStr">
        <is>
          <t>March</t>
        </is>
      </c>
      <c r="D3649" t="inlineStr">
        <is>
          <t>Ultra Vitamins</t>
        </is>
      </c>
      <c r="E3649" t="inlineStr">
        <is>
          <t>Beauty &amp; Health</t>
        </is>
      </c>
      <c r="F3649" t="inlineStr">
        <is>
          <t>Maria Bianchi</t>
        </is>
      </c>
      <c r="G3649" t="inlineStr">
        <is>
          <t>France</t>
        </is>
      </c>
      <c r="H3649" t="inlineStr">
        <is>
          <t>Retail Store</t>
        </is>
      </c>
      <c r="I3649" t="n">
        <v>1</v>
      </c>
      <c r="J3649" s="3" t="n">
        <v>210.97</v>
      </c>
      <c r="K3649" s="3" t="n">
        <v>10.55</v>
      </c>
      <c r="L3649" s="3" t="n">
        <v>200.42</v>
      </c>
      <c r="M3649" s="3" t="n">
        <v>126.1</v>
      </c>
      <c r="N3649" s="3" t="n">
        <v>74.31999999999999</v>
      </c>
      <c r="O3649">
        <f>TEXT(A3649,"yyyy-mm")</f>
        <v/>
      </c>
    </row>
    <row r="3650">
      <c r="A3650" s="2" t="n">
        <v>46097</v>
      </c>
      <c r="B3650" t="n">
        <v>2026</v>
      </c>
      <c r="C3650" t="inlineStr">
        <is>
          <t>March</t>
        </is>
      </c>
      <c r="D3650" t="inlineStr">
        <is>
          <t>Wireless Coffee Beans</t>
        </is>
      </c>
      <c r="E3650" t="inlineStr">
        <is>
          <t>Grocery</t>
        </is>
      </c>
      <c r="F3650" t="inlineStr">
        <is>
          <t>Nina Weber</t>
        </is>
      </c>
      <c r="G3650" t="inlineStr">
        <is>
          <t>Italy</t>
        </is>
      </c>
      <c r="H3650" t="inlineStr">
        <is>
          <t>Mobile App</t>
        </is>
      </c>
      <c r="I3650" t="n">
        <v>4</v>
      </c>
      <c r="J3650" s="3" t="n">
        <v>897.6</v>
      </c>
      <c r="K3650" s="3" t="n">
        <v>179.52</v>
      </c>
      <c r="L3650" s="3" t="n">
        <v>718.08</v>
      </c>
      <c r="M3650" s="3" t="n">
        <v>520.52</v>
      </c>
      <c r="N3650" s="3" t="n">
        <v>197.56</v>
      </c>
      <c r="O3650">
        <f>TEXT(A3650,"yyyy-mm")</f>
        <v/>
      </c>
    </row>
    <row r="3651">
      <c r="A3651" s="2" t="n">
        <v>46097</v>
      </c>
      <c r="B3651" t="n">
        <v>2026</v>
      </c>
      <c r="C3651" t="inlineStr">
        <is>
          <t>March</t>
        </is>
      </c>
      <c r="D3651" t="inlineStr">
        <is>
          <t>Premium Tent</t>
        </is>
      </c>
      <c r="E3651" t="inlineStr">
        <is>
          <t>Sports &amp; Outdoors</t>
        </is>
      </c>
      <c r="F3651" t="inlineStr">
        <is>
          <t>Daniel Wilson</t>
        </is>
      </c>
      <c r="G3651" t="inlineStr">
        <is>
          <t>Italy</t>
        </is>
      </c>
      <c r="H3651" t="inlineStr">
        <is>
          <t>Retail Store</t>
        </is>
      </c>
      <c r="I3651" t="n">
        <v>3</v>
      </c>
      <c r="J3651" s="3" t="n">
        <v>765.66</v>
      </c>
      <c r="K3651" s="3" t="n">
        <v>76.56999999999999</v>
      </c>
      <c r="L3651" s="3" t="n">
        <v>689.09</v>
      </c>
      <c r="M3651" s="3" t="n">
        <v>495.93</v>
      </c>
      <c r="N3651" s="3" t="n">
        <v>193.16</v>
      </c>
      <c r="O3651">
        <f>TEXT(A3651,"yyyy-mm")</f>
        <v/>
      </c>
    </row>
    <row r="3652">
      <c r="A3652" s="2" t="n">
        <v>46097</v>
      </c>
      <c r="B3652" t="n">
        <v>2026</v>
      </c>
      <c r="C3652" t="inlineStr">
        <is>
          <t>March</t>
        </is>
      </c>
      <c r="D3652" t="inlineStr">
        <is>
          <t>Deluxe Cookbook</t>
        </is>
      </c>
      <c r="E3652" t="inlineStr">
        <is>
          <t>Books</t>
        </is>
      </c>
      <c r="F3652" t="inlineStr">
        <is>
          <t>Nina Weber</t>
        </is>
      </c>
      <c r="G3652" t="inlineStr">
        <is>
          <t>Italy</t>
        </is>
      </c>
      <c r="H3652" t="inlineStr">
        <is>
          <t>Mobile App</t>
        </is>
      </c>
      <c r="I3652" t="n">
        <v>5</v>
      </c>
      <c r="J3652" s="3" t="n">
        <v>665.75</v>
      </c>
      <c r="K3652" s="3" t="n">
        <v>0</v>
      </c>
      <c r="L3652" s="3" t="n">
        <v>665.75</v>
      </c>
      <c r="M3652" s="3" t="n">
        <v>426.35</v>
      </c>
      <c r="N3652" s="3" t="n">
        <v>239.4</v>
      </c>
      <c r="O3652">
        <f>TEXT(A3652,"yyyy-mm")</f>
        <v/>
      </c>
    </row>
    <row r="3653">
      <c r="A3653" s="2" t="n">
        <v>46098</v>
      </c>
      <c r="B3653" t="n">
        <v>2026</v>
      </c>
      <c r="C3653" t="inlineStr">
        <is>
          <t>March</t>
        </is>
      </c>
      <c r="D3653" t="inlineStr">
        <is>
          <t>Compact Sunscreen</t>
        </is>
      </c>
      <c r="E3653" t="inlineStr">
        <is>
          <t>Beauty &amp; Health</t>
        </is>
      </c>
      <c r="F3653" t="inlineStr">
        <is>
          <t>Robert Rossi</t>
        </is>
      </c>
      <c r="G3653" t="inlineStr">
        <is>
          <t>United States</t>
        </is>
      </c>
      <c r="H3653" t="inlineStr">
        <is>
          <t>Mobile App</t>
        </is>
      </c>
      <c r="I3653" t="n">
        <v>1</v>
      </c>
      <c r="J3653" s="3" t="n">
        <v>311.2</v>
      </c>
      <c r="K3653" s="3" t="n">
        <v>31.12</v>
      </c>
      <c r="L3653" s="3" t="n">
        <v>280.08</v>
      </c>
      <c r="M3653" s="3" t="n">
        <v>177.66</v>
      </c>
      <c r="N3653" s="3" t="n">
        <v>102.42</v>
      </c>
      <c r="O3653">
        <f>TEXT(A3653,"yyyy-mm")</f>
        <v/>
      </c>
    </row>
    <row r="3654">
      <c r="A3654" s="2" t="n">
        <v>46098</v>
      </c>
      <c r="B3654" t="n">
        <v>2026</v>
      </c>
      <c r="C3654" t="inlineStr">
        <is>
          <t>March</t>
        </is>
      </c>
      <c r="D3654" t="inlineStr">
        <is>
          <t>Wireless Backpack</t>
        </is>
      </c>
      <c r="E3654" t="inlineStr">
        <is>
          <t>Sports &amp; Outdoors</t>
        </is>
      </c>
      <c r="F3654" t="inlineStr">
        <is>
          <t>Robert Rossi</t>
        </is>
      </c>
      <c r="G3654" t="inlineStr">
        <is>
          <t>United States</t>
        </is>
      </c>
      <c r="H3654" t="inlineStr">
        <is>
          <t>Mobile App</t>
        </is>
      </c>
      <c r="I3654" t="n">
        <v>2</v>
      </c>
      <c r="J3654" s="3" t="n">
        <v>95.18000000000001</v>
      </c>
      <c r="K3654" s="3" t="n">
        <v>0</v>
      </c>
      <c r="L3654" s="3" t="n">
        <v>95.18000000000001</v>
      </c>
      <c r="M3654" s="3" t="n">
        <v>56.2</v>
      </c>
      <c r="N3654" s="3" t="n">
        <v>38.98</v>
      </c>
      <c r="O3654">
        <f>TEXT(A3654,"yyyy-mm")</f>
        <v/>
      </c>
    </row>
    <row r="3655">
      <c r="A3655" s="2" t="n">
        <v>46099</v>
      </c>
      <c r="B3655" t="n">
        <v>2026</v>
      </c>
      <c r="C3655" t="inlineStr">
        <is>
          <t>March</t>
        </is>
      </c>
      <c r="D3655" t="inlineStr">
        <is>
          <t>Portable Notebook</t>
        </is>
      </c>
      <c r="E3655" t="inlineStr">
        <is>
          <t>Books</t>
        </is>
      </c>
      <c r="F3655" t="inlineStr">
        <is>
          <t>Sophie Wilson</t>
        </is>
      </c>
      <c r="G3655" t="inlineStr">
        <is>
          <t>Poland</t>
        </is>
      </c>
      <c r="H3655" t="inlineStr">
        <is>
          <t>Marketplace</t>
        </is>
      </c>
      <c r="I3655" t="n">
        <v>3</v>
      </c>
      <c r="J3655" s="3" t="n">
        <v>396.63</v>
      </c>
      <c r="K3655" s="3" t="n">
        <v>0</v>
      </c>
      <c r="L3655" s="3" t="n">
        <v>396.63</v>
      </c>
      <c r="M3655" s="3" t="n">
        <v>213.84</v>
      </c>
      <c r="N3655" s="3" t="n">
        <v>182.79</v>
      </c>
      <c r="O3655">
        <f>TEXT(A3655,"yyyy-mm")</f>
        <v/>
      </c>
    </row>
    <row r="3656">
      <c r="A3656" s="2" t="n">
        <v>46099</v>
      </c>
      <c r="B3656" t="n">
        <v>2026</v>
      </c>
      <c r="C3656" t="inlineStr">
        <is>
          <t>March</t>
        </is>
      </c>
      <c r="D3656" t="inlineStr">
        <is>
          <t>Smart Charger</t>
        </is>
      </c>
      <c r="E3656" t="inlineStr">
        <is>
          <t>Electronics</t>
        </is>
      </c>
      <c r="F3656" t="inlineStr">
        <is>
          <t>Sophie Wilson</t>
        </is>
      </c>
      <c r="G3656" t="inlineStr">
        <is>
          <t>Poland</t>
        </is>
      </c>
      <c r="H3656" t="inlineStr">
        <is>
          <t>Marketplace</t>
        </is>
      </c>
      <c r="I3656" t="n">
        <v>5</v>
      </c>
      <c r="J3656" s="3" t="n">
        <v>1246.55</v>
      </c>
      <c r="K3656" s="3" t="n">
        <v>0</v>
      </c>
      <c r="L3656" s="3" t="n">
        <v>1246.55</v>
      </c>
      <c r="M3656" s="3" t="n">
        <v>712.6</v>
      </c>
      <c r="N3656" s="3" t="n">
        <v>533.95</v>
      </c>
      <c r="O3656">
        <f>TEXT(A3656,"yyyy-mm")</f>
        <v/>
      </c>
    </row>
    <row r="3657">
      <c r="A3657" s="2" t="n">
        <v>46099</v>
      </c>
      <c r="B3657" t="n">
        <v>2026</v>
      </c>
      <c r="C3657" t="inlineStr">
        <is>
          <t>March</t>
        </is>
      </c>
      <c r="D3657" t="inlineStr">
        <is>
          <t>Eco Biography</t>
        </is>
      </c>
      <c r="E3657" t="inlineStr">
        <is>
          <t>Books</t>
        </is>
      </c>
      <c r="F3657" t="inlineStr">
        <is>
          <t>Sophie Wilson</t>
        </is>
      </c>
      <c r="G3657" t="inlineStr">
        <is>
          <t>Poland</t>
        </is>
      </c>
      <c r="H3657" t="inlineStr">
        <is>
          <t>Marketplace</t>
        </is>
      </c>
      <c r="I3657" t="n">
        <v>1</v>
      </c>
      <c r="J3657" s="3" t="n">
        <v>118.82</v>
      </c>
      <c r="K3657" s="3" t="n">
        <v>0</v>
      </c>
      <c r="L3657" s="3" t="n">
        <v>118.82</v>
      </c>
      <c r="M3657" s="3" t="n">
        <v>71.02</v>
      </c>
      <c r="N3657" s="3" t="n">
        <v>47.8</v>
      </c>
      <c r="O3657">
        <f>TEXT(A3657,"yyyy-mm")</f>
        <v/>
      </c>
    </row>
    <row r="3658">
      <c r="A3658" s="2" t="n">
        <v>46099</v>
      </c>
      <c r="B3658" t="n">
        <v>2026</v>
      </c>
      <c r="C3658" t="inlineStr">
        <is>
          <t>March</t>
        </is>
      </c>
      <c r="D3658" t="inlineStr">
        <is>
          <t>Smart Honey</t>
        </is>
      </c>
      <c r="E3658" t="inlineStr">
        <is>
          <t>Grocery</t>
        </is>
      </c>
      <c r="F3658" t="inlineStr">
        <is>
          <t>Laura Rossi</t>
        </is>
      </c>
      <c r="G3658" t="inlineStr">
        <is>
          <t>United States</t>
        </is>
      </c>
      <c r="H3658" t="inlineStr">
        <is>
          <t>Web Store</t>
        </is>
      </c>
      <c r="I3658" t="n">
        <v>5</v>
      </c>
      <c r="J3658" s="3" t="n">
        <v>692.85</v>
      </c>
      <c r="K3658" s="3" t="n">
        <v>0</v>
      </c>
      <c r="L3658" s="3" t="n">
        <v>692.85</v>
      </c>
      <c r="M3658" s="3" t="n">
        <v>357.2</v>
      </c>
      <c r="N3658" s="3" t="n">
        <v>335.65</v>
      </c>
      <c r="O3658">
        <f>TEXT(A3658,"yyyy-mm")</f>
        <v/>
      </c>
    </row>
    <row r="3659">
      <c r="A3659" s="2" t="n">
        <v>46099</v>
      </c>
      <c r="B3659" t="n">
        <v>2026</v>
      </c>
      <c r="C3659" t="inlineStr">
        <is>
          <t>March</t>
        </is>
      </c>
      <c r="D3659" t="inlineStr">
        <is>
          <t>Wireless Cookbook</t>
        </is>
      </c>
      <c r="E3659" t="inlineStr">
        <is>
          <t>Books</t>
        </is>
      </c>
      <c r="F3659" t="inlineStr">
        <is>
          <t>Sophie Wilson</t>
        </is>
      </c>
      <c r="G3659" t="inlineStr">
        <is>
          <t>Poland</t>
        </is>
      </c>
      <c r="H3659" t="inlineStr">
        <is>
          <t>Marketplace</t>
        </is>
      </c>
      <c r="I3659" t="n">
        <v>4</v>
      </c>
      <c r="J3659" s="3" t="n">
        <v>290.92</v>
      </c>
      <c r="K3659" s="3" t="n">
        <v>14.55</v>
      </c>
      <c r="L3659" s="3" t="n">
        <v>276.37</v>
      </c>
      <c r="M3659" s="3" t="n">
        <v>226.44</v>
      </c>
      <c r="N3659" s="3" t="n">
        <v>49.93</v>
      </c>
      <c r="O3659">
        <f>TEXT(A3659,"yyyy-mm")</f>
        <v/>
      </c>
    </row>
    <row r="3660">
      <c r="A3660" s="2" t="n">
        <v>46100</v>
      </c>
      <c r="B3660" t="n">
        <v>2026</v>
      </c>
      <c r="C3660" t="inlineStr">
        <is>
          <t>March</t>
        </is>
      </c>
      <c r="D3660" t="inlineStr">
        <is>
          <t>Compact Jacket</t>
        </is>
      </c>
      <c r="E3660" t="inlineStr">
        <is>
          <t>Clothing</t>
        </is>
      </c>
      <c r="F3660" t="inlineStr">
        <is>
          <t>Robert Rossi</t>
        </is>
      </c>
      <c r="G3660" t="inlineStr">
        <is>
          <t>United States</t>
        </is>
      </c>
      <c r="H3660" t="inlineStr">
        <is>
          <t>Marketplace</t>
        </is>
      </c>
      <c r="I3660" t="n">
        <v>3</v>
      </c>
      <c r="J3660" s="3" t="n">
        <v>112.74</v>
      </c>
      <c r="K3660" s="3" t="n">
        <v>11.27</v>
      </c>
      <c r="L3660" s="3" t="n">
        <v>101.47</v>
      </c>
      <c r="M3660" s="3" t="n">
        <v>61.2</v>
      </c>
      <c r="N3660" s="3" t="n">
        <v>40.27</v>
      </c>
      <c r="O3660">
        <f>TEXT(A3660,"yyyy-mm")</f>
        <v/>
      </c>
    </row>
    <row r="3661">
      <c r="A3661" s="2" t="n">
        <v>46100</v>
      </c>
      <c r="B3661" t="n">
        <v>2026</v>
      </c>
      <c r="C3661" t="inlineStr">
        <is>
          <t>March</t>
        </is>
      </c>
      <c r="D3661" t="inlineStr">
        <is>
          <t>Eco Tent</t>
        </is>
      </c>
      <c r="E3661" t="inlineStr">
        <is>
          <t>Sports &amp; Outdoors</t>
        </is>
      </c>
      <c r="F3661" t="inlineStr">
        <is>
          <t>Robert Rossi</t>
        </is>
      </c>
      <c r="G3661" t="inlineStr">
        <is>
          <t>United States</t>
        </is>
      </c>
      <c r="H3661" t="inlineStr">
        <is>
          <t>Marketplace</t>
        </is>
      </c>
      <c r="I3661" t="n">
        <v>5</v>
      </c>
      <c r="J3661" s="3" t="n">
        <v>326.05</v>
      </c>
      <c r="K3661" s="3" t="n">
        <v>65.20999999999999</v>
      </c>
      <c r="L3661" s="3" t="n">
        <v>260.84</v>
      </c>
      <c r="M3661" s="3" t="n">
        <v>219.25</v>
      </c>
      <c r="N3661" s="3" t="n">
        <v>41.59</v>
      </c>
      <c r="O3661">
        <f>TEXT(A3661,"yyyy-mm")</f>
        <v/>
      </c>
    </row>
    <row r="3662">
      <c r="A3662" s="2" t="n">
        <v>46100</v>
      </c>
      <c r="B3662" t="n">
        <v>2026</v>
      </c>
      <c r="C3662" t="inlineStr">
        <is>
          <t>March</t>
        </is>
      </c>
      <c r="D3662" t="inlineStr">
        <is>
          <t>Ultra Backpack</t>
        </is>
      </c>
      <c r="E3662" t="inlineStr">
        <is>
          <t>Sports &amp; Outdoors</t>
        </is>
      </c>
      <c r="F3662" t="inlineStr">
        <is>
          <t>Robert Rossi</t>
        </is>
      </c>
      <c r="G3662" t="inlineStr">
        <is>
          <t>United States</t>
        </is>
      </c>
      <c r="H3662" t="inlineStr">
        <is>
          <t>Marketplace</t>
        </is>
      </c>
      <c r="I3662" t="n">
        <v>5</v>
      </c>
      <c r="J3662" s="3" t="n">
        <v>1599.95</v>
      </c>
      <c r="K3662" s="3" t="n">
        <v>0</v>
      </c>
      <c r="L3662" s="3" t="n">
        <v>1599.95</v>
      </c>
      <c r="M3662" s="3" t="n">
        <v>868.45</v>
      </c>
      <c r="N3662" s="3" t="n">
        <v>731.5</v>
      </c>
      <c r="O3662">
        <f>TEXT(A3662,"yyyy-mm")</f>
        <v/>
      </c>
    </row>
    <row r="3663">
      <c r="A3663" s="2" t="n">
        <v>46100</v>
      </c>
      <c r="B3663" t="n">
        <v>2026</v>
      </c>
      <c r="C3663" t="inlineStr">
        <is>
          <t>March</t>
        </is>
      </c>
      <c r="D3663" t="inlineStr">
        <is>
          <t>Premium Cookbook</t>
        </is>
      </c>
      <c r="E3663" t="inlineStr">
        <is>
          <t>Books</t>
        </is>
      </c>
      <c r="F3663" t="inlineStr">
        <is>
          <t>Sophie Martin</t>
        </is>
      </c>
      <c r="G3663" t="inlineStr">
        <is>
          <t>Italy</t>
        </is>
      </c>
      <c r="H3663" t="inlineStr">
        <is>
          <t>Marketplace</t>
        </is>
      </c>
      <c r="I3663" t="n">
        <v>4</v>
      </c>
      <c r="J3663" s="3" t="n">
        <v>529.36</v>
      </c>
      <c r="K3663" s="3" t="n">
        <v>52.94</v>
      </c>
      <c r="L3663" s="3" t="n">
        <v>476.42</v>
      </c>
      <c r="M3663" s="3" t="n">
        <v>379.92</v>
      </c>
      <c r="N3663" s="3" t="n">
        <v>96.5</v>
      </c>
      <c r="O3663">
        <f>TEXT(A3663,"yyyy-mm")</f>
        <v/>
      </c>
    </row>
    <row r="3664">
      <c r="A3664" s="2" t="n">
        <v>46100</v>
      </c>
      <c r="B3664" t="n">
        <v>2026</v>
      </c>
      <c r="C3664" t="inlineStr">
        <is>
          <t>March</t>
        </is>
      </c>
      <c r="D3664" t="inlineStr">
        <is>
          <t>Portable Toolset</t>
        </is>
      </c>
      <c r="E3664" t="inlineStr">
        <is>
          <t>Home &amp; Garden</t>
        </is>
      </c>
      <c r="F3664" t="inlineStr">
        <is>
          <t>Sophie Martin</t>
        </is>
      </c>
      <c r="G3664" t="inlineStr">
        <is>
          <t>Italy</t>
        </is>
      </c>
      <c r="H3664" t="inlineStr">
        <is>
          <t>Marketplace</t>
        </is>
      </c>
      <c r="I3664" t="n">
        <v>4</v>
      </c>
      <c r="J3664" s="3" t="n">
        <v>354.36</v>
      </c>
      <c r="K3664" s="3" t="n">
        <v>35.44</v>
      </c>
      <c r="L3664" s="3" t="n">
        <v>318.92</v>
      </c>
      <c r="M3664" s="3" t="n">
        <v>202.16</v>
      </c>
      <c r="N3664" s="3" t="n">
        <v>116.76</v>
      </c>
      <c r="O3664">
        <f>TEXT(A3664,"yyyy-mm")</f>
        <v/>
      </c>
    </row>
    <row r="3665">
      <c r="A3665" s="2" t="n">
        <v>46100</v>
      </c>
      <c r="B3665" t="n">
        <v>2026</v>
      </c>
      <c r="C3665" t="inlineStr">
        <is>
          <t>March</t>
        </is>
      </c>
      <c r="D3665" t="inlineStr">
        <is>
          <t>Deluxe Headphones</t>
        </is>
      </c>
      <c r="E3665" t="inlineStr">
        <is>
          <t>Electronics</t>
        </is>
      </c>
      <c r="F3665" t="inlineStr">
        <is>
          <t>Sophie Martin</t>
        </is>
      </c>
      <c r="G3665" t="inlineStr">
        <is>
          <t>Italy</t>
        </is>
      </c>
      <c r="H3665" t="inlineStr">
        <is>
          <t>Marketplace</t>
        </is>
      </c>
      <c r="I3665" t="n">
        <v>4</v>
      </c>
      <c r="J3665" s="3" t="n">
        <v>274.92</v>
      </c>
      <c r="K3665" s="3" t="n">
        <v>41.24</v>
      </c>
      <c r="L3665" s="3" t="n">
        <v>233.68</v>
      </c>
      <c r="M3665" s="3" t="n">
        <v>210</v>
      </c>
      <c r="N3665" s="3" t="n">
        <v>23.68</v>
      </c>
      <c r="O3665">
        <f>TEXT(A3665,"yyyy-mm")</f>
        <v/>
      </c>
    </row>
    <row r="3666">
      <c r="A3666" s="2" t="n">
        <v>46100</v>
      </c>
      <c r="B3666" t="n">
        <v>2026</v>
      </c>
      <c r="C3666" t="inlineStr">
        <is>
          <t>March</t>
        </is>
      </c>
      <c r="D3666" t="inlineStr">
        <is>
          <t>Smart Charger</t>
        </is>
      </c>
      <c r="E3666" t="inlineStr">
        <is>
          <t>Electronics</t>
        </is>
      </c>
      <c r="F3666" t="inlineStr">
        <is>
          <t>Sophie Martin</t>
        </is>
      </c>
      <c r="G3666" t="inlineStr">
        <is>
          <t>Italy</t>
        </is>
      </c>
      <c r="H3666" t="inlineStr">
        <is>
          <t>Marketplace</t>
        </is>
      </c>
      <c r="I3666" t="n">
        <v>5</v>
      </c>
      <c r="J3666" s="3" t="n">
        <v>1287.45</v>
      </c>
      <c r="K3666" s="3" t="n">
        <v>0</v>
      </c>
      <c r="L3666" s="3" t="n">
        <v>1287.45</v>
      </c>
      <c r="M3666" s="3" t="n">
        <v>712.6</v>
      </c>
      <c r="N3666" s="3" t="n">
        <v>574.85</v>
      </c>
      <c r="O3666">
        <f>TEXT(A3666,"yyyy-mm")</f>
        <v/>
      </c>
    </row>
    <row r="3667">
      <c r="A3667" s="2" t="n">
        <v>46101</v>
      </c>
      <c r="B3667" t="n">
        <v>2026</v>
      </c>
      <c r="C3667" t="inlineStr">
        <is>
          <t>March</t>
        </is>
      </c>
      <c r="D3667" t="inlineStr">
        <is>
          <t>Wireless Backpack</t>
        </is>
      </c>
      <c r="E3667" t="inlineStr">
        <is>
          <t>Sports &amp; Outdoors</t>
        </is>
      </c>
      <c r="F3667" t="inlineStr">
        <is>
          <t>James Johnson</t>
        </is>
      </c>
      <c r="G3667" t="inlineStr">
        <is>
          <t>United Kingdom</t>
        </is>
      </c>
      <c r="H3667" t="inlineStr">
        <is>
          <t>Marketplace</t>
        </is>
      </c>
      <c r="I3667" t="n">
        <v>4</v>
      </c>
      <c r="J3667" s="3" t="n">
        <v>187.88</v>
      </c>
      <c r="K3667" s="3" t="n">
        <v>28.18</v>
      </c>
      <c r="L3667" s="3" t="n">
        <v>159.7</v>
      </c>
      <c r="M3667" s="3" t="n">
        <v>112.4</v>
      </c>
      <c r="N3667" s="3" t="n">
        <v>47.3</v>
      </c>
      <c r="O3667">
        <f>TEXT(A3667,"yyyy-mm")</f>
        <v/>
      </c>
    </row>
    <row r="3668">
      <c r="A3668" s="2" t="n">
        <v>46101</v>
      </c>
      <c r="B3668" t="n">
        <v>2026</v>
      </c>
      <c r="C3668" t="inlineStr">
        <is>
          <t>March</t>
        </is>
      </c>
      <c r="D3668" t="inlineStr">
        <is>
          <t>Deluxe Puzzle</t>
        </is>
      </c>
      <c r="E3668" t="inlineStr">
        <is>
          <t>Toys &amp; Games</t>
        </is>
      </c>
      <c r="F3668" t="inlineStr">
        <is>
          <t>James Johnson</t>
        </is>
      </c>
      <c r="G3668" t="inlineStr">
        <is>
          <t>United Kingdom</t>
        </is>
      </c>
      <c r="H3668" t="inlineStr">
        <is>
          <t>Marketplace</t>
        </is>
      </c>
      <c r="I3668" t="n">
        <v>2</v>
      </c>
      <c r="J3668" s="3" t="n">
        <v>440.3</v>
      </c>
      <c r="K3668" s="3" t="n">
        <v>66.04000000000001</v>
      </c>
      <c r="L3668" s="3" t="n">
        <v>374.26</v>
      </c>
      <c r="M3668" s="3" t="n">
        <v>222.34</v>
      </c>
      <c r="N3668" s="3" t="n">
        <v>151.92</v>
      </c>
      <c r="O3668">
        <f>TEXT(A3668,"yyyy-mm")</f>
        <v/>
      </c>
    </row>
    <row r="3669">
      <c r="A3669" s="2" t="n">
        <v>46101</v>
      </c>
      <c r="B3669" t="n">
        <v>2026</v>
      </c>
      <c r="C3669" t="inlineStr">
        <is>
          <t>March</t>
        </is>
      </c>
      <c r="D3669" t="inlineStr">
        <is>
          <t>Premium Cookbook</t>
        </is>
      </c>
      <c r="E3669" t="inlineStr">
        <is>
          <t>Books</t>
        </is>
      </c>
      <c r="F3669" t="inlineStr">
        <is>
          <t>James Johnson</t>
        </is>
      </c>
      <c r="G3669" t="inlineStr">
        <is>
          <t>United Kingdom</t>
        </is>
      </c>
      <c r="H3669" t="inlineStr">
        <is>
          <t>Marketplace</t>
        </is>
      </c>
      <c r="I3669" t="n">
        <v>1</v>
      </c>
      <c r="J3669" s="3" t="n">
        <v>129.66</v>
      </c>
      <c r="K3669" s="3" t="n">
        <v>0</v>
      </c>
      <c r="L3669" s="3" t="n">
        <v>129.66</v>
      </c>
      <c r="M3669" s="3" t="n">
        <v>94.98</v>
      </c>
      <c r="N3669" s="3" t="n">
        <v>34.68</v>
      </c>
      <c r="O3669">
        <f>TEXT(A3669,"yyyy-mm")</f>
        <v/>
      </c>
    </row>
    <row r="3670">
      <c r="A3670" s="2" t="n">
        <v>46102</v>
      </c>
      <c r="B3670" t="n">
        <v>2026</v>
      </c>
      <c r="C3670" t="inlineStr">
        <is>
          <t>March</t>
        </is>
      </c>
      <c r="D3670" t="inlineStr">
        <is>
          <t>Compact Sunscreen</t>
        </is>
      </c>
      <c r="E3670" t="inlineStr">
        <is>
          <t>Beauty &amp; Health</t>
        </is>
      </c>
      <c r="F3670" t="inlineStr">
        <is>
          <t>Mark Lopez</t>
        </is>
      </c>
      <c r="G3670" t="inlineStr">
        <is>
          <t>Italy</t>
        </is>
      </c>
      <c r="H3670" t="inlineStr">
        <is>
          <t>Retail Store</t>
        </is>
      </c>
      <c r="I3670" t="n">
        <v>5</v>
      </c>
      <c r="J3670" s="3" t="n">
        <v>1455.05</v>
      </c>
      <c r="K3670" s="3" t="n">
        <v>145.5</v>
      </c>
      <c r="L3670" s="3" t="n">
        <v>1309.54</v>
      </c>
      <c r="M3670" s="3" t="n">
        <v>888.3</v>
      </c>
      <c r="N3670" s="3" t="n">
        <v>421.25</v>
      </c>
      <c r="O3670">
        <f>TEXT(A3670,"yyyy-mm")</f>
        <v/>
      </c>
    </row>
    <row r="3671">
      <c r="A3671" s="2" t="n">
        <v>46102</v>
      </c>
      <c r="B3671" t="n">
        <v>2026</v>
      </c>
      <c r="C3671" t="inlineStr">
        <is>
          <t>March</t>
        </is>
      </c>
      <c r="D3671" t="inlineStr">
        <is>
          <t>Wireless Coffee Beans</t>
        </is>
      </c>
      <c r="E3671" t="inlineStr">
        <is>
          <t>Grocery</t>
        </is>
      </c>
      <c r="F3671" t="inlineStr">
        <is>
          <t>Mark Lopez</t>
        </is>
      </c>
      <c r="G3671" t="inlineStr">
        <is>
          <t>Italy</t>
        </is>
      </c>
      <c r="H3671" t="inlineStr">
        <is>
          <t>Retail Store</t>
        </is>
      </c>
      <c r="I3671" t="n">
        <v>2</v>
      </c>
      <c r="J3671" s="3" t="n">
        <v>442.2</v>
      </c>
      <c r="K3671" s="3" t="n">
        <v>0</v>
      </c>
      <c r="L3671" s="3" t="n">
        <v>442.2</v>
      </c>
      <c r="M3671" s="3" t="n">
        <v>260.26</v>
      </c>
      <c r="N3671" s="3" t="n">
        <v>181.94</v>
      </c>
      <c r="O3671">
        <f>TEXT(A3671,"yyyy-mm")</f>
        <v/>
      </c>
    </row>
    <row r="3672">
      <c r="A3672" s="2" t="n">
        <v>46102</v>
      </c>
      <c r="B3672" t="n">
        <v>2026</v>
      </c>
      <c r="C3672" t="inlineStr">
        <is>
          <t>March</t>
        </is>
      </c>
      <c r="D3672" t="inlineStr">
        <is>
          <t>Premium Cookbook</t>
        </is>
      </c>
      <c r="E3672" t="inlineStr">
        <is>
          <t>Books</t>
        </is>
      </c>
      <c r="F3672" t="inlineStr">
        <is>
          <t>Sophie Brown</t>
        </is>
      </c>
      <c r="G3672" t="inlineStr">
        <is>
          <t>Poland</t>
        </is>
      </c>
      <c r="H3672" t="inlineStr">
        <is>
          <t>Marketplace</t>
        </is>
      </c>
      <c r="I3672" t="n">
        <v>1</v>
      </c>
      <c r="J3672" s="3" t="n">
        <v>132.56</v>
      </c>
      <c r="K3672" s="3" t="n">
        <v>13.26</v>
      </c>
      <c r="L3672" s="3" t="n">
        <v>119.3</v>
      </c>
      <c r="M3672" s="3" t="n">
        <v>94.98</v>
      </c>
      <c r="N3672" s="3" t="n">
        <v>24.32</v>
      </c>
      <c r="O3672">
        <f>TEXT(A3672,"yyyy-mm")</f>
        <v/>
      </c>
    </row>
    <row r="3673">
      <c r="A3673" s="2" t="n">
        <v>46102</v>
      </c>
      <c r="B3673" t="n">
        <v>2026</v>
      </c>
      <c r="C3673" t="inlineStr">
        <is>
          <t>March</t>
        </is>
      </c>
      <c r="D3673" t="inlineStr">
        <is>
          <t>Deluxe Headphones</t>
        </is>
      </c>
      <c r="E3673" t="inlineStr">
        <is>
          <t>Electronics</t>
        </is>
      </c>
      <c r="F3673" t="inlineStr">
        <is>
          <t>Sophie Brown</t>
        </is>
      </c>
      <c r="G3673" t="inlineStr">
        <is>
          <t>Poland</t>
        </is>
      </c>
      <c r="H3673" t="inlineStr">
        <is>
          <t>Marketplace</t>
        </is>
      </c>
      <c r="I3673" t="n">
        <v>1</v>
      </c>
      <c r="J3673" s="3" t="n">
        <v>75.37</v>
      </c>
      <c r="K3673" s="3" t="n">
        <v>3.77</v>
      </c>
      <c r="L3673" s="3" t="n">
        <v>71.59999999999999</v>
      </c>
      <c r="M3673" s="3" t="n">
        <v>52.5</v>
      </c>
      <c r="N3673" s="3" t="n">
        <v>19.1</v>
      </c>
      <c r="O3673">
        <f>TEXT(A3673,"yyyy-mm")</f>
        <v/>
      </c>
    </row>
    <row r="3674">
      <c r="A3674" s="2" t="n">
        <v>46102</v>
      </c>
      <c r="B3674" t="n">
        <v>2026</v>
      </c>
      <c r="C3674" t="inlineStr">
        <is>
          <t>March</t>
        </is>
      </c>
      <c r="D3674" t="inlineStr">
        <is>
          <t>Eco Tent</t>
        </is>
      </c>
      <c r="E3674" t="inlineStr">
        <is>
          <t>Sports &amp; Outdoors</t>
        </is>
      </c>
      <c r="F3674" t="inlineStr">
        <is>
          <t>Sophie Brown</t>
        </is>
      </c>
      <c r="G3674" t="inlineStr">
        <is>
          <t>Poland</t>
        </is>
      </c>
      <c r="H3674" t="inlineStr">
        <is>
          <t>Marketplace</t>
        </is>
      </c>
      <c r="I3674" t="n">
        <v>1</v>
      </c>
      <c r="J3674" s="3" t="n">
        <v>67.14</v>
      </c>
      <c r="K3674" s="3" t="n">
        <v>3.36</v>
      </c>
      <c r="L3674" s="3" t="n">
        <v>63.78</v>
      </c>
      <c r="M3674" s="3" t="n">
        <v>43.85</v>
      </c>
      <c r="N3674" s="3" t="n">
        <v>19.93</v>
      </c>
      <c r="O3674">
        <f>TEXT(A3674,"yyyy-mm")</f>
        <v/>
      </c>
    </row>
    <row r="3675">
      <c r="A3675" s="2" t="n">
        <v>46102</v>
      </c>
      <c r="B3675" t="n">
        <v>2026</v>
      </c>
      <c r="C3675" t="inlineStr">
        <is>
          <t>March</t>
        </is>
      </c>
      <c r="D3675" t="inlineStr">
        <is>
          <t>Premium Tent</t>
        </is>
      </c>
      <c r="E3675" t="inlineStr">
        <is>
          <t>Sports &amp; Outdoors</t>
        </is>
      </c>
      <c r="F3675" t="inlineStr">
        <is>
          <t>Sophie Brown</t>
        </is>
      </c>
      <c r="G3675" t="inlineStr">
        <is>
          <t>Poland</t>
        </is>
      </c>
      <c r="H3675" t="inlineStr">
        <is>
          <t>Marketplace</t>
        </is>
      </c>
      <c r="I3675" t="n">
        <v>3</v>
      </c>
      <c r="J3675" s="3" t="n">
        <v>437.19</v>
      </c>
      <c r="K3675" s="3" t="n">
        <v>21.86</v>
      </c>
      <c r="L3675" s="3" t="n">
        <v>415.33</v>
      </c>
      <c r="M3675" s="3" t="n">
        <v>289.2</v>
      </c>
      <c r="N3675" s="3" t="n">
        <v>126.13</v>
      </c>
      <c r="O3675">
        <f>TEXT(A3675,"yyyy-mm")</f>
        <v/>
      </c>
    </row>
    <row r="3676">
      <c r="A3676" s="2" t="n">
        <v>46103</v>
      </c>
      <c r="B3676" t="n">
        <v>2026</v>
      </c>
      <c r="C3676" t="inlineStr">
        <is>
          <t>March</t>
        </is>
      </c>
      <c r="D3676" t="inlineStr">
        <is>
          <t>Essential Notebook</t>
        </is>
      </c>
      <c r="E3676" t="inlineStr">
        <is>
          <t>Books</t>
        </is>
      </c>
      <c r="F3676" t="inlineStr">
        <is>
          <t>John Conti</t>
        </is>
      </c>
      <c r="G3676" t="inlineStr">
        <is>
          <t>Germany</t>
        </is>
      </c>
      <c r="H3676" t="inlineStr">
        <is>
          <t>Retail Store</t>
        </is>
      </c>
      <c r="I3676" t="n">
        <v>1</v>
      </c>
      <c r="J3676" s="3" t="n">
        <v>113.07</v>
      </c>
      <c r="K3676" s="3" t="n">
        <v>5.65</v>
      </c>
      <c r="L3676" s="3" t="n">
        <v>107.42</v>
      </c>
      <c r="M3676" s="3" t="n">
        <v>79.09999999999999</v>
      </c>
      <c r="N3676" s="3" t="n">
        <v>28.32</v>
      </c>
      <c r="O3676">
        <f>TEXT(A3676,"yyyy-mm")</f>
        <v/>
      </c>
    </row>
    <row r="3677">
      <c r="A3677" s="2" t="n">
        <v>46103</v>
      </c>
      <c r="B3677" t="n">
        <v>2026</v>
      </c>
      <c r="C3677" t="inlineStr">
        <is>
          <t>March</t>
        </is>
      </c>
      <c r="D3677" t="inlineStr">
        <is>
          <t>Eco Planter</t>
        </is>
      </c>
      <c r="E3677" t="inlineStr">
        <is>
          <t>Home &amp; Garden</t>
        </is>
      </c>
      <c r="F3677" t="inlineStr">
        <is>
          <t>John Conti</t>
        </is>
      </c>
      <c r="G3677" t="inlineStr">
        <is>
          <t>Germany</t>
        </is>
      </c>
      <c r="H3677" t="inlineStr">
        <is>
          <t>Retail Store</t>
        </is>
      </c>
      <c r="I3677" t="n">
        <v>1</v>
      </c>
      <c r="J3677" s="3" t="n">
        <v>185.74</v>
      </c>
      <c r="K3677" s="3" t="n">
        <v>18.57</v>
      </c>
      <c r="L3677" s="3" t="n">
        <v>167.17</v>
      </c>
      <c r="M3677" s="3" t="n">
        <v>112.41</v>
      </c>
      <c r="N3677" s="3" t="n">
        <v>54.76</v>
      </c>
      <c r="O3677">
        <f>TEXT(A3677,"yyyy-mm")</f>
        <v/>
      </c>
    </row>
    <row r="3678">
      <c r="A3678" s="2" t="n">
        <v>46103</v>
      </c>
      <c r="B3678" t="n">
        <v>2026</v>
      </c>
      <c r="C3678" t="inlineStr">
        <is>
          <t>March</t>
        </is>
      </c>
      <c r="D3678" t="inlineStr">
        <is>
          <t>Smart Face Cream</t>
        </is>
      </c>
      <c r="E3678" t="inlineStr">
        <is>
          <t>Beauty &amp; Health</t>
        </is>
      </c>
      <c r="F3678" t="inlineStr">
        <is>
          <t>Olivia Weber</t>
        </is>
      </c>
      <c r="G3678" t="inlineStr">
        <is>
          <t>Poland</t>
        </is>
      </c>
      <c r="H3678" t="inlineStr">
        <is>
          <t>Mobile App</t>
        </is>
      </c>
      <c r="I3678" t="n">
        <v>1</v>
      </c>
      <c r="J3678" s="3" t="n">
        <v>260.9</v>
      </c>
      <c r="K3678" s="3" t="n">
        <v>52.18</v>
      </c>
      <c r="L3678" s="3" t="n">
        <v>208.72</v>
      </c>
      <c r="M3678" s="3" t="n">
        <v>193.14</v>
      </c>
      <c r="N3678" s="3" t="n">
        <v>15.58</v>
      </c>
      <c r="O3678">
        <f>TEXT(A3678,"yyyy-mm")</f>
        <v/>
      </c>
    </row>
    <row r="3679">
      <c r="A3679" s="2" t="n">
        <v>46103</v>
      </c>
      <c r="B3679" t="n">
        <v>2026</v>
      </c>
      <c r="C3679" t="inlineStr">
        <is>
          <t>March</t>
        </is>
      </c>
      <c r="D3679" t="inlineStr">
        <is>
          <t>Smart Jeans</t>
        </is>
      </c>
      <c r="E3679" t="inlineStr">
        <is>
          <t>Clothing</t>
        </is>
      </c>
      <c r="F3679" t="inlineStr">
        <is>
          <t>Olivia Weber</t>
        </is>
      </c>
      <c r="G3679" t="inlineStr">
        <is>
          <t>Poland</t>
        </is>
      </c>
      <c r="H3679" t="inlineStr">
        <is>
          <t>Mobile App</t>
        </is>
      </c>
      <c r="I3679" t="n">
        <v>5</v>
      </c>
      <c r="J3679" s="3" t="n">
        <v>1378.85</v>
      </c>
      <c r="K3679" s="3" t="n">
        <v>275.77</v>
      </c>
      <c r="L3679" s="3" t="n">
        <v>1103.08</v>
      </c>
      <c r="M3679" s="3" t="n">
        <v>968.2</v>
      </c>
      <c r="N3679" s="3" t="n">
        <v>134.88</v>
      </c>
      <c r="O3679">
        <f>TEXT(A3679,"yyyy-mm")</f>
        <v/>
      </c>
    </row>
    <row r="3680">
      <c r="A3680" s="2" t="n">
        <v>46103</v>
      </c>
      <c r="B3680" t="n">
        <v>2026</v>
      </c>
      <c r="C3680" t="inlineStr">
        <is>
          <t>March</t>
        </is>
      </c>
      <c r="D3680" t="inlineStr">
        <is>
          <t>Compact Jacket</t>
        </is>
      </c>
      <c r="E3680" t="inlineStr">
        <is>
          <t>Clothing</t>
        </is>
      </c>
      <c r="F3680" t="inlineStr">
        <is>
          <t>Olivia Weber</t>
        </is>
      </c>
      <c r="G3680" t="inlineStr">
        <is>
          <t>Poland</t>
        </is>
      </c>
      <c r="H3680" t="inlineStr">
        <is>
          <t>Mobile App</t>
        </is>
      </c>
      <c r="I3680" t="n">
        <v>5</v>
      </c>
      <c r="J3680" s="3" t="n">
        <v>178.95</v>
      </c>
      <c r="K3680" s="3" t="n">
        <v>35.79</v>
      </c>
      <c r="L3680" s="3" t="n">
        <v>143.16</v>
      </c>
      <c r="M3680" s="3" t="n">
        <v>102</v>
      </c>
      <c r="N3680" s="3" t="n">
        <v>41.16</v>
      </c>
      <c r="O3680">
        <f>TEXT(A3680,"yyyy-mm")</f>
        <v/>
      </c>
    </row>
    <row r="3681">
      <c r="A3681" s="2" t="n">
        <v>46104</v>
      </c>
      <c r="B3681" t="n">
        <v>2026</v>
      </c>
      <c r="C3681" t="inlineStr">
        <is>
          <t>March</t>
        </is>
      </c>
      <c r="D3681" t="inlineStr">
        <is>
          <t>Ultra Rug</t>
        </is>
      </c>
      <c r="E3681" t="inlineStr">
        <is>
          <t>Home &amp; Garden</t>
        </is>
      </c>
      <c r="F3681" t="inlineStr">
        <is>
          <t>Olivia Wojcik</t>
        </is>
      </c>
      <c r="G3681" t="inlineStr">
        <is>
          <t>France</t>
        </is>
      </c>
      <c r="H3681" t="inlineStr">
        <is>
          <t>Mobile App</t>
        </is>
      </c>
      <c r="I3681" t="n">
        <v>5</v>
      </c>
      <c r="J3681" s="3" t="n">
        <v>261.15</v>
      </c>
      <c r="K3681" s="3" t="n">
        <v>13.06</v>
      </c>
      <c r="L3681" s="3" t="n">
        <v>248.09</v>
      </c>
      <c r="M3681" s="3" t="n">
        <v>164.55</v>
      </c>
      <c r="N3681" s="3" t="n">
        <v>83.54000000000001</v>
      </c>
      <c r="O3681">
        <f>TEXT(A3681,"yyyy-mm")</f>
        <v/>
      </c>
    </row>
    <row r="3682">
      <c r="A3682" s="2" t="n">
        <v>46104</v>
      </c>
      <c r="B3682" t="n">
        <v>2026</v>
      </c>
      <c r="C3682" t="inlineStr">
        <is>
          <t>March</t>
        </is>
      </c>
      <c r="D3682" t="inlineStr">
        <is>
          <t>Wireless Drone</t>
        </is>
      </c>
      <c r="E3682" t="inlineStr">
        <is>
          <t>Toys &amp; Games</t>
        </is>
      </c>
      <c r="F3682" t="inlineStr">
        <is>
          <t>Olivia Wojcik</t>
        </is>
      </c>
      <c r="G3682" t="inlineStr">
        <is>
          <t>France</t>
        </is>
      </c>
      <c r="H3682" t="inlineStr">
        <is>
          <t>Mobile App</t>
        </is>
      </c>
      <c r="I3682" t="n">
        <v>2</v>
      </c>
      <c r="J3682" s="3" t="n">
        <v>436.54</v>
      </c>
      <c r="K3682" s="3" t="n">
        <v>21.83</v>
      </c>
      <c r="L3682" s="3" t="n">
        <v>414.71</v>
      </c>
      <c r="M3682" s="3" t="n">
        <v>262.58</v>
      </c>
      <c r="N3682" s="3" t="n">
        <v>152.13</v>
      </c>
      <c r="O3682">
        <f>TEXT(A3682,"yyyy-mm")</f>
        <v/>
      </c>
    </row>
    <row r="3683">
      <c r="A3683" s="2" t="n">
        <v>46105</v>
      </c>
      <c r="B3683" t="n">
        <v>2026</v>
      </c>
      <c r="C3683" t="inlineStr">
        <is>
          <t>March</t>
        </is>
      </c>
      <c r="D3683" t="inlineStr">
        <is>
          <t>Smart Camera</t>
        </is>
      </c>
      <c r="E3683" t="inlineStr">
        <is>
          <t>Electronics</t>
        </is>
      </c>
      <c r="F3683" t="inlineStr">
        <is>
          <t>John Wilson</t>
        </is>
      </c>
      <c r="G3683" t="inlineStr">
        <is>
          <t>France</t>
        </is>
      </c>
      <c r="H3683" t="inlineStr">
        <is>
          <t>Retail Store</t>
        </is>
      </c>
      <c r="I3683" t="n">
        <v>3</v>
      </c>
      <c r="J3683" s="3" t="n">
        <v>344.85</v>
      </c>
      <c r="K3683" s="3" t="n">
        <v>0</v>
      </c>
      <c r="L3683" s="3" t="n">
        <v>344.85</v>
      </c>
      <c r="M3683" s="3" t="n">
        <v>256.74</v>
      </c>
      <c r="N3683" s="3" t="n">
        <v>88.11</v>
      </c>
      <c r="O3683">
        <f>TEXT(A3683,"yyyy-mm")</f>
        <v/>
      </c>
    </row>
    <row r="3684">
      <c r="A3684" s="2" t="n">
        <v>46105</v>
      </c>
      <c r="B3684" t="n">
        <v>2026</v>
      </c>
      <c r="C3684" t="inlineStr">
        <is>
          <t>March</t>
        </is>
      </c>
      <c r="D3684" t="inlineStr">
        <is>
          <t>Smart Drone</t>
        </is>
      </c>
      <c r="E3684" t="inlineStr">
        <is>
          <t>Toys &amp; Games</t>
        </is>
      </c>
      <c r="F3684" t="inlineStr">
        <is>
          <t>John Wilson</t>
        </is>
      </c>
      <c r="G3684" t="inlineStr">
        <is>
          <t>France</t>
        </is>
      </c>
      <c r="H3684" t="inlineStr">
        <is>
          <t>Retail Store</t>
        </is>
      </c>
      <c r="I3684" t="n">
        <v>5</v>
      </c>
      <c r="J3684" s="3" t="n">
        <v>1079.3</v>
      </c>
      <c r="K3684" s="3" t="n">
        <v>161.9</v>
      </c>
      <c r="L3684" s="3" t="n">
        <v>917.41</v>
      </c>
      <c r="M3684" s="3" t="n">
        <v>634.75</v>
      </c>
      <c r="N3684" s="3" t="n">
        <v>282.66</v>
      </c>
      <c r="O3684">
        <f>TEXT(A3684,"yyyy-mm")</f>
        <v/>
      </c>
    </row>
    <row r="3685">
      <c r="A3685" s="2" t="n">
        <v>46105</v>
      </c>
      <c r="B3685" t="n">
        <v>2026</v>
      </c>
      <c r="C3685" t="inlineStr">
        <is>
          <t>March</t>
        </is>
      </c>
      <c r="D3685" t="inlineStr">
        <is>
          <t>Compact Sunscreen</t>
        </is>
      </c>
      <c r="E3685" t="inlineStr">
        <is>
          <t>Beauty &amp; Health</t>
        </is>
      </c>
      <c r="F3685" t="inlineStr">
        <is>
          <t>Emma Wilson</t>
        </is>
      </c>
      <c r="G3685" t="inlineStr">
        <is>
          <t>Italy</t>
        </is>
      </c>
      <c r="H3685" t="inlineStr">
        <is>
          <t>Marketplace</t>
        </is>
      </c>
      <c r="I3685" t="n">
        <v>5</v>
      </c>
      <c r="J3685" s="3" t="n">
        <v>1521.45</v>
      </c>
      <c r="K3685" s="3" t="n">
        <v>76.06999999999999</v>
      </c>
      <c r="L3685" s="3" t="n">
        <v>1445.38</v>
      </c>
      <c r="M3685" s="3" t="n">
        <v>888.3</v>
      </c>
      <c r="N3685" s="3" t="n">
        <v>557.08</v>
      </c>
      <c r="O3685">
        <f>TEXT(A3685,"yyyy-mm")</f>
        <v/>
      </c>
    </row>
    <row r="3686">
      <c r="A3686" s="2" t="n">
        <v>46106</v>
      </c>
      <c r="B3686" t="n">
        <v>2026</v>
      </c>
      <c r="C3686" t="inlineStr">
        <is>
          <t>March</t>
        </is>
      </c>
      <c r="D3686" t="inlineStr">
        <is>
          <t>Essential Toolset</t>
        </is>
      </c>
      <c r="E3686" t="inlineStr">
        <is>
          <t>Home &amp; Garden</t>
        </is>
      </c>
      <c r="F3686" t="inlineStr">
        <is>
          <t>David Nowak</t>
        </is>
      </c>
      <c r="G3686" t="inlineStr">
        <is>
          <t>Spain</t>
        </is>
      </c>
      <c r="H3686" t="inlineStr">
        <is>
          <t>Web Store</t>
        </is>
      </c>
      <c r="I3686" t="n">
        <v>4</v>
      </c>
      <c r="J3686" s="3" t="n">
        <v>841</v>
      </c>
      <c r="K3686" s="3" t="n">
        <v>168.2</v>
      </c>
      <c r="L3686" s="3" t="n">
        <v>672.8</v>
      </c>
      <c r="M3686" s="3" t="n">
        <v>602.12</v>
      </c>
      <c r="N3686" s="3" t="n">
        <v>70.68000000000001</v>
      </c>
      <c r="O3686">
        <f>TEXT(A3686,"yyyy-mm")</f>
        <v/>
      </c>
    </row>
    <row r="3687">
      <c r="A3687" s="2" t="n">
        <v>46106</v>
      </c>
      <c r="B3687" t="n">
        <v>2026</v>
      </c>
      <c r="C3687" t="inlineStr">
        <is>
          <t>March</t>
        </is>
      </c>
      <c r="D3687" t="inlineStr">
        <is>
          <t>Ultra Rug</t>
        </is>
      </c>
      <c r="E3687" t="inlineStr">
        <is>
          <t>Home &amp; Garden</t>
        </is>
      </c>
      <c r="F3687" t="inlineStr">
        <is>
          <t>David Nowak</t>
        </is>
      </c>
      <c r="G3687" t="inlineStr">
        <is>
          <t>Spain</t>
        </is>
      </c>
      <c r="H3687" t="inlineStr">
        <is>
          <t>Web Store</t>
        </is>
      </c>
      <c r="I3687" t="n">
        <v>1</v>
      </c>
      <c r="J3687" s="3" t="n">
        <v>49.8</v>
      </c>
      <c r="K3687" s="3" t="n">
        <v>0</v>
      </c>
      <c r="L3687" s="3" t="n">
        <v>49.8</v>
      </c>
      <c r="M3687" s="3" t="n">
        <v>32.91</v>
      </c>
      <c r="N3687" s="3" t="n">
        <v>16.89</v>
      </c>
      <c r="O3687">
        <f>TEXT(A3687,"yyyy-mm")</f>
        <v/>
      </c>
    </row>
    <row r="3688">
      <c r="A3688" s="2" t="n">
        <v>46106</v>
      </c>
      <c r="B3688" t="n">
        <v>2026</v>
      </c>
      <c r="C3688" t="inlineStr">
        <is>
          <t>March</t>
        </is>
      </c>
      <c r="D3688" t="inlineStr">
        <is>
          <t>Wireless Drone</t>
        </is>
      </c>
      <c r="E3688" t="inlineStr">
        <is>
          <t>Toys &amp; Games</t>
        </is>
      </c>
      <c r="F3688" t="inlineStr">
        <is>
          <t>David Nowak</t>
        </is>
      </c>
      <c r="G3688" t="inlineStr">
        <is>
          <t>Spain</t>
        </is>
      </c>
      <c r="H3688" t="inlineStr">
        <is>
          <t>Web Store</t>
        </is>
      </c>
      <c r="I3688" t="n">
        <v>2</v>
      </c>
      <c r="J3688" s="3" t="n">
        <v>463.18</v>
      </c>
      <c r="K3688" s="3" t="n">
        <v>46.32</v>
      </c>
      <c r="L3688" s="3" t="n">
        <v>416.86</v>
      </c>
      <c r="M3688" s="3" t="n">
        <v>262.58</v>
      </c>
      <c r="N3688" s="3" t="n">
        <v>154.28</v>
      </c>
      <c r="O3688">
        <f>TEXT(A3688,"yyyy-mm")</f>
        <v/>
      </c>
    </row>
    <row r="3689">
      <c r="A3689" s="2" t="n">
        <v>46106</v>
      </c>
      <c r="B3689" t="n">
        <v>2026</v>
      </c>
      <c r="C3689" t="inlineStr">
        <is>
          <t>March</t>
        </is>
      </c>
      <c r="D3689" t="inlineStr">
        <is>
          <t>Classic Bike Helmet</t>
        </is>
      </c>
      <c r="E3689" t="inlineStr">
        <is>
          <t>Sports &amp; Outdoors</t>
        </is>
      </c>
      <c r="F3689" t="inlineStr">
        <is>
          <t>David Nowak</t>
        </is>
      </c>
      <c r="G3689" t="inlineStr">
        <is>
          <t>Spain</t>
        </is>
      </c>
      <c r="H3689" t="inlineStr">
        <is>
          <t>Web Store</t>
        </is>
      </c>
      <c r="I3689" t="n">
        <v>3</v>
      </c>
      <c r="J3689" s="3" t="n">
        <v>627.51</v>
      </c>
      <c r="K3689" s="3" t="n">
        <v>0</v>
      </c>
      <c r="L3689" s="3" t="n">
        <v>627.51</v>
      </c>
      <c r="M3689" s="3" t="n">
        <v>461.43</v>
      </c>
      <c r="N3689" s="3" t="n">
        <v>166.08</v>
      </c>
      <c r="O3689">
        <f>TEXT(A3689,"yyyy-mm")</f>
        <v/>
      </c>
    </row>
    <row r="3690">
      <c r="A3690" s="2" t="n">
        <v>46107</v>
      </c>
      <c r="B3690" t="n">
        <v>2026</v>
      </c>
      <c r="C3690" t="inlineStr">
        <is>
          <t>March</t>
        </is>
      </c>
      <c r="D3690" t="inlineStr">
        <is>
          <t>Smart Drone</t>
        </is>
      </c>
      <c r="E3690" t="inlineStr">
        <is>
          <t>Toys &amp; Games</t>
        </is>
      </c>
      <c r="F3690" t="inlineStr">
        <is>
          <t>Emily Johnson</t>
        </is>
      </c>
      <c r="G3690" t="inlineStr">
        <is>
          <t>Italy</t>
        </is>
      </c>
      <c r="H3690" t="inlineStr">
        <is>
          <t>Marketplace</t>
        </is>
      </c>
      <c r="I3690" t="n">
        <v>3</v>
      </c>
      <c r="J3690" s="3" t="n">
        <v>691.47</v>
      </c>
      <c r="K3690" s="3" t="n">
        <v>0</v>
      </c>
      <c r="L3690" s="3" t="n">
        <v>691.47</v>
      </c>
      <c r="M3690" s="3" t="n">
        <v>380.85</v>
      </c>
      <c r="N3690" s="3" t="n">
        <v>310.62</v>
      </c>
      <c r="O3690">
        <f>TEXT(A3690,"yyyy-mm")</f>
        <v/>
      </c>
    </row>
    <row r="3691">
      <c r="A3691" s="2" t="n">
        <v>46107</v>
      </c>
      <c r="B3691" t="n">
        <v>2026</v>
      </c>
      <c r="C3691" t="inlineStr">
        <is>
          <t>March</t>
        </is>
      </c>
      <c r="D3691" t="inlineStr">
        <is>
          <t>Smart Sweater</t>
        </is>
      </c>
      <c r="E3691" t="inlineStr">
        <is>
          <t>Clothing</t>
        </is>
      </c>
      <c r="F3691" t="inlineStr">
        <is>
          <t>Clara Moreau</t>
        </is>
      </c>
      <c r="G3691" t="inlineStr">
        <is>
          <t>Spain</t>
        </is>
      </c>
      <c r="H3691" t="inlineStr">
        <is>
          <t>Web Store</t>
        </is>
      </c>
      <c r="I3691" t="n">
        <v>1</v>
      </c>
      <c r="J3691" s="3" t="n">
        <v>147.78</v>
      </c>
      <c r="K3691" s="3" t="n">
        <v>14.78</v>
      </c>
      <c r="L3691" s="3" t="n">
        <v>133</v>
      </c>
      <c r="M3691" s="3" t="n">
        <v>77.34999999999999</v>
      </c>
      <c r="N3691" s="3" t="n">
        <v>55.65</v>
      </c>
      <c r="O3691">
        <f>TEXT(A3691,"yyyy-mm")</f>
        <v/>
      </c>
    </row>
    <row r="3692">
      <c r="A3692" s="2" t="n">
        <v>46107</v>
      </c>
      <c r="B3692" t="n">
        <v>2026</v>
      </c>
      <c r="C3692" t="inlineStr">
        <is>
          <t>March</t>
        </is>
      </c>
      <c r="D3692" t="inlineStr">
        <is>
          <t>Smart Coffee Beans</t>
        </is>
      </c>
      <c r="E3692" t="inlineStr">
        <is>
          <t>Grocery</t>
        </is>
      </c>
      <c r="F3692" t="inlineStr">
        <is>
          <t>Sophie Martin</t>
        </is>
      </c>
      <c r="G3692" t="inlineStr">
        <is>
          <t>Italy</t>
        </is>
      </c>
      <c r="H3692" t="inlineStr">
        <is>
          <t>Retail Store</t>
        </is>
      </c>
      <c r="I3692" t="n">
        <v>2</v>
      </c>
      <c r="J3692" s="3" t="n">
        <v>225.78</v>
      </c>
      <c r="K3692" s="3" t="n">
        <v>0</v>
      </c>
      <c r="L3692" s="3" t="n">
        <v>225.78</v>
      </c>
      <c r="M3692" s="3" t="n">
        <v>145.7</v>
      </c>
      <c r="N3692" s="3" t="n">
        <v>80.08</v>
      </c>
      <c r="O3692">
        <f>TEXT(A3692,"yyyy-mm")</f>
        <v/>
      </c>
    </row>
    <row r="3693">
      <c r="A3693" s="2" t="n">
        <v>46107</v>
      </c>
      <c r="B3693" t="n">
        <v>2026</v>
      </c>
      <c r="C3693" t="inlineStr">
        <is>
          <t>March</t>
        </is>
      </c>
      <c r="D3693" t="inlineStr">
        <is>
          <t>Ultra Backpack</t>
        </is>
      </c>
      <c r="E3693" t="inlineStr">
        <is>
          <t>Sports &amp; Outdoors</t>
        </is>
      </c>
      <c r="F3693" t="inlineStr">
        <is>
          <t>Sophie Martin</t>
        </is>
      </c>
      <c r="G3693" t="inlineStr">
        <is>
          <t>Italy</t>
        </is>
      </c>
      <c r="H3693" t="inlineStr">
        <is>
          <t>Retail Store</t>
        </is>
      </c>
      <c r="I3693" t="n">
        <v>5</v>
      </c>
      <c r="J3693" s="3" t="n">
        <v>1497.1</v>
      </c>
      <c r="K3693" s="3" t="n">
        <v>0</v>
      </c>
      <c r="L3693" s="3" t="n">
        <v>1497.1</v>
      </c>
      <c r="M3693" s="3" t="n">
        <v>868.45</v>
      </c>
      <c r="N3693" s="3" t="n">
        <v>628.65</v>
      </c>
      <c r="O3693">
        <f>TEXT(A3693,"yyyy-mm")</f>
        <v/>
      </c>
    </row>
    <row r="3694">
      <c r="A3694" s="2" t="n">
        <v>46108</v>
      </c>
      <c r="B3694" t="n">
        <v>2026</v>
      </c>
      <c r="C3694" t="inlineStr">
        <is>
          <t>March</t>
        </is>
      </c>
      <c r="D3694" t="inlineStr">
        <is>
          <t>Portable Bike Helmet</t>
        </is>
      </c>
      <c r="E3694" t="inlineStr">
        <is>
          <t>Sports &amp; Outdoors</t>
        </is>
      </c>
      <c r="F3694" t="inlineStr">
        <is>
          <t>Laura Schmidt</t>
        </is>
      </c>
      <c r="G3694" t="inlineStr">
        <is>
          <t>United States</t>
        </is>
      </c>
      <c r="H3694" t="inlineStr">
        <is>
          <t>Retail Store</t>
        </is>
      </c>
      <c r="I3694" t="n">
        <v>4</v>
      </c>
      <c r="J3694" s="3" t="n">
        <v>1220.56</v>
      </c>
      <c r="K3694" s="3" t="n">
        <v>0</v>
      </c>
      <c r="L3694" s="3" t="n">
        <v>1220.56</v>
      </c>
      <c r="M3694" s="3" t="n">
        <v>661.48</v>
      </c>
      <c r="N3694" s="3" t="n">
        <v>559.08</v>
      </c>
      <c r="O3694">
        <f>TEXT(A3694,"yyyy-mm")</f>
        <v/>
      </c>
    </row>
    <row r="3695">
      <c r="A3695" s="2" t="n">
        <v>46108</v>
      </c>
      <c r="B3695" t="n">
        <v>2026</v>
      </c>
      <c r="C3695" t="inlineStr">
        <is>
          <t>March</t>
        </is>
      </c>
      <c r="D3695" t="inlineStr">
        <is>
          <t>Wireless Cookbook</t>
        </is>
      </c>
      <c r="E3695" t="inlineStr">
        <is>
          <t>Books</t>
        </is>
      </c>
      <c r="F3695" t="inlineStr">
        <is>
          <t>Laura Schmidt</t>
        </is>
      </c>
      <c r="G3695" t="inlineStr">
        <is>
          <t>United States</t>
        </is>
      </c>
      <c r="H3695" t="inlineStr">
        <is>
          <t>Retail Store</t>
        </is>
      </c>
      <c r="I3695" t="n">
        <v>3</v>
      </c>
      <c r="J3695" s="3" t="n">
        <v>228.15</v>
      </c>
      <c r="K3695" s="3" t="n">
        <v>11.41</v>
      </c>
      <c r="L3695" s="3" t="n">
        <v>216.74</v>
      </c>
      <c r="M3695" s="3" t="n">
        <v>169.83</v>
      </c>
      <c r="N3695" s="3" t="n">
        <v>46.91</v>
      </c>
      <c r="O3695">
        <f>TEXT(A3695,"yyyy-mm")</f>
        <v/>
      </c>
    </row>
    <row r="3696">
      <c r="A3696" s="2" t="n">
        <v>46108</v>
      </c>
      <c r="B3696" t="n">
        <v>2026</v>
      </c>
      <c r="C3696" t="inlineStr">
        <is>
          <t>March</t>
        </is>
      </c>
      <c r="D3696" t="inlineStr">
        <is>
          <t>Essential Cushion</t>
        </is>
      </c>
      <c r="E3696" t="inlineStr">
        <is>
          <t>Home &amp; Garden</t>
        </is>
      </c>
      <c r="F3696" t="inlineStr">
        <is>
          <t>Laura Schmidt</t>
        </is>
      </c>
      <c r="G3696" t="inlineStr">
        <is>
          <t>United States</t>
        </is>
      </c>
      <c r="H3696" t="inlineStr">
        <is>
          <t>Retail Store</t>
        </is>
      </c>
      <c r="I3696" t="n">
        <v>3</v>
      </c>
      <c r="J3696" s="3" t="n">
        <v>136.5</v>
      </c>
      <c r="K3696" s="3" t="n">
        <v>0</v>
      </c>
      <c r="L3696" s="3" t="n">
        <v>136.5</v>
      </c>
      <c r="M3696" s="3" t="n">
        <v>91.65000000000001</v>
      </c>
      <c r="N3696" s="3" t="n">
        <v>44.85</v>
      </c>
      <c r="O3696">
        <f>TEXT(A3696,"yyyy-mm")</f>
        <v/>
      </c>
    </row>
    <row r="3697">
      <c r="A3697" s="2" t="n">
        <v>46108</v>
      </c>
      <c r="B3697" t="n">
        <v>2026</v>
      </c>
      <c r="C3697" t="inlineStr">
        <is>
          <t>March</t>
        </is>
      </c>
      <c r="D3697" t="inlineStr">
        <is>
          <t>Smart Face Cream</t>
        </is>
      </c>
      <c r="E3697" t="inlineStr">
        <is>
          <t>Beauty &amp; Health</t>
        </is>
      </c>
      <c r="F3697" t="inlineStr">
        <is>
          <t>Laura Schmidt</t>
        </is>
      </c>
      <c r="G3697" t="inlineStr">
        <is>
          <t>United States</t>
        </is>
      </c>
      <c r="H3697" t="inlineStr">
        <is>
          <t>Retail Store</t>
        </is>
      </c>
      <c r="I3697" t="n">
        <v>5</v>
      </c>
      <c r="J3697" s="3" t="n">
        <v>1382.2</v>
      </c>
      <c r="K3697" s="3" t="n">
        <v>69.11</v>
      </c>
      <c r="L3697" s="3" t="n">
        <v>1313.09</v>
      </c>
      <c r="M3697" s="3" t="n">
        <v>965.7</v>
      </c>
      <c r="N3697" s="3" t="n">
        <v>347.39</v>
      </c>
      <c r="O3697">
        <f>TEXT(A3697,"yyyy-mm")</f>
        <v/>
      </c>
    </row>
    <row r="3698">
      <c r="A3698" s="2" t="n">
        <v>46108</v>
      </c>
      <c r="B3698" t="n">
        <v>2026</v>
      </c>
      <c r="C3698" t="inlineStr">
        <is>
          <t>March</t>
        </is>
      </c>
      <c r="D3698" t="inlineStr">
        <is>
          <t>Portable Speaker</t>
        </is>
      </c>
      <c r="E3698" t="inlineStr">
        <is>
          <t>Electronics</t>
        </is>
      </c>
      <c r="F3698" t="inlineStr">
        <is>
          <t>Clara Wojcik</t>
        </is>
      </c>
      <c r="G3698" t="inlineStr">
        <is>
          <t>Italy</t>
        </is>
      </c>
      <c r="H3698" t="inlineStr">
        <is>
          <t>Mobile App</t>
        </is>
      </c>
      <c r="I3698" t="n">
        <v>2</v>
      </c>
      <c r="J3698" s="3" t="n">
        <v>669.0599999999999</v>
      </c>
      <c r="K3698" s="3" t="n">
        <v>66.91</v>
      </c>
      <c r="L3698" s="3" t="n">
        <v>602.15</v>
      </c>
      <c r="M3698" s="3" t="n">
        <v>349.66</v>
      </c>
      <c r="N3698" s="3" t="n">
        <v>252.49</v>
      </c>
      <c r="O3698">
        <f>TEXT(A3698,"yyyy-mm")</f>
        <v/>
      </c>
    </row>
    <row r="3699">
      <c r="A3699" s="2" t="n">
        <v>46109</v>
      </c>
      <c r="B3699" t="n">
        <v>2026</v>
      </c>
      <c r="C3699" t="inlineStr">
        <is>
          <t>March</t>
        </is>
      </c>
      <c r="D3699" t="inlineStr">
        <is>
          <t>Classic Tent</t>
        </is>
      </c>
      <c r="E3699" t="inlineStr">
        <is>
          <t>Sports &amp; Outdoors</t>
        </is>
      </c>
      <c r="F3699" t="inlineStr">
        <is>
          <t>Mark Zielinski</t>
        </is>
      </c>
      <c r="G3699" t="inlineStr">
        <is>
          <t>Poland</t>
        </is>
      </c>
      <c r="H3699" t="inlineStr">
        <is>
          <t>Retail Store</t>
        </is>
      </c>
      <c r="I3699" t="n">
        <v>4</v>
      </c>
      <c r="J3699" s="3" t="n">
        <v>805.8</v>
      </c>
      <c r="K3699" s="3" t="n">
        <v>120.87</v>
      </c>
      <c r="L3699" s="3" t="n">
        <v>684.9299999999999</v>
      </c>
      <c r="M3699" s="3" t="n">
        <v>472.08</v>
      </c>
      <c r="N3699" s="3" t="n">
        <v>212.85</v>
      </c>
      <c r="O3699">
        <f>TEXT(A3699,"yyyy-mm")</f>
        <v/>
      </c>
    </row>
    <row r="3700">
      <c r="A3700" s="2" t="n">
        <v>46109</v>
      </c>
      <c r="B3700" t="n">
        <v>2026</v>
      </c>
      <c r="C3700" t="inlineStr">
        <is>
          <t>March</t>
        </is>
      </c>
      <c r="D3700" t="inlineStr">
        <is>
          <t>Essential Cushion</t>
        </is>
      </c>
      <c r="E3700" t="inlineStr">
        <is>
          <t>Home &amp; Garden</t>
        </is>
      </c>
      <c r="F3700" t="inlineStr">
        <is>
          <t>Mark Bianchi</t>
        </is>
      </c>
      <c r="G3700" t="inlineStr">
        <is>
          <t>Spain</t>
        </is>
      </c>
      <c r="H3700" t="inlineStr">
        <is>
          <t>Web Store</t>
        </is>
      </c>
      <c r="I3700" t="n">
        <v>4</v>
      </c>
      <c r="J3700" s="3" t="n">
        <v>188.84</v>
      </c>
      <c r="K3700" s="3" t="n">
        <v>0</v>
      </c>
      <c r="L3700" s="3" t="n">
        <v>188.84</v>
      </c>
      <c r="M3700" s="3" t="n">
        <v>122.2</v>
      </c>
      <c r="N3700" s="3" t="n">
        <v>66.64</v>
      </c>
      <c r="O3700">
        <f>TEXT(A3700,"yyyy-mm")</f>
        <v/>
      </c>
    </row>
    <row r="3701">
      <c r="A3701" s="2" t="n">
        <v>46110</v>
      </c>
      <c r="B3701" t="n">
        <v>2026</v>
      </c>
      <c r="C3701" t="inlineStr">
        <is>
          <t>March</t>
        </is>
      </c>
      <c r="D3701" t="inlineStr">
        <is>
          <t>Essential Jacket</t>
        </is>
      </c>
      <c r="E3701" t="inlineStr">
        <is>
          <t>Clothing</t>
        </is>
      </c>
      <c r="F3701" t="inlineStr">
        <is>
          <t>Emily Rossi</t>
        </is>
      </c>
      <c r="G3701" t="inlineStr">
        <is>
          <t>United Kingdom</t>
        </is>
      </c>
      <c r="H3701" t="inlineStr">
        <is>
          <t>Web Store</t>
        </is>
      </c>
      <c r="I3701" t="n">
        <v>4</v>
      </c>
      <c r="J3701" s="3" t="n">
        <v>589.6</v>
      </c>
      <c r="K3701" s="3" t="n">
        <v>29.48</v>
      </c>
      <c r="L3701" s="3" t="n">
        <v>560.12</v>
      </c>
      <c r="M3701" s="3" t="n">
        <v>341.4</v>
      </c>
      <c r="N3701" s="3" t="n">
        <v>218.72</v>
      </c>
      <c r="O3701">
        <f>TEXT(A3701,"yyyy-mm")</f>
        <v/>
      </c>
    </row>
    <row r="3702">
      <c r="A3702" s="2" t="n">
        <v>46110</v>
      </c>
      <c r="B3702" t="n">
        <v>2026</v>
      </c>
      <c r="C3702" t="inlineStr">
        <is>
          <t>March</t>
        </is>
      </c>
      <c r="D3702" t="inlineStr">
        <is>
          <t>Classic Yoga Mat</t>
        </is>
      </c>
      <c r="E3702" t="inlineStr">
        <is>
          <t>Sports &amp; Outdoors</t>
        </is>
      </c>
      <c r="F3702" t="inlineStr">
        <is>
          <t>Laura Schmidt</t>
        </is>
      </c>
      <c r="G3702" t="inlineStr">
        <is>
          <t>United States</t>
        </is>
      </c>
      <c r="H3702" t="inlineStr">
        <is>
          <t>Marketplace</t>
        </is>
      </c>
      <c r="I3702" t="n">
        <v>5</v>
      </c>
      <c r="J3702" s="3" t="n">
        <v>1670.25</v>
      </c>
      <c r="K3702" s="3" t="n">
        <v>167.02</v>
      </c>
      <c r="L3702" s="3" t="n">
        <v>1503.22</v>
      </c>
      <c r="M3702" s="3" t="n">
        <v>978.5</v>
      </c>
      <c r="N3702" s="3" t="n">
        <v>524.72</v>
      </c>
      <c r="O3702">
        <f>TEXT(A3702,"yyyy-mm")</f>
        <v/>
      </c>
    </row>
    <row r="3703">
      <c r="A3703" s="2" t="n">
        <v>46110</v>
      </c>
      <c r="B3703" t="n">
        <v>2026</v>
      </c>
      <c r="C3703" t="inlineStr">
        <is>
          <t>March</t>
        </is>
      </c>
      <c r="D3703" t="inlineStr">
        <is>
          <t>Eco Biography</t>
        </is>
      </c>
      <c r="E3703" t="inlineStr">
        <is>
          <t>Books</t>
        </is>
      </c>
      <c r="F3703" t="inlineStr">
        <is>
          <t>Laura Schmidt</t>
        </is>
      </c>
      <c r="G3703" t="inlineStr">
        <is>
          <t>United States</t>
        </is>
      </c>
      <c r="H3703" t="inlineStr">
        <is>
          <t>Marketplace</t>
        </is>
      </c>
      <c r="I3703" t="n">
        <v>1</v>
      </c>
      <c r="J3703" s="3" t="n">
        <v>127.49</v>
      </c>
      <c r="K3703" s="3" t="n">
        <v>0</v>
      </c>
      <c r="L3703" s="3" t="n">
        <v>127.49</v>
      </c>
      <c r="M3703" s="3" t="n">
        <v>71.02</v>
      </c>
      <c r="N3703" s="3" t="n">
        <v>56.47</v>
      </c>
      <c r="O3703">
        <f>TEXT(A3703,"yyyy-mm")</f>
        <v/>
      </c>
    </row>
    <row r="3704">
      <c r="A3704" s="2" t="n">
        <v>46110</v>
      </c>
      <c r="B3704" t="n">
        <v>2026</v>
      </c>
      <c r="C3704" t="inlineStr">
        <is>
          <t>March</t>
        </is>
      </c>
      <c r="D3704" t="inlineStr">
        <is>
          <t>Compact Pasta</t>
        </is>
      </c>
      <c r="E3704" t="inlineStr">
        <is>
          <t>Grocery</t>
        </is>
      </c>
      <c r="F3704" t="inlineStr">
        <is>
          <t>Laura Schmidt</t>
        </is>
      </c>
      <c r="G3704" t="inlineStr">
        <is>
          <t>United States</t>
        </is>
      </c>
      <c r="H3704" t="inlineStr">
        <is>
          <t>Marketplace</t>
        </is>
      </c>
      <c r="I3704" t="n">
        <v>1</v>
      </c>
      <c r="J3704" s="3" t="n">
        <v>299.65</v>
      </c>
      <c r="K3704" s="3" t="n">
        <v>14.98</v>
      </c>
      <c r="L3704" s="3" t="n">
        <v>284.67</v>
      </c>
      <c r="M3704" s="3" t="n">
        <v>199.4</v>
      </c>
      <c r="N3704" s="3" t="n">
        <v>85.27</v>
      </c>
      <c r="O3704">
        <f>TEXT(A3704,"yyyy-mm")</f>
        <v/>
      </c>
    </row>
    <row r="3705">
      <c r="A3705" s="2" t="n">
        <v>46111</v>
      </c>
      <c r="B3705" t="n">
        <v>2026</v>
      </c>
      <c r="C3705" t="inlineStr">
        <is>
          <t>March</t>
        </is>
      </c>
      <c r="D3705" t="inlineStr">
        <is>
          <t>Essential Charger</t>
        </is>
      </c>
      <c r="E3705" t="inlineStr">
        <is>
          <t>Electronics</t>
        </is>
      </c>
      <c r="F3705" t="inlineStr">
        <is>
          <t>Olivia Nowak</t>
        </is>
      </c>
      <c r="G3705" t="inlineStr">
        <is>
          <t>Germany</t>
        </is>
      </c>
      <c r="H3705" t="inlineStr">
        <is>
          <t>Web Store</t>
        </is>
      </c>
      <c r="I3705" t="n">
        <v>5</v>
      </c>
      <c r="J3705" s="3" t="n">
        <v>229.9</v>
      </c>
      <c r="K3705" s="3" t="n">
        <v>45.98</v>
      </c>
      <c r="L3705" s="3" t="n">
        <v>183.92</v>
      </c>
      <c r="M3705" s="3" t="n">
        <v>145.5</v>
      </c>
      <c r="N3705" s="3" t="n">
        <v>38.42</v>
      </c>
      <c r="O3705">
        <f>TEXT(A3705,"yyyy-mm")</f>
        <v/>
      </c>
    </row>
    <row r="3706">
      <c r="A3706" s="2" t="n">
        <v>46111</v>
      </c>
      <c r="B3706" t="n">
        <v>2026</v>
      </c>
      <c r="C3706" t="inlineStr">
        <is>
          <t>March</t>
        </is>
      </c>
      <c r="D3706" t="inlineStr">
        <is>
          <t>Wireless Backpack</t>
        </is>
      </c>
      <c r="E3706" t="inlineStr">
        <is>
          <t>Sports &amp; Outdoors</t>
        </is>
      </c>
      <c r="F3706" t="inlineStr">
        <is>
          <t>Olivia Nowak</t>
        </is>
      </c>
      <c r="G3706" t="inlineStr">
        <is>
          <t>Germany</t>
        </is>
      </c>
      <c r="H3706" t="inlineStr">
        <is>
          <t>Web Store</t>
        </is>
      </c>
      <c r="I3706" t="n">
        <v>3</v>
      </c>
      <c r="J3706" s="3" t="n">
        <v>153.36</v>
      </c>
      <c r="K3706" s="3" t="n">
        <v>0</v>
      </c>
      <c r="L3706" s="3" t="n">
        <v>153.36</v>
      </c>
      <c r="M3706" s="3" t="n">
        <v>84.3</v>
      </c>
      <c r="N3706" s="3" t="n">
        <v>69.06</v>
      </c>
      <c r="O3706">
        <f>TEXT(A3706,"yyyy-mm")</f>
        <v/>
      </c>
    </row>
    <row r="3707">
      <c r="A3707" s="2" t="n">
        <v>46111</v>
      </c>
      <c r="B3707" t="n">
        <v>2026</v>
      </c>
      <c r="C3707" t="inlineStr">
        <is>
          <t>March</t>
        </is>
      </c>
      <c r="D3707" t="inlineStr">
        <is>
          <t>Essential Rug</t>
        </is>
      </c>
      <c r="E3707" t="inlineStr">
        <is>
          <t>Home &amp; Garden</t>
        </is>
      </c>
      <c r="F3707" t="inlineStr">
        <is>
          <t>Paul Wojcik</t>
        </is>
      </c>
      <c r="G3707" t="inlineStr">
        <is>
          <t>United States</t>
        </is>
      </c>
      <c r="H3707" t="inlineStr">
        <is>
          <t>Mobile App</t>
        </is>
      </c>
      <c r="I3707" t="n">
        <v>3</v>
      </c>
      <c r="J3707" s="3" t="n">
        <v>387.93</v>
      </c>
      <c r="K3707" s="3" t="n">
        <v>58.19</v>
      </c>
      <c r="L3707" s="3" t="n">
        <v>329.74</v>
      </c>
      <c r="M3707" s="3" t="n">
        <v>228.99</v>
      </c>
      <c r="N3707" s="3" t="n">
        <v>100.75</v>
      </c>
      <c r="O3707">
        <f>TEXT(A3707,"yyyy-mm")</f>
        <v/>
      </c>
    </row>
    <row r="3708">
      <c r="A3708" s="2" t="n">
        <v>46111</v>
      </c>
      <c r="B3708" t="n">
        <v>2026</v>
      </c>
      <c r="C3708" t="inlineStr">
        <is>
          <t>March</t>
        </is>
      </c>
      <c r="D3708" t="inlineStr">
        <is>
          <t>Classic Atlas</t>
        </is>
      </c>
      <c r="E3708" t="inlineStr">
        <is>
          <t>Books</t>
        </is>
      </c>
      <c r="F3708" t="inlineStr">
        <is>
          <t>Olivia Nowak</t>
        </is>
      </c>
      <c r="G3708" t="inlineStr">
        <is>
          <t>Germany</t>
        </is>
      </c>
      <c r="H3708" t="inlineStr">
        <is>
          <t>Web Store</t>
        </is>
      </c>
      <c r="I3708" t="n">
        <v>2</v>
      </c>
      <c r="J3708" s="3" t="n">
        <v>122.8</v>
      </c>
      <c r="K3708" s="3" t="n">
        <v>0</v>
      </c>
      <c r="L3708" s="3" t="n">
        <v>122.8</v>
      </c>
      <c r="M3708" s="3" t="n">
        <v>69.18000000000001</v>
      </c>
      <c r="N3708" s="3" t="n">
        <v>53.62</v>
      </c>
      <c r="O3708">
        <f>TEXT(A3708,"yyyy-mm")</f>
        <v/>
      </c>
    </row>
    <row r="3709">
      <c r="A3709" s="2" t="n">
        <v>46111</v>
      </c>
      <c r="B3709" t="n">
        <v>2026</v>
      </c>
      <c r="C3709" t="inlineStr">
        <is>
          <t>March</t>
        </is>
      </c>
      <c r="D3709" t="inlineStr">
        <is>
          <t>Ultra Toolset</t>
        </is>
      </c>
      <c r="E3709" t="inlineStr">
        <is>
          <t>Home &amp; Garden</t>
        </is>
      </c>
      <c r="F3709" t="inlineStr">
        <is>
          <t>Olivia Nowak</t>
        </is>
      </c>
      <c r="G3709" t="inlineStr">
        <is>
          <t>Germany</t>
        </is>
      </c>
      <c r="H3709" t="inlineStr">
        <is>
          <t>Web Store</t>
        </is>
      </c>
      <c r="I3709" t="n">
        <v>5</v>
      </c>
      <c r="J3709" s="3" t="n">
        <v>1835.55</v>
      </c>
      <c r="K3709" s="3" t="n">
        <v>183.56</v>
      </c>
      <c r="L3709" s="3" t="n">
        <v>1652</v>
      </c>
      <c r="M3709" s="3" t="n">
        <v>952</v>
      </c>
      <c r="N3709" s="3" t="n">
        <v>700</v>
      </c>
      <c r="O3709">
        <f>TEXT(A3709,"yyyy-mm")</f>
        <v/>
      </c>
    </row>
    <row r="3710">
      <c r="A3710" s="2" t="n">
        <v>46111</v>
      </c>
      <c r="B3710" t="n">
        <v>2026</v>
      </c>
      <c r="C3710" t="inlineStr">
        <is>
          <t>March</t>
        </is>
      </c>
      <c r="D3710" t="inlineStr">
        <is>
          <t>Smart Charger</t>
        </is>
      </c>
      <c r="E3710" t="inlineStr">
        <is>
          <t>Electronics</t>
        </is>
      </c>
      <c r="F3710" t="inlineStr">
        <is>
          <t>Paul Wojcik</t>
        </is>
      </c>
      <c r="G3710" t="inlineStr">
        <is>
          <t>United States</t>
        </is>
      </c>
      <c r="H3710" t="inlineStr">
        <is>
          <t>Mobile App</t>
        </is>
      </c>
      <c r="I3710" t="n">
        <v>2</v>
      </c>
      <c r="J3710" s="3" t="n">
        <v>508.4</v>
      </c>
      <c r="K3710" s="3" t="n">
        <v>25.42</v>
      </c>
      <c r="L3710" s="3" t="n">
        <v>482.98</v>
      </c>
      <c r="M3710" s="3" t="n">
        <v>285.04</v>
      </c>
      <c r="N3710" s="3" t="n">
        <v>197.94</v>
      </c>
      <c r="O3710">
        <f>TEXT(A3710,"yyyy-mm")</f>
        <v/>
      </c>
    </row>
    <row r="3711">
      <c r="A3711" s="2" t="n">
        <v>46111</v>
      </c>
      <c r="B3711" t="n">
        <v>2026</v>
      </c>
      <c r="C3711" t="inlineStr">
        <is>
          <t>March</t>
        </is>
      </c>
      <c r="D3711" t="inlineStr">
        <is>
          <t>Premium Tent</t>
        </is>
      </c>
      <c r="E3711" t="inlineStr">
        <is>
          <t>Sports &amp; Outdoors</t>
        </is>
      </c>
      <c r="F3711" t="inlineStr">
        <is>
          <t>Julia Johnson</t>
        </is>
      </c>
      <c r="G3711" t="inlineStr">
        <is>
          <t>Spain</t>
        </is>
      </c>
      <c r="H3711" t="inlineStr">
        <is>
          <t>Retail Store</t>
        </is>
      </c>
      <c r="I3711" t="n">
        <v>5</v>
      </c>
      <c r="J3711" s="3" t="n">
        <v>1243.35</v>
      </c>
      <c r="K3711" s="3" t="n">
        <v>186.5</v>
      </c>
      <c r="L3711" s="3" t="n">
        <v>1056.85</v>
      </c>
      <c r="M3711" s="3" t="n">
        <v>695.2</v>
      </c>
      <c r="N3711" s="3" t="n">
        <v>361.65</v>
      </c>
      <c r="O3711">
        <f>TEXT(A3711,"yyyy-mm")</f>
        <v/>
      </c>
    </row>
    <row r="3712">
      <c r="A3712" s="2" t="n">
        <v>46111</v>
      </c>
      <c r="B3712" t="n">
        <v>2026</v>
      </c>
      <c r="C3712" t="inlineStr">
        <is>
          <t>March</t>
        </is>
      </c>
      <c r="D3712" t="inlineStr">
        <is>
          <t>Smart Board Game</t>
        </is>
      </c>
      <c r="E3712" t="inlineStr">
        <is>
          <t>Toys &amp; Games</t>
        </is>
      </c>
      <c r="F3712" t="inlineStr">
        <is>
          <t>Julia Johnson</t>
        </is>
      </c>
      <c r="G3712" t="inlineStr">
        <is>
          <t>Spain</t>
        </is>
      </c>
      <c r="H3712" t="inlineStr">
        <is>
          <t>Retail Store</t>
        </is>
      </c>
      <c r="I3712" t="n">
        <v>3</v>
      </c>
      <c r="J3712" s="3" t="n">
        <v>377.43</v>
      </c>
      <c r="K3712" s="3" t="n">
        <v>18.87</v>
      </c>
      <c r="L3712" s="3" t="n">
        <v>358.56</v>
      </c>
      <c r="M3712" s="3" t="n">
        <v>275.16</v>
      </c>
      <c r="N3712" s="3" t="n">
        <v>83.40000000000001</v>
      </c>
      <c r="O3712">
        <f>TEXT(A3712,"yyyy-mm")</f>
        <v/>
      </c>
    </row>
    <row r="3713">
      <c r="A3713" s="2" t="n">
        <v>46112</v>
      </c>
      <c r="B3713" t="n">
        <v>2026</v>
      </c>
      <c r="C3713" t="inlineStr">
        <is>
          <t>March</t>
        </is>
      </c>
      <c r="D3713" t="inlineStr">
        <is>
          <t>Smart Tea Set</t>
        </is>
      </c>
      <c r="E3713" t="inlineStr">
        <is>
          <t>Grocery</t>
        </is>
      </c>
      <c r="F3713" t="inlineStr">
        <is>
          <t>Robert Martin</t>
        </is>
      </c>
      <c r="G3713" t="inlineStr">
        <is>
          <t>Italy</t>
        </is>
      </c>
      <c r="H3713" t="inlineStr">
        <is>
          <t>Web Store</t>
        </is>
      </c>
      <c r="I3713" t="n">
        <v>4</v>
      </c>
      <c r="J3713" s="3" t="n">
        <v>342.8</v>
      </c>
      <c r="K3713" s="3" t="n">
        <v>34.28</v>
      </c>
      <c r="L3713" s="3" t="n">
        <v>308.52</v>
      </c>
      <c r="M3713" s="3" t="n">
        <v>247.2</v>
      </c>
      <c r="N3713" s="3" t="n">
        <v>61.32</v>
      </c>
      <c r="O3713">
        <f>TEXT(A3713,"yyyy-mm")</f>
        <v/>
      </c>
    </row>
    <row r="3714">
      <c r="A3714" s="2" t="n">
        <v>46112</v>
      </c>
      <c r="B3714" t="n">
        <v>2026</v>
      </c>
      <c r="C3714" t="inlineStr">
        <is>
          <t>March</t>
        </is>
      </c>
      <c r="D3714" t="inlineStr">
        <is>
          <t>Smart Jeans</t>
        </is>
      </c>
      <c r="E3714" t="inlineStr">
        <is>
          <t>Clothing</t>
        </is>
      </c>
      <c r="F3714" t="inlineStr">
        <is>
          <t>David Wojcik</t>
        </is>
      </c>
      <c r="G3714" t="inlineStr">
        <is>
          <t>Germany</t>
        </is>
      </c>
      <c r="H3714" t="inlineStr">
        <is>
          <t>Mobile App</t>
        </is>
      </c>
      <c r="I3714" t="n">
        <v>3</v>
      </c>
      <c r="J3714" s="3" t="n">
        <v>873.51</v>
      </c>
      <c r="K3714" s="3" t="n">
        <v>43.68</v>
      </c>
      <c r="L3714" s="3" t="n">
        <v>829.83</v>
      </c>
      <c r="M3714" s="3" t="n">
        <v>580.92</v>
      </c>
      <c r="N3714" s="3" t="n">
        <v>248.91</v>
      </c>
      <c r="O3714">
        <f>TEXT(A3714,"yyyy-mm")</f>
        <v/>
      </c>
    </row>
    <row r="3715">
      <c r="A3715" s="2" t="n">
        <v>46112</v>
      </c>
      <c r="B3715" t="n">
        <v>2026</v>
      </c>
      <c r="C3715" t="inlineStr">
        <is>
          <t>March</t>
        </is>
      </c>
      <c r="D3715" t="inlineStr">
        <is>
          <t>Essential Rug</t>
        </is>
      </c>
      <c r="E3715" t="inlineStr">
        <is>
          <t>Home &amp; Garden</t>
        </is>
      </c>
      <c r="F3715" t="inlineStr">
        <is>
          <t>David Wojcik</t>
        </is>
      </c>
      <c r="G3715" t="inlineStr">
        <is>
          <t>Germany</t>
        </is>
      </c>
      <c r="H3715" t="inlineStr">
        <is>
          <t>Mobile App</t>
        </is>
      </c>
      <c r="I3715" t="n">
        <v>4</v>
      </c>
      <c r="J3715" s="3" t="n">
        <v>542.92</v>
      </c>
      <c r="K3715" s="3" t="n">
        <v>54.29</v>
      </c>
      <c r="L3715" s="3" t="n">
        <v>488.63</v>
      </c>
      <c r="M3715" s="3" t="n">
        <v>305.32</v>
      </c>
      <c r="N3715" s="3" t="n">
        <v>183.31</v>
      </c>
      <c r="O3715">
        <f>TEXT(A3715,"yyyy-mm")</f>
        <v/>
      </c>
    </row>
    <row r="3716">
      <c r="A3716" s="2" t="n">
        <v>46112</v>
      </c>
      <c r="B3716" t="n">
        <v>2026</v>
      </c>
      <c r="C3716" t="inlineStr">
        <is>
          <t>March</t>
        </is>
      </c>
      <c r="D3716" t="inlineStr">
        <is>
          <t>Premium Water Bottle</t>
        </is>
      </c>
      <c r="E3716" t="inlineStr">
        <is>
          <t>Sports &amp; Outdoors</t>
        </is>
      </c>
      <c r="F3716" t="inlineStr">
        <is>
          <t>David Wojcik</t>
        </is>
      </c>
      <c r="G3716" t="inlineStr">
        <is>
          <t>Germany</t>
        </is>
      </c>
      <c r="H3716" t="inlineStr">
        <is>
          <t>Mobile App</t>
        </is>
      </c>
      <c r="I3716" t="n">
        <v>1</v>
      </c>
      <c r="J3716" s="3" t="n">
        <v>119.94</v>
      </c>
      <c r="K3716" s="3" t="n">
        <v>17.99</v>
      </c>
      <c r="L3716" s="3" t="n">
        <v>101.95</v>
      </c>
      <c r="M3716" s="3" t="n">
        <v>89.62</v>
      </c>
      <c r="N3716" s="3" t="n">
        <v>12.33</v>
      </c>
      <c r="O3716">
        <f>TEXT(A3716,"yyyy-mm")</f>
        <v/>
      </c>
    </row>
    <row r="3717">
      <c r="A3717" s="2" t="n">
        <v>46112</v>
      </c>
      <c r="B3717" t="n">
        <v>2026</v>
      </c>
      <c r="C3717" t="inlineStr">
        <is>
          <t>March</t>
        </is>
      </c>
      <c r="D3717" t="inlineStr">
        <is>
          <t>Eco Backpack</t>
        </is>
      </c>
      <c r="E3717" t="inlineStr">
        <is>
          <t>Sports &amp; Outdoors</t>
        </is>
      </c>
      <c r="F3717" t="inlineStr">
        <is>
          <t>Daniel Garcia</t>
        </is>
      </c>
      <c r="G3717" t="inlineStr">
        <is>
          <t>France</t>
        </is>
      </c>
      <c r="H3717" t="inlineStr">
        <is>
          <t>Retail Store</t>
        </is>
      </c>
      <c r="I3717" t="n">
        <v>1</v>
      </c>
      <c r="J3717" s="3" t="n">
        <v>254.68</v>
      </c>
      <c r="K3717" s="3" t="n">
        <v>0</v>
      </c>
      <c r="L3717" s="3" t="n">
        <v>254.68</v>
      </c>
      <c r="M3717" s="3" t="n">
        <v>146.58</v>
      </c>
      <c r="N3717" s="3" t="n">
        <v>108.1</v>
      </c>
      <c r="O3717">
        <f>TEXT(A3717,"yyyy-mm")</f>
        <v/>
      </c>
    </row>
    <row r="3718">
      <c r="A3718" s="2" t="n">
        <v>46112</v>
      </c>
      <c r="B3718" t="n">
        <v>2026</v>
      </c>
      <c r="C3718" t="inlineStr">
        <is>
          <t>March</t>
        </is>
      </c>
      <c r="D3718" t="inlineStr">
        <is>
          <t>Essential Charger</t>
        </is>
      </c>
      <c r="E3718" t="inlineStr">
        <is>
          <t>Electronics</t>
        </is>
      </c>
      <c r="F3718" t="inlineStr">
        <is>
          <t>Daniel Garcia</t>
        </is>
      </c>
      <c r="G3718" t="inlineStr">
        <is>
          <t>France</t>
        </is>
      </c>
      <c r="H3718" t="inlineStr">
        <is>
          <t>Retail Store</t>
        </is>
      </c>
      <c r="I3718" t="n">
        <v>5</v>
      </c>
      <c r="J3718" s="3" t="n">
        <v>221.6</v>
      </c>
      <c r="K3718" s="3" t="n">
        <v>33.24</v>
      </c>
      <c r="L3718" s="3" t="n">
        <v>188.36</v>
      </c>
      <c r="M3718" s="3" t="n">
        <v>145.5</v>
      </c>
      <c r="N3718" s="3" t="n">
        <v>42.86</v>
      </c>
      <c r="O3718">
        <f>TEXT(A3718,"yyyy-mm")</f>
        <v/>
      </c>
    </row>
    <row r="3719">
      <c r="A3719" s="2" t="n">
        <v>46112</v>
      </c>
      <c r="B3719" t="n">
        <v>2026</v>
      </c>
      <c r="C3719" t="inlineStr">
        <is>
          <t>March</t>
        </is>
      </c>
      <c r="D3719" t="inlineStr">
        <is>
          <t>Premium Tent</t>
        </is>
      </c>
      <c r="E3719" t="inlineStr">
        <is>
          <t>Sports &amp; Outdoors</t>
        </is>
      </c>
      <c r="F3719" t="inlineStr">
        <is>
          <t>David Nowak</t>
        </is>
      </c>
      <c r="G3719" t="inlineStr">
        <is>
          <t>United Kingdom</t>
        </is>
      </c>
      <c r="H3719" t="inlineStr">
        <is>
          <t>Mobile App</t>
        </is>
      </c>
      <c r="I3719" t="n">
        <v>1</v>
      </c>
      <c r="J3719" s="3" t="n">
        <v>139.36</v>
      </c>
      <c r="K3719" s="3" t="n">
        <v>0</v>
      </c>
      <c r="L3719" s="3" t="n">
        <v>139.36</v>
      </c>
      <c r="M3719" s="3" t="n">
        <v>96.40000000000001</v>
      </c>
      <c r="N3719" s="3" t="n">
        <v>42.96</v>
      </c>
      <c r="O3719">
        <f>TEXT(A3719,"yyyy-mm")</f>
        <v/>
      </c>
    </row>
    <row r="3720">
      <c r="A3720" s="2" t="n">
        <v>46112</v>
      </c>
      <c r="B3720" t="n">
        <v>2026</v>
      </c>
      <c r="C3720" t="inlineStr">
        <is>
          <t>March</t>
        </is>
      </c>
      <c r="D3720" t="inlineStr">
        <is>
          <t>Smart Coffee Beans</t>
        </is>
      </c>
      <c r="E3720" t="inlineStr">
        <is>
          <t>Grocery</t>
        </is>
      </c>
      <c r="F3720" t="inlineStr">
        <is>
          <t>David Nowak</t>
        </is>
      </c>
      <c r="G3720" t="inlineStr">
        <is>
          <t>United Kingdom</t>
        </is>
      </c>
      <c r="H3720" t="inlineStr">
        <is>
          <t>Mobile App</t>
        </is>
      </c>
      <c r="I3720" t="n">
        <v>3</v>
      </c>
      <c r="J3720" s="3" t="n">
        <v>324.48</v>
      </c>
      <c r="K3720" s="3" t="n">
        <v>0</v>
      </c>
      <c r="L3720" s="3" t="n">
        <v>324.48</v>
      </c>
      <c r="M3720" s="3" t="n">
        <v>218.55</v>
      </c>
      <c r="N3720" s="3" t="n">
        <v>105.93</v>
      </c>
      <c r="O3720">
        <f>TEXT(A3720,"yyyy-mm")</f>
        <v/>
      </c>
    </row>
    <row r="3721">
      <c r="A3721" s="2" t="n">
        <v>46112</v>
      </c>
      <c r="B3721" t="n">
        <v>2026</v>
      </c>
      <c r="C3721" t="inlineStr">
        <is>
          <t>March</t>
        </is>
      </c>
      <c r="D3721" t="inlineStr">
        <is>
          <t>Essential Cushion</t>
        </is>
      </c>
      <c r="E3721" t="inlineStr">
        <is>
          <t>Home &amp; Garden</t>
        </is>
      </c>
      <c r="F3721" t="inlineStr">
        <is>
          <t>David Nowak</t>
        </is>
      </c>
      <c r="G3721" t="inlineStr">
        <is>
          <t>United Kingdom</t>
        </is>
      </c>
      <c r="H3721" t="inlineStr">
        <is>
          <t>Mobile App</t>
        </is>
      </c>
      <c r="I3721" t="n">
        <v>2</v>
      </c>
      <c r="J3721" s="3" t="n">
        <v>90.76000000000001</v>
      </c>
      <c r="K3721" s="3" t="n">
        <v>18.15</v>
      </c>
      <c r="L3721" s="3" t="n">
        <v>72.61</v>
      </c>
      <c r="M3721" s="3" t="n">
        <v>61.1</v>
      </c>
      <c r="N3721" s="3" t="n">
        <v>11.51</v>
      </c>
      <c r="O3721">
        <f>TEXT(A3721,"yyyy-mm")</f>
        <v/>
      </c>
    </row>
    <row r="3722">
      <c r="A3722" s="2" t="n">
        <v>46112</v>
      </c>
      <c r="B3722" t="n">
        <v>2026</v>
      </c>
      <c r="C3722" t="inlineStr">
        <is>
          <t>March</t>
        </is>
      </c>
      <c r="D3722" t="inlineStr">
        <is>
          <t>Essential Lamp</t>
        </is>
      </c>
      <c r="E3722" t="inlineStr">
        <is>
          <t>Home &amp; Garden</t>
        </is>
      </c>
      <c r="F3722" t="inlineStr">
        <is>
          <t>Daniel Garcia</t>
        </is>
      </c>
      <c r="G3722" t="inlineStr">
        <is>
          <t>France</t>
        </is>
      </c>
      <c r="H3722" t="inlineStr">
        <is>
          <t>Retail Store</t>
        </is>
      </c>
      <c r="I3722" t="n">
        <v>2</v>
      </c>
      <c r="J3722" s="3" t="n">
        <v>123.32</v>
      </c>
      <c r="K3722" s="3" t="n">
        <v>18.5</v>
      </c>
      <c r="L3722" s="3" t="n">
        <v>104.82</v>
      </c>
      <c r="M3722" s="3" t="n">
        <v>90.8</v>
      </c>
      <c r="N3722" s="3" t="n">
        <v>14.02</v>
      </c>
      <c r="O3722">
        <f>TEXT(A3722,"yyyy-mm")</f>
        <v/>
      </c>
    </row>
    <row r="3723">
      <c r="A3723" s="2" t="n">
        <v>46112</v>
      </c>
      <c r="B3723" t="n">
        <v>2026</v>
      </c>
      <c r="C3723" t="inlineStr">
        <is>
          <t>March</t>
        </is>
      </c>
      <c r="D3723" t="inlineStr">
        <is>
          <t>Classic Yoga Mat</t>
        </is>
      </c>
      <c r="E3723" t="inlineStr">
        <is>
          <t>Sports &amp; Outdoors</t>
        </is>
      </c>
      <c r="F3723" t="inlineStr">
        <is>
          <t>David Nowak</t>
        </is>
      </c>
      <c r="G3723" t="inlineStr">
        <is>
          <t>United Kingdom</t>
        </is>
      </c>
      <c r="H3723" t="inlineStr">
        <is>
          <t>Mobile App</t>
        </is>
      </c>
      <c r="I3723" t="n">
        <v>5</v>
      </c>
      <c r="J3723" s="3" t="n">
        <v>1627.6</v>
      </c>
      <c r="K3723" s="3" t="n">
        <v>0</v>
      </c>
      <c r="L3723" s="3" t="n">
        <v>1627.6</v>
      </c>
      <c r="M3723" s="3" t="n">
        <v>978.5</v>
      </c>
      <c r="N3723" s="3" t="n">
        <v>649.1</v>
      </c>
      <c r="O3723">
        <f>TEXT(A3723,"yyyy-mm")</f>
        <v/>
      </c>
    </row>
    <row r="3724">
      <c r="A3724" s="2" t="n">
        <v>46112</v>
      </c>
      <c r="B3724" t="n">
        <v>2026</v>
      </c>
      <c r="C3724" t="inlineStr">
        <is>
          <t>March</t>
        </is>
      </c>
      <c r="D3724" t="inlineStr">
        <is>
          <t>Premium Water Bottle</t>
        </is>
      </c>
      <c r="E3724" t="inlineStr">
        <is>
          <t>Sports &amp; Outdoors</t>
        </is>
      </c>
      <c r="F3724" t="inlineStr">
        <is>
          <t>David Wojcik</t>
        </is>
      </c>
      <c r="G3724" t="inlineStr">
        <is>
          <t>Germany</t>
        </is>
      </c>
      <c r="H3724" t="inlineStr">
        <is>
          <t>Mobile App</t>
        </is>
      </c>
      <c r="I3724" t="n">
        <v>4</v>
      </c>
      <c r="J3724" s="3" t="n">
        <v>113.52</v>
      </c>
      <c r="K3724" s="3" t="n">
        <v>0</v>
      </c>
      <c r="L3724" s="3" t="n">
        <v>113.52</v>
      </c>
      <c r="M3724" s="3" t="n">
        <v>66.52</v>
      </c>
      <c r="N3724" s="3" t="n">
        <v>47</v>
      </c>
      <c r="O3724">
        <f>TEXT(A3724,"yyyy-mm")</f>
        <v/>
      </c>
    </row>
    <row r="3725">
      <c r="A3725" s="2" t="n">
        <v>46113</v>
      </c>
      <c r="B3725" t="n">
        <v>2026</v>
      </c>
      <c r="C3725" t="inlineStr">
        <is>
          <t>April</t>
        </is>
      </c>
      <c r="D3725" t="inlineStr">
        <is>
          <t>Wireless Backpack</t>
        </is>
      </c>
      <c r="E3725" t="inlineStr">
        <is>
          <t>Sports &amp; Outdoors</t>
        </is>
      </c>
      <c r="F3725" t="inlineStr">
        <is>
          <t>Maria Bianchi</t>
        </is>
      </c>
      <c r="G3725" t="inlineStr">
        <is>
          <t>France</t>
        </is>
      </c>
      <c r="H3725" t="inlineStr">
        <is>
          <t>Mobile App</t>
        </is>
      </c>
      <c r="I3725" t="n">
        <v>4</v>
      </c>
      <c r="J3725" s="3" t="n">
        <v>192.08</v>
      </c>
      <c r="K3725" s="3" t="n">
        <v>9.6</v>
      </c>
      <c r="L3725" s="3" t="n">
        <v>182.48</v>
      </c>
      <c r="M3725" s="3" t="n">
        <v>112.4</v>
      </c>
      <c r="N3725" s="3" t="n">
        <v>70.08</v>
      </c>
      <c r="O3725">
        <f>TEXT(A3725,"yyyy-mm")</f>
        <v/>
      </c>
    </row>
    <row r="3726">
      <c r="A3726" s="2" t="n">
        <v>46113</v>
      </c>
      <c r="B3726" t="n">
        <v>2026</v>
      </c>
      <c r="C3726" t="inlineStr">
        <is>
          <t>April</t>
        </is>
      </c>
      <c r="D3726" t="inlineStr">
        <is>
          <t>Smart Sweater</t>
        </is>
      </c>
      <c r="E3726" t="inlineStr">
        <is>
          <t>Clothing</t>
        </is>
      </c>
      <c r="F3726" t="inlineStr">
        <is>
          <t>Sophie Conti</t>
        </is>
      </c>
      <c r="G3726" t="inlineStr">
        <is>
          <t>Netherlands</t>
        </is>
      </c>
      <c r="H3726" t="inlineStr">
        <is>
          <t>Web Store</t>
        </is>
      </c>
      <c r="I3726" t="n">
        <v>3</v>
      </c>
      <c r="J3726" s="3" t="n">
        <v>420.39</v>
      </c>
      <c r="K3726" s="3" t="n">
        <v>84.08</v>
      </c>
      <c r="L3726" s="3" t="n">
        <v>336.31</v>
      </c>
      <c r="M3726" s="3" t="n">
        <v>232.05</v>
      </c>
      <c r="N3726" s="3" t="n">
        <v>104.26</v>
      </c>
      <c r="O3726">
        <f>TEXT(A3726,"yyyy-mm")</f>
        <v/>
      </c>
    </row>
    <row r="3727">
      <c r="A3727" s="2" t="n">
        <v>46113</v>
      </c>
      <c r="B3727" t="n">
        <v>2026</v>
      </c>
      <c r="C3727" t="inlineStr">
        <is>
          <t>April</t>
        </is>
      </c>
      <c r="D3727" t="inlineStr">
        <is>
          <t>Smart Board Game</t>
        </is>
      </c>
      <c r="E3727" t="inlineStr">
        <is>
          <t>Toys &amp; Games</t>
        </is>
      </c>
      <c r="F3727" t="inlineStr">
        <is>
          <t>Sophie Conti</t>
        </is>
      </c>
      <c r="G3727" t="inlineStr">
        <is>
          <t>Netherlands</t>
        </is>
      </c>
      <c r="H3727" t="inlineStr">
        <is>
          <t>Web Store</t>
        </is>
      </c>
      <c r="I3727" t="n">
        <v>4</v>
      </c>
      <c r="J3727" s="3" t="n">
        <v>527.88</v>
      </c>
      <c r="K3727" s="3" t="n">
        <v>105.58</v>
      </c>
      <c r="L3727" s="3" t="n">
        <v>422.3</v>
      </c>
      <c r="M3727" s="3" t="n">
        <v>366.88</v>
      </c>
      <c r="N3727" s="3" t="n">
        <v>55.42</v>
      </c>
      <c r="O3727">
        <f>TEXT(A3727,"yyyy-mm")</f>
        <v/>
      </c>
    </row>
    <row r="3728">
      <c r="A3728" s="2" t="n">
        <v>46113</v>
      </c>
      <c r="B3728" t="n">
        <v>2026</v>
      </c>
      <c r="C3728" t="inlineStr">
        <is>
          <t>April</t>
        </is>
      </c>
      <c r="D3728" t="inlineStr">
        <is>
          <t>Smart Olive Oil</t>
        </is>
      </c>
      <c r="E3728" t="inlineStr">
        <is>
          <t>Grocery</t>
        </is>
      </c>
      <c r="F3728" t="inlineStr">
        <is>
          <t>Sophie Conti</t>
        </is>
      </c>
      <c r="G3728" t="inlineStr">
        <is>
          <t>Netherlands</t>
        </is>
      </c>
      <c r="H3728" t="inlineStr">
        <is>
          <t>Web Store</t>
        </is>
      </c>
      <c r="I3728" t="n">
        <v>3</v>
      </c>
      <c r="J3728" s="3" t="n">
        <v>509.4</v>
      </c>
      <c r="K3728" s="3" t="n">
        <v>0</v>
      </c>
      <c r="L3728" s="3" t="n">
        <v>509.4</v>
      </c>
      <c r="M3728" s="3" t="n">
        <v>330.06</v>
      </c>
      <c r="N3728" s="3" t="n">
        <v>179.34</v>
      </c>
      <c r="O3728">
        <f>TEXT(A3728,"yyyy-mm")</f>
        <v/>
      </c>
    </row>
    <row r="3729">
      <c r="A3729" s="2" t="n">
        <v>46114</v>
      </c>
      <c r="B3729" t="n">
        <v>2026</v>
      </c>
      <c r="C3729" t="inlineStr">
        <is>
          <t>April</t>
        </is>
      </c>
      <c r="D3729" t="inlineStr">
        <is>
          <t>Premium Cookbook</t>
        </is>
      </c>
      <c r="E3729" t="inlineStr">
        <is>
          <t>Books</t>
        </is>
      </c>
      <c r="F3729" t="inlineStr">
        <is>
          <t>James Nowak</t>
        </is>
      </c>
      <c r="G3729" t="inlineStr">
        <is>
          <t>France</t>
        </is>
      </c>
      <c r="H3729" t="inlineStr">
        <is>
          <t>Web Store</t>
        </is>
      </c>
      <c r="I3729" t="n">
        <v>3</v>
      </c>
      <c r="J3729" s="3" t="n">
        <v>375.6</v>
      </c>
      <c r="K3729" s="3" t="n">
        <v>0</v>
      </c>
      <c r="L3729" s="3" t="n">
        <v>375.6</v>
      </c>
      <c r="M3729" s="3" t="n">
        <v>284.94</v>
      </c>
      <c r="N3729" s="3" t="n">
        <v>90.66</v>
      </c>
      <c r="O3729">
        <f>TEXT(A3729,"yyyy-mm")</f>
        <v/>
      </c>
    </row>
    <row r="3730">
      <c r="A3730" s="2" t="n">
        <v>46114</v>
      </c>
      <c r="B3730" t="n">
        <v>2026</v>
      </c>
      <c r="C3730" t="inlineStr">
        <is>
          <t>April</t>
        </is>
      </c>
      <c r="D3730" t="inlineStr">
        <is>
          <t>Smart Charger</t>
        </is>
      </c>
      <c r="E3730" t="inlineStr">
        <is>
          <t>Electronics</t>
        </is>
      </c>
      <c r="F3730" t="inlineStr">
        <is>
          <t>John Johnson</t>
        </is>
      </c>
      <c r="G3730" t="inlineStr">
        <is>
          <t>Spain</t>
        </is>
      </c>
      <c r="H3730" t="inlineStr">
        <is>
          <t>Web Store</t>
        </is>
      </c>
      <c r="I3730" t="n">
        <v>3</v>
      </c>
      <c r="J3730" s="3" t="n">
        <v>116.97</v>
      </c>
      <c r="K3730" s="3" t="n">
        <v>17.55</v>
      </c>
      <c r="L3730" s="3" t="n">
        <v>99.42</v>
      </c>
      <c r="M3730" s="3" t="n">
        <v>82.92</v>
      </c>
      <c r="N3730" s="3" t="n">
        <v>16.5</v>
      </c>
      <c r="O3730">
        <f>TEXT(A3730,"yyyy-mm")</f>
        <v/>
      </c>
    </row>
    <row r="3731">
      <c r="A3731" s="2" t="n">
        <v>46114</v>
      </c>
      <c r="B3731" t="n">
        <v>2026</v>
      </c>
      <c r="C3731" t="inlineStr">
        <is>
          <t>April</t>
        </is>
      </c>
      <c r="D3731" t="inlineStr">
        <is>
          <t>Premium Cookbook</t>
        </is>
      </c>
      <c r="E3731" t="inlineStr">
        <is>
          <t>Books</t>
        </is>
      </c>
      <c r="F3731" t="inlineStr">
        <is>
          <t>John Johnson</t>
        </is>
      </c>
      <c r="G3731" t="inlineStr">
        <is>
          <t>Spain</t>
        </is>
      </c>
      <c r="H3731" t="inlineStr">
        <is>
          <t>Web Store</t>
        </is>
      </c>
      <c r="I3731" t="n">
        <v>2</v>
      </c>
      <c r="J3731" s="3" t="n">
        <v>247.88</v>
      </c>
      <c r="K3731" s="3" t="n">
        <v>0</v>
      </c>
      <c r="L3731" s="3" t="n">
        <v>247.88</v>
      </c>
      <c r="M3731" s="3" t="n">
        <v>189.96</v>
      </c>
      <c r="N3731" s="3" t="n">
        <v>57.92</v>
      </c>
      <c r="O3731">
        <f>TEXT(A3731,"yyyy-mm")</f>
        <v/>
      </c>
    </row>
    <row r="3732">
      <c r="A3732" s="2" t="n">
        <v>46114</v>
      </c>
      <c r="B3732" t="n">
        <v>2026</v>
      </c>
      <c r="C3732" t="inlineStr">
        <is>
          <t>April</t>
        </is>
      </c>
      <c r="D3732" t="inlineStr">
        <is>
          <t>Wireless Drone</t>
        </is>
      </c>
      <c r="E3732" t="inlineStr">
        <is>
          <t>Toys &amp; Games</t>
        </is>
      </c>
      <c r="F3732" t="inlineStr">
        <is>
          <t>John Johnson</t>
        </is>
      </c>
      <c r="G3732" t="inlineStr">
        <is>
          <t>Spain</t>
        </is>
      </c>
      <c r="H3732" t="inlineStr">
        <is>
          <t>Web Store</t>
        </is>
      </c>
      <c r="I3732" t="n">
        <v>5</v>
      </c>
      <c r="J3732" s="3" t="n">
        <v>1070.15</v>
      </c>
      <c r="K3732" s="3" t="n">
        <v>0</v>
      </c>
      <c r="L3732" s="3" t="n">
        <v>1070.15</v>
      </c>
      <c r="M3732" s="3" t="n">
        <v>656.45</v>
      </c>
      <c r="N3732" s="3" t="n">
        <v>413.7</v>
      </c>
      <c r="O3732">
        <f>TEXT(A3732,"yyyy-mm")</f>
        <v/>
      </c>
    </row>
    <row r="3733">
      <c r="A3733" s="2" t="n">
        <v>46114</v>
      </c>
      <c r="B3733" t="n">
        <v>2026</v>
      </c>
      <c r="C3733" t="inlineStr">
        <is>
          <t>April</t>
        </is>
      </c>
      <c r="D3733" t="inlineStr">
        <is>
          <t>Classic Tent</t>
        </is>
      </c>
      <c r="E3733" t="inlineStr">
        <is>
          <t>Sports &amp; Outdoors</t>
        </is>
      </c>
      <c r="F3733" t="inlineStr">
        <is>
          <t>John Johnson</t>
        </is>
      </c>
      <c r="G3733" t="inlineStr">
        <is>
          <t>Spain</t>
        </is>
      </c>
      <c r="H3733" t="inlineStr">
        <is>
          <t>Web Store</t>
        </is>
      </c>
      <c r="I3733" t="n">
        <v>2</v>
      </c>
      <c r="J3733" s="3" t="n">
        <v>418.4</v>
      </c>
      <c r="K3733" s="3" t="n">
        <v>41.84</v>
      </c>
      <c r="L3733" s="3" t="n">
        <v>376.56</v>
      </c>
      <c r="M3733" s="3" t="n">
        <v>236.04</v>
      </c>
      <c r="N3733" s="3" t="n">
        <v>140.52</v>
      </c>
      <c r="O3733">
        <f>TEXT(A3733,"yyyy-mm")</f>
        <v/>
      </c>
    </row>
    <row r="3734">
      <c r="A3734" s="2" t="n">
        <v>46115</v>
      </c>
      <c r="B3734" t="n">
        <v>2026</v>
      </c>
      <c r="C3734" t="inlineStr">
        <is>
          <t>April</t>
        </is>
      </c>
      <c r="D3734" t="inlineStr">
        <is>
          <t>Smart Cookbook</t>
        </is>
      </c>
      <c r="E3734" t="inlineStr">
        <is>
          <t>Books</t>
        </is>
      </c>
      <c r="F3734" t="inlineStr">
        <is>
          <t>Mark Brown</t>
        </is>
      </c>
      <c r="G3734" t="inlineStr">
        <is>
          <t>France</t>
        </is>
      </c>
      <c r="H3734" t="inlineStr">
        <is>
          <t>Web Store</t>
        </is>
      </c>
      <c r="I3734" t="n">
        <v>2</v>
      </c>
      <c r="J3734" s="3" t="n">
        <v>37.4</v>
      </c>
      <c r="K3734" s="3" t="n">
        <v>0</v>
      </c>
      <c r="L3734" s="3" t="n">
        <v>37.4</v>
      </c>
      <c r="M3734" s="3" t="n">
        <v>19.76</v>
      </c>
      <c r="N3734" s="3" t="n">
        <v>17.64</v>
      </c>
      <c r="O3734">
        <f>TEXT(A3734,"yyyy-mm")</f>
        <v/>
      </c>
    </row>
    <row r="3735">
      <c r="A3735" s="2" t="n">
        <v>46115</v>
      </c>
      <c r="B3735" t="n">
        <v>2026</v>
      </c>
      <c r="C3735" t="inlineStr">
        <is>
          <t>April</t>
        </is>
      </c>
      <c r="D3735" t="inlineStr">
        <is>
          <t>Wireless Cookbook</t>
        </is>
      </c>
      <c r="E3735" t="inlineStr">
        <is>
          <t>Books</t>
        </is>
      </c>
      <c r="F3735" t="inlineStr">
        <is>
          <t>Mark Brown</t>
        </is>
      </c>
      <c r="G3735" t="inlineStr">
        <is>
          <t>France</t>
        </is>
      </c>
      <c r="H3735" t="inlineStr">
        <is>
          <t>Web Store</t>
        </is>
      </c>
      <c r="I3735" t="n">
        <v>2</v>
      </c>
      <c r="J3735" s="3" t="n">
        <v>150.08</v>
      </c>
      <c r="K3735" s="3" t="n">
        <v>30.02</v>
      </c>
      <c r="L3735" s="3" t="n">
        <v>120.06</v>
      </c>
      <c r="M3735" s="3" t="n">
        <v>113.22</v>
      </c>
      <c r="N3735" s="3" t="n">
        <v>6.84</v>
      </c>
      <c r="O3735">
        <f>TEXT(A3735,"yyyy-mm")</f>
        <v/>
      </c>
    </row>
    <row r="3736">
      <c r="A3736" s="2" t="n">
        <v>46115</v>
      </c>
      <c r="B3736" t="n">
        <v>2026</v>
      </c>
      <c r="C3736" t="inlineStr">
        <is>
          <t>April</t>
        </is>
      </c>
      <c r="D3736" t="inlineStr">
        <is>
          <t>Deluxe Toolset</t>
        </is>
      </c>
      <c r="E3736" t="inlineStr">
        <is>
          <t>Home &amp; Garden</t>
        </is>
      </c>
      <c r="F3736" t="inlineStr">
        <is>
          <t>Nina Muller</t>
        </is>
      </c>
      <c r="G3736" t="inlineStr">
        <is>
          <t>Spain</t>
        </is>
      </c>
      <c r="H3736" t="inlineStr">
        <is>
          <t>Mobile App</t>
        </is>
      </c>
      <c r="I3736" t="n">
        <v>4</v>
      </c>
      <c r="J3736" s="3" t="n">
        <v>277.64</v>
      </c>
      <c r="K3736" s="3" t="n">
        <v>27.76</v>
      </c>
      <c r="L3736" s="3" t="n">
        <v>249.88</v>
      </c>
      <c r="M3736" s="3" t="n">
        <v>190.84</v>
      </c>
      <c r="N3736" s="3" t="n">
        <v>59.04</v>
      </c>
      <c r="O3736">
        <f>TEXT(A3736,"yyyy-mm")</f>
        <v/>
      </c>
    </row>
    <row r="3737">
      <c r="A3737" s="2" t="n">
        <v>46115</v>
      </c>
      <c r="B3737" t="n">
        <v>2026</v>
      </c>
      <c r="C3737" t="inlineStr">
        <is>
          <t>April</t>
        </is>
      </c>
      <c r="D3737" t="inlineStr">
        <is>
          <t>Compact Jacket</t>
        </is>
      </c>
      <c r="E3737" t="inlineStr">
        <is>
          <t>Clothing</t>
        </is>
      </c>
      <c r="F3737" t="inlineStr">
        <is>
          <t>Nina Muller</t>
        </is>
      </c>
      <c r="G3737" t="inlineStr">
        <is>
          <t>Spain</t>
        </is>
      </c>
      <c r="H3737" t="inlineStr">
        <is>
          <t>Mobile App</t>
        </is>
      </c>
      <c r="I3737" t="n">
        <v>3</v>
      </c>
      <c r="J3737" s="3" t="n">
        <v>112.41</v>
      </c>
      <c r="K3737" s="3" t="n">
        <v>0</v>
      </c>
      <c r="L3737" s="3" t="n">
        <v>112.41</v>
      </c>
      <c r="M3737" s="3" t="n">
        <v>61.2</v>
      </c>
      <c r="N3737" s="3" t="n">
        <v>51.21</v>
      </c>
      <c r="O3737">
        <f>TEXT(A3737,"yyyy-mm")</f>
        <v/>
      </c>
    </row>
    <row r="3738">
      <c r="A3738" s="2" t="n">
        <v>46115</v>
      </c>
      <c r="B3738" t="n">
        <v>2026</v>
      </c>
      <c r="C3738" t="inlineStr">
        <is>
          <t>April</t>
        </is>
      </c>
      <c r="D3738" t="inlineStr">
        <is>
          <t>Eco Planter</t>
        </is>
      </c>
      <c r="E3738" t="inlineStr">
        <is>
          <t>Home &amp; Garden</t>
        </is>
      </c>
      <c r="F3738" t="inlineStr">
        <is>
          <t>David Bianchi</t>
        </is>
      </c>
      <c r="G3738" t="inlineStr">
        <is>
          <t>Netherlands</t>
        </is>
      </c>
      <c r="H3738" t="inlineStr">
        <is>
          <t>Retail Store</t>
        </is>
      </c>
      <c r="I3738" t="n">
        <v>5</v>
      </c>
      <c r="J3738" s="3" t="n">
        <v>917</v>
      </c>
      <c r="K3738" s="3" t="n">
        <v>0</v>
      </c>
      <c r="L3738" s="3" t="n">
        <v>917</v>
      </c>
      <c r="M3738" s="3" t="n">
        <v>562.05</v>
      </c>
      <c r="N3738" s="3" t="n">
        <v>354.95</v>
      </c>
      <c r="O3738">
        <f>TEXT(A3738,"yyyy-mm")</f>
        <v/>
      </c>
    </row>
    <row r="3739">
      <c r="A3739" s="2" t="n">
        <v>46115</v>
      </c>
      <c r="B3739" t="n">
        <v>2026</v>
      </c>
      <c r="C3739" t="inlineStr">
        <is>
          <t>April</t>
        </is>
      </c>
      <c r="D3739" t="inlineStr">
        <is>
          <t>Premium Tent</t>
        </is>
      </c>
      <c r="E3739" t="inlineStr">
        <is>
          <t>Sports &amp; Outdoors</t>
        </is>
      </c>
      <c r="F3739" t="inlineStr">
        <is>
          <t>David Bianchi</t>
        </is>
      </c>
      <c r="G3739" t="inlineStr">
        <is>
          <t>Netherlands</t>
        </is>
      </c>
      <c r="H3739" t="inlineStr">
        <is>
          <t>Retail Store</t>
        </is>
      </c>
      <c r="I3739" t="n">
        <v>4</v>
      </c>
      <c r="J3739" s="3" t="n">
        <v>1079.76</v>
      </c>
      <c r="K3739" s="3" t="n">
        <v>107.98</v>
      </c>
      <c r="L3739" s="3" t="n">
        <v>971.78</v>
      </c>
      <c r="M3739" s="3" t="n">
        <v>556.16</v>
      </c>
      <c r="N3739" s="3" t="n">
        <v>415.62</v>
      </c>
      <c r="O3739">
        <f>TEXT(A3739,"yyyy-mm")</f>
        <v/>
      </c>
    </row>
    <row r="3740">
      <c r="A3740" s="2" t="n">
        <v>46115</v>
      </c>
      <c r="B3740" t="n">
        <v>2026</v>
      </c>
      <c r="C3740" t="inlineStr">
        <is>
          <t>April</t>
        </is>
      </c>
      <c r="D3740" t="inlineStr">
        <is>
          <t>Smart Puzzle</t>
        </is>
      </c>
      <c r="E3740" t="inlineStr">
        <is>
          <t>Toys &amp; Games</t>
        </is>
      </c>
      <c r="F3740" t="inlineStr">
        <is>
          <t>David Bianchi</t>
        </is>
      </c>
      <c r="G3740" t="inlineStr">
        <is>
          <t>Netherlands</t>
        </is>
      </c>
      <c r="H3740" t="inlineStr">
        <is>
          <t>Retail Store</t>
        </is>
      </c>
      <c r="I3740" t="n">
        <v>5</v>
      </c>
      <c r="J3740" s="3" t="n">
        <v>1281.35</v>
      </c>
      <c r="K3740" s="3" t="n">
        <v>0</v>
      </c>
      <c r="L3740" s="3" t="n">
        <v>1281.35</v>
      </c>
      <c r="M3740" s="3" t="n">
        <v>963.8</v>
      </c>
      <c r="N3740" s="3" t="n">
        <v>317.55</v>
      </c>
      <c r="O3740">
        <f>TEXT(A3740,"yyyy-mm")</f>
        <v/>
      </c>
    </row>
    <row r="3741">
      <c r="A3741" s="2" t="n">
        <v>46115</v>
      </c>
      <c r="B3741" t="n">
        <v>2026</v>
      </c>
      <c r="C3741" t="inlineStr">
        <is>
          <t>April</t>
        </is>
      </c>
      <c r="D3741" t="inlineStr">
        <is>
          <t>Premium Tent</t>
        </is>
      </c>
      <c r="E3741" t="inlineStr">
        <is>
          <t>Sports &amp; Outdoors</t>
        </is>
      </c>
      <c r="F3741" t="inlineStr">
        <is>
          <t>David Bianchi</t>
        </is>
      </c>
      <c r="G3741" t="inlineStr">
        <is>
          <t>Netherlands</t>
        </is>
      </c>
      <c r="H3741" t="inlineStr">
        <is>
          <t>Retail Store</t>
        </is>
      </c>
      <c r="I3741" t="n">
        <v>2</v>
      </c>
      <c r="J3741" s="3" t="n">
        <v>527.52</v>
      </c>
      <c r="K3741" s="3" t="n">
        <v>52.75</v>
      </c>
      <c r="L3741" s="3" t="n">
        <v>474.77</v>
      </c>
      <c r="M3741" s="3" t="n">
        <v>330.62</v>
      </c>
      <c r="N3741" s="3" t="n">
        <v>144.15</v>
      </c>
      <c r="O3741">
        <f>TEXT(A3741,"yyyy-mm")</f>
        <v/>
      </c>
    </row>
    <row r="3742">
      <c r="A3742" s="2" t="n">
        <v>46115</v>
      </c>
      <c r="B3742" t="n">
        <v>2026</v>
      </c>
      <c r="C3742" t="inlineStr">
        <is>
          <t>April</t>
        </is>
      </c>
      <c r="D3742" t="inlineStr">
        <is>
          <t>Wireless Drone</t>
        </is>
      </c>
      <c r="E3742" t="inlineStr">
        <is>
          <t>Toys &amp; Games</t>
        </is>
      </c>
      <c r="F3742" t="inlineStr">
        <is>
          <t>Mark Brown</t>
        </is>
      </c>
      <c r="G3742" t="inlineStr">
        <is>
          <t>France</t>
        </is>
      </c>
      <c r="H3742" t="inlineStr">
        <is>
          <t>Web Store</t>
        </is>
      </c>
      <c r="I3742" t="n">
        <v>5</v>
      </c>
      <c r="J3742" s="3" t="n">
        <v>1100.6</v>
      </c>
      <c r="K3742" s="3" t="n">
        <v>110.06</v>
      </c>
      <c r="L3742" s="3" t="n">
        <v>990.54</v>
      </c>
      <c r="M3742" s="3" t="n">
        <v>656.45</v>
      </c>
      <c r="N3742" s="3" t="n">
        <v>334.09</v>
      </c>
      <c r="O3742">
        <f>TEXT(A3742,"yyyy-mm")</f>
        <v/>
      </c>
    </row>
    <row r="3743">
      <c r="A3743" s="2" t="n">
        <v>46115</v>
      </c>
      <c r="B3743" t="n">
        <v>2026</v>
      </c>
      <c r="C3743" t="inlineStr">
        <is>
          <t>April</t>
        </is>
      </c>
      <c r="D3743" t="inlineStr">
        <is>
          <t>Classic Atlas</t>
        </is>
      </c>
      <c r="E3743" t="inlineStr">
        <is>
          <t>Books</t>
        </is>
      </c>
      <c r="F3743" t="inlineStr">
        <is>
          <t>Nina Muller</t>
        </is>
      </c>
      <c r="G3743" t="inlineStr">
        <is>
          <t>Spain</t>
        </is>
      </c>
      <c r="H3743" t="inlineStr">
        <is>
          <t>Mobile App</t>
        </is>
      </c>
      <c r="I3743" t="n">
        <v>2</v>
      </c>
      <c r="J3743" s="3" t="n">
        <v>128.66</v>
      </c>
      <c r="K3743" s="3" t="n">
        <v>0</v>
      </c>
      <c r="L3743" s="3" t="n">
        <v>128.66</v>
      </c>
      <c r="M3743" s="3" t="n">
        <v>69.18000000000001</v>
      </c>
      <c r="N3743" s="3" t="n">
        <v>59.48</v>
      </c>
      <c r="O3743">
        <f>TEXT(A3743,"yyyy-mm")</f>
        <v/>
      </c>
    </row>
    <row r="3744">
      <c r="A3744" s="2" t="n">
        <v>46115</v>
      </c>
      <c r="B3744" t="n">
        <v>2026</v>
      </c>
      <c r="C3744" t="inlineStr">
        <is>
          <t>April</t>
        </is>
      </c>
      <c r="D3744" t="inlineStr">
        <is>
          <t>Smart Tea Set</t>
        </is>
      </c>
      <c r="E3744" t="inlineStr">
        <is>
          <t>Grocery</t>
        </is>
      </c>
      <c r="F3744" t="inlineStr">
        <is>
          <t>Nina Muller</t>
        </is>
      </c>
      <c r="G3744" t="inlineStr">
        <is>
          <t>Spain</t>
        </is>
      </c>
      <c r="H3744" t="inlineStr">
        <is>
          <t>Mobile App</t>
        </is>
      </c>
      <c r="I3744" t="n">
        <v>4</v>
      </c>
      <c r="J3744" s="3" t="n">
        <v>346.64</v>
      </c>
      <c r="K3744" s="3" t="n">
        <v>0</v>
      </c>
      <c r="L3744" s="3" t="n">
        <v>346.64</v>
      </c>
      <c r="M3744" s="3" t="n">
        <v>247.2</v>
      </c>
      <c r="N3744" s="3" t="n">
        <v>99.44</v>
      </c>
      <c r="O3744">
        <f>TEXT(A3744,"yyyy-mm")</f>
        <v/>
      </c>
    </row>
    <row r="3745">
      <c r="A3745" s="2" t="n">
        <v>46115</v>
      </c>
      <c r="B3745" t="n">
        <v>2026</v>
      </c>
      <c r="C3745" t="inlineStr">
        <is>
          <t>April</t>
        </is>
      </c>
      <c r="D3745" t="inlineStr">
        <is>
          <t>Ultra Toolset</t>
        </is>
      </c>
      <c r="E3745" t="inlineStr">
        <is>
          <t>Home &amp; Garden</t>
        </is>
      </c>
      <c r="F3745" t="inlineStr">
        <is>
          <t>Mark Brown</t>
        </is>
      </c>
      <c r="G3745" t="inlineStr">
        <is>
          <t>France</t>
        </is>
      </c>
      <c r="H3745" t="inlineStr">
        <is>
          <t>Web Store</t>
        </is>
      </c>
      <c r="I3745" t="n">
        <v>5</v>
      </c>
      <c r="J3745" s="3" t="n">
        <v>1797.9</v>
      </c>
      <c r="K3745" s="3" t="n">
        <v>0</v>
      </c>
      <c r="L3745" s="3" t="n">
        <v>1797.9</v>
      </c>
      <c r="M3745" s="3" t="n">
        <v>952</v>
      </c>
      <c r="N3745" s="3" t="n">
        <v>845.9</v>
      </c>
      <c r="O3745">
        <f>TEXT(A3745,"yyyy-mm")</f>
        <v/>
      </c>
    </row>
    <row r="3746">
      <c r="A3746" s="2" t="n">
        <v>46116</v>
      </c>
      <c r="B3746" t="n">
        <v>2026</v>
      </c>
      <c r="C3746" t="inlineStr">
        <is>
          <t>April</t>
        </is>
      </c>
      <c r="D3746" t="inlineStr">
        <is>
          <t>Classic Tea Set</t>
        </is>
      </c>
      <c r="E3746" t="inlineStr">
        <is>
          <t>Grocery</t>
        </is>
      </c>
      <c r="F3746" t="inlineStr">
        <is>
          <t>John Fischer</t>
        </is>
      </c>
      <c r="G3746" t="inlineStr">
        <is>
          <t>Netherlands</t>
        </is>
      </c>
      <c r="H3746" t="inlineStr">
        <is>
          <t>Web Store</t>
        </is>
      </c>
      <c r="I3746" t="n">
        <v>1</v>
      </c>
      <c r="J3746" s="3" t="n">
        <v>181.94</v>
      </c>
      <c r="K3746" s="3" t="n">
        <v>27.29</v>
      </c>
      <c r="L3746" s="3" t="n">
        <v>154.65</v>
      </c>
      <c r="M3746" s="3" t="n">
        <v>125.4</v>
      </c>
      <c r="N3746" s="3" t="n">
        <v>29.25</v>
      </c>
      <c r="O3746">
        <f>TEXT(A3746,"yyyy-mm")</f>
        <v/>
      </c>
    </row>
    <row r="3747">
      <c r="A3747" s="2" t="n">
        <v>46116</v>
      </c>
      <c r="B3747" t="n">
        <v>2026</v>
      </c>
      <c r="C3747" t="inlineStr">
        <is>
          <t>April</t>
        </is>
      </c>
      <c r="D3747" t="inlineStr">
        <is>
          <t>Classic Yoga Mat</t>
        </is>
      </c>
      <c r="E3747" t="inlineStr">
        <is>
          <t>Sports &amp; Outdoors</t>
        </is>
      </c>
      <c r="F3747" t="inlineStr">
        <is>
          <t>John Fischer</t>
        </is>
      </c>
      <c r="G3747" t="inlineStr">
        <is>
          <t>Netherlands</t>
        </is>
      </c>
      <c r="H3747" t="inlineStr">
        <is>
          <t>Web Store</t>
        </is>
      </c>
      <c r="I3747" t="n">
        <v>1</v>
      </c>
      <c r="J3747" s="3" t="n">
        <v>334.23</v>
      </c>
      <c r="K3747" s="3" t="n">
        <v>16.71</v>
      </c>
      <c r="L3747" s="3" t="n">
        <v>317.52</v>
      </c>
      <c r="M3747" s="3" t="n">
        <v>195.7</v>
      </c>
      <c r="N3747" s="3" t="n">
        <v>121.82</v>
      </c>
      <c r="O3747">
        <f>TEXT(A3747,"yyyy-mm")</f>
        <v/>
      </c>
    </row>
    <row r="3748">
      <c r="A3748" s="2" t="n">
        <v>46116</v>
      </c>
      <c r="B3748" t="n">
        <v>2026</v>
      </c>
      <c r="C3748" t="inlineStr">
        <is>
          <t>April</t>
        </is>
      </c>
      <c r="D3748" t="inlineStr">
        <is>
          <t>Deluxe Toothbrush</t>
        </is>
      </c>
      <c r="E3748" t="inlineStr">
        <is>
          <t>Beauty &amp; Health</t>
        </is>
      </c>
      <c r="F3748" t="inlineStr">
        <is>
          <t>John Fischer</t>
        </is>
      </c>
      <c r="G3748" t="inlineStr">
        <is>
          <t>Netherlands</t>
        </is>
      </c>
      <c r="H3748" t="inlineStr">
        <is>
          <t>Web Store</t>
        </is>
      </c>
      <c r="I3748" t="n">
        <v>5</v>
      </c>
      <c r="J3748" s="3" t="n">
        <v>1728.25</v>
      </c>
      <c r="K3748" s="3" t="n">
        <v>172.82</v>
      </c>
      <c r="L3748" s="3" t="n">
        <v>1555.42</v>
      </c>
      <c r="M3748" s="3" t="n">
        <v>872.85</v>
      </c>
      <c r="N3748" s="3" t="n">
        <v>682.58</v>
      </c>
      <c r="O3748">
        <f>TEXT(A3748,"yyyy-mm")</f>
        <v/>
      </c>
    </row>
    <row r="3749">
      <c r="A3749" s="2" t="n">
        <v>46116</v>
      </c>
      <c r="B3749" t="n">
        <v>2026</v>
      </c>
      <c r="C3749" t="inlineStr">
        <is>
          <t>April</t>
        </is>
      </c>
      <c r="D3749" t="inlineStr">
        <is>
          <t>Premium Water Bottle</t>
        </is>
      </c>
      <c r="E3749" t="inlineStr">
        <is>
          <t>Sports &amp; Outdoors</t>
        </is>
      </c>
      <c r="F3749" t="inlineStr">
        <is>
          <t>Paul Weber</t>
        </is>
      </c>
      <c r="G3749" t="inlineStr">
        <is>
          <t>Germany</t>
        </is>
      </c>
      <c r="H3749" t="inlineStr">
        <is>
          <t>Web Store</t>
        </is>
      </c>
      <c r="I3749" t="n">
        <v>2</v>
      </c>
      <c r="J3749" s="3" t="n">
        <v>60.76</v>
      </c>
      <c r="K3749" s="3" t="n">
        <v>12.15</v>
      </c>
      <c r="L3749" s="3" t="n">
        <v>48.61</v>
      </c>
      <c r="M3749" s="3" t="n">
        <v>33.26</v>
      </c>
      <c r="N3749" s="3" t="n">
        <v>15.35</v>
      </c>
      <c r="O3749">
        <f>TEXT(A3749,"yyyy-mm")</f>
        <v/>
      </c>
    </row>
    <row r="3750">
      <c r="A3750" s="2" t="n">
        <v>46116</v>
      </c>
      <c r="B3750" t="n">
        <v>2026</v>
      </c>
      <c r="C3750" t="inlineStr">
        <is>
          <t>April</t>
        </is>
      </c>
      <c r="D3750" t="inlineStr">
        <is>
          <t>Smart Sweater</t>
        </is>
      </c>
      <c r="E3750" t="inlineStr">
        <is>
          <t>Clothing</t>
        </is>
      </c>
      <c r="F3750" t="inlineStr">
        <is>
          <t>Paul Weber</t>
        </is>
      </c>
      <c r="G3750" t="inlineStr">
        <is>
          <t>Germany</t>
        </is>
      </c>
      <c r="H3750" t="inlineStr">
        <is>
          <t>Web Store</t>
        </is>
      </c>
      <c r="I3750" t="n">
        <v>3</v>
      </c>
      <c r="J3750" s="3" t="n">
        <v>419.7</v>
      </c>
      <c r="K3750" s="3" t="n">
        <v>62.96</v>
      </c>
      <c r="L3750" s="3" t="n">
        <v>356.75</v>
      </c>
      <c r="M3750" s="3" t="n">
        <v>232.05</v>
      </c>
      <c r="N3750" s="3" t="n">
        <v>124.7</v>
      </c>
      <c r="O3750">
        <f>TEXT(A3750,"yyyy-mm")</f>
        <v/>
      </c>
    </row>
    <row r="3751">
      <c r="A3751" s="2" t="n">
        <v>46116</v>
      </c>
      <c r="B3751" t="n">
        <v>2026</v>
      </c>
      <c r="C3751" t="inlineStr">
        <is>
          <t>April</t>
        </is>
      </c>
      <c r="D3751" t="inlineStr">
        <is>
          <t>Smart Charger</t>
        </is>
      </c>
      <c r="E3751" t="inlineStr">
        <is>
          <t>Electronics</t>
        </is>
      </c>
      <c r="F3751" t="inlineStr">
        <is>
          <t>Paul Weber</t>
        </is>
      </c>
      <c r="G3751" t="inlineStr">
        <is>
          <t>Germany</t>
        </is>
      </c>
      <c r="H3751" t="inlineStr">
        <is>
          <t>Web Store</t>
        </is>
      </c>
      <c r="I3751" t="n">
        <v>2</v>
      </c>
      <c r="J3751" s="3" t="n">
        <v>499.82</v>
      </c>
      <c r="K3751" s="3" t="n">
        <v>0</v>
      </c>
      <c r="L3751" s="3" t="n">
        <v>499.82</v>
      </c>
      <c r="M3751" s="3" t="n">
        <v>285.04</v>
      </c>
      <c r="N3751" s="3" t="n">
        <v>214.78</v>
      </c>
      <c r="O3751">
        <f>TEXT(A3751,"yyyy-mm")</f>
        <v/>
      </c>
    </row>
    <row r="3752">
      <c r="A3752" s="2" t="n">
        <v>46117</v>
      </c>
      <c r="B3752" t="n">
        <v>2026</v>
      </c>
      <c r="C3752" t="inlineStr">
        <is>
          <t>April</t>
        </is>
      </c>
      <c r="D3752" t="inlineStr">
        <is>
          <t>Smart Coffee Beans</t>
        </is>
      </c>
      <c r="E3752" t="inlineStr">
        <is>
          <t>Grocery</t>
        </is>
      </c>
      <c r="F3752" t="inlineStr">
        <is>
          <t>Maria Martin</t>
        </is>
      </c>
      <c r="G3752" t="inlineStr">
        <is>
          <t>Poland</t>
        </is>
      </c>
      <c r="H3752" t="inlineStr">
        <is>
          <t>Marketplace</t>
        </is>
      </c>
      <c r="I3752" t="n">
        <v>1</v>
      </c>
      <c r="J3752" s="3" t="n">
        <v>106.04</v>
      </c>
      <c r="K3752" s="3" t="n">
        <v>21.21</v>
      </c>
      <c r="L3752" s="3" t="n">
        <v>84.83</v>
      </c>
      <c r="M3752" s="3" t="n">
        <v>72.84999999999999</v>
      </c>
      <c r="N3752" s="3" t="n">
        <v>11.98</v>
      </c>
      <c r="O3752">
        <f>TEXT(A3752,"yyyy-mm")</f>
        <v/>
      </c>
    </row>
    <row r="3753">
      <c r="A3753" s="2" t="n">
        <v>46117</v>
      </c>
      <c r="B3753" t="n">
        <v>2026</v>
      </c>
      <c r="C3753" t="inlineStr">
        <is>
          <t>April</t>
        </is>
      </c>
      <c r="D3753" t="inlineStr">
        <is>
          <t>Smart Tea Set</t>
        </is>
      </c>
      <c r="E3753" t="inlineStr">
        <is>
          <t>Grocery</t>
        </is>
      </c>
      <c r="F3753" t="inlineStr">
        <is>
          <t>Maria Martin</t>
        </is>
      </c>
      <c r="G3753" t="inlineStr">
        <is>
          <t>Poland</t>
        </is>
      </c>
      <c r="H3753" t="inlineStr">
        <is>
          <t>Marketplace</t>
        </is>
      </c>
      <c r="I3753" t="n">
        <v>3</v>
      </c>
      <c r="J3753" s="3" t="n">
        <v>256.26</v>
      </c>
      <c r="K3753" s="3" t="n">
        <v>51.25</v>
      </c>
      <c r="L3753" s="3" t="n">
        <v>205.01</v>
      </c>
      <c r="M3753" s="3" t="n">
        <v>185.4</v>
      </c>
      <c r="N3753" s="3" t="n">
        <v>19.61</v>
      </c>
      <c r="O3753">
        <f>TEXT(A3753,"yyyy-mm")</f>
        <v/>
      </c>
    </row>
    <row r="3754">
      <c r="A3754" s="2" t="n">
        <v>46117</v>
      </c>
      <c r="B3754" t="n">
        <v>2026</v>
      </c>
      <c r="C3754" t="inlineStr">
        <is>
          <t>April</t>
        </is>
      </c>
      <c r="D3754" t="inlineStr">
        <is>
          <t>Smart Puzzle</t>
        </is>
      </c>
      <c r="E3754" t="inlineStr">
        <is>
          <t>Toys &amp; Games</t>
        </is>
      </c>
      <c r="F3754" t="inlineStr">
        <is>
          <t>Maria Martin</t>
        </is>
      </c>
      <c r="G3754" t="inlineStr">
        <is>
          <t>Poland</t>
        </is>
      </c>
      <c r="H3754" t="inlineStr">
        <is>
          <t>Marketplace</t>
        </is>
      </c>
      <c r="I3754" t="n">
        <v>5</v>
      </c>
      <c r="J3754" s="3" t="n">
        <v>219.35</v>
      </c>
      <c r="K3754" s="3" t="n">
        <v>0</v>
      </c>
      <c r="L3754" s="3" t="n">
        <v>219.35</v>
      </c>
      <c r="M3754" s="3" t="n">
        <v>122.2</v>
      </c>
      <c r="N3754" s="3" t="n">
        <v>97.15000000000001</v>
      </c>
      <c r="O3754">
        <f>TEXT(A3754,"yyyy-mm")</f>
        <v/>
      </c>
    </row>
    <row r="3755">
      <c r="A3755" s="2" t="n">
        <v>46117</v>
      </c>
      <c r="B3755" t="n">
        <v>2026</v>
      </c>
      <c r="C3755" t="inlineStr">
        <is>
          <t>April</t>
        </is>
      </c>
      <c r="D3755" t="inlineStr">
        <is>
          <t>Ultra Rug</t>
        </is>
      </c>
      <c r="E3755" t="inlineStr">
        <is>
          <t>Home &amp; Garden</t>
        </is>
      </c>
      <c r="F3755" t="inlineStr">
        <is>
          <t>Maria Martin</t>
        </is>
      </c>
      <c r="G3755" t="inlineStr">
        <is>
          <t>Poland</t>
        </is>
      </c>
      <c r="H3755" t="inlineStr">
        <is>
          <t>Marketplace</t>
        </is>
      </c>
      <c r="I3755" t="n">
        <v>1</v>
      </c>
      <c r="J3755" s="3" t="n">
        <v>50.03</v>
      </c>
      <c r="K3755" s="3" t="n">
        <v>7.5</v>
      </c>
      <c r="L3755" s="3" t="n">
        <v>42.53</v>
      </c>
      <c r="M3755" s="3" t="n">
        <v>32.91</v>
      </c>
      <c r="N3755" s="3" t="n">
        <v>9.619999999999999</v>
      </c>
      <c r="O3755">
        <f>TEXT(A3755,"yyyy-mm")</f>
        <v/>
      </c>
    </row>
    <row r="3756">
      <c r="A3756" s="2" t="n">
        <v>46118</v>
      </c>
      <c r="B3756" t="n">
        <v>2026</v>
      </c>
      <c r="C3756" t="inlineStr">
        <is>
          <t>April</t>
        </is>
      </c>
      <c r="D3756" t="inlineStr">
        <is>
          <t>Smart Tea Set</t>
        </is>
      </c>
      <c r="E3756" t="inlineStr">
        <is>
          <t>Grocery</t>
        </is>
      </c>
      <c r="F3756" t="inlineStr">
        <is>
          <t>Sophie Nowak</t>
        </is>
      </c>
      <c r="G3756" t="inlineStr">
        <is>
          <t>Germany</t>
        </is>
      </c>
      <c r="H3756" t="inlineStr">
        <is>
          <t>Mobile App</t>
        </is>
      </c>
      <c r="I3756" t="n">
        <v>1</v>
      </c>
      <c r="J3756" s="3" t="n">
        <v>90.3</v>
      </c>
      <c r="K3756" s="3" t="n">
        <v>0</v>
      </c>
      <c r="L3756" s="3" t="n">
        <v>90.3</v>
      </c>
      <c r="M3756" s="3" t="n">
        <v>61.8</v>
      </c>
      <c r="N3756" s="3" t="n">
        <v>28.5</v>
      </c>
      <c r="O3756">
        <f>TEXT(A3756,"yyyy-mm")</f>
        <v/>
      </c>
    </row>
    <row r="3757">
      <c r="A3757" s="2" t="n">
        <v>46118</v>
      </c>
      <c r="B3757" t="n">
        <v>2026</v>
      </c>
      <c r="C3757" t="inlineStr">
        <is>
          <t>April</t>
        </is>
      </c>
      <c r="D3757" t="inlineStr">
        <is>
          <t>Compact Biography</t>
        </is>
      </c>
      <c r="E3757" t="inlineStr">
        <is>
          <t>Books</t>
        </is>
      </c>
      <c r="F3757" t="inlineStr">
        <is>
          <t>Sophie Nowak</t>
        </is>
      </c>
      <c r="G3757" t="inlineStr">
        <is>
          <t>Germany</t>
        </is>
      </c>
      <c r="H3757" t="inlineStr">
        <is>
          <t>Mobile App</t>
        </is>
      </c>
      <c r="I3757" t="n">
        <v>5</v>
      </c>
      <c r="J3757" s="3" t="n">
        <v>1320.35</v>
      </c>
      <c r="K3757" s="3" t="n">
        <v>0</v>
      </c>
      <c r="L3757" s="3" t="n">
        <v>1320.35</v>
      </c>
      <c r="M3757" s="3" t="n">
        <v>701.65</v>
      </c>
      <c r="N3757" s="3" t="n">
        <v>618.7</v>
      </c>
      <c r="O3757">
        <f>TEXT(A3757,"yyyy-mm")</f>
        <v/>
      </c>
    </row>
    <row r="3758">
      <c r="A3758" s="2" t="n">
        <v>46118</v>
      </c>
      <c r="B3758" t="n">
        <v>2026</v>
      </c>
      <c r="C3758" t="inlineStr">
        <is>
          <t>April</t>
        </is>
      </c>
      <c r="D3758" t="inlineStr">
        <is>
          <t>Premium Water Bottle</t>
        </is>
      </c>
      <c r="E3758" t="inlineStr">
        <is>
          <t>Sports &amp; Outdoors</t>
        </is>
      </c>
      <c r="F3758" t="inlineStr">
        <is>
          <t>Sophie Nowak</t>
        </is>
      </c>
      <c r="G3758" t="inlineStr">
        <is>
          <t>Germany</t>
        </is>
      </c>
      <c r="H3758" t="inlineStr">
        <is>
          <t>Mobile App</t>
        </is>
      </c>
      <c r="I3758" t="n">
        <v>4</v>
      </c>
      <c r="J3758" s="3" t="n">
        <v>120.92</v>
      </c>
      <c r="K3758" s="3" t="n">
        <v>6.05</v>
      </c>
      <c r="L3758" s="3" t="n">
        <v>114.87</v>
      </c>
      <c r="M3758" s="3" t="n">
        <v>66.52</v>
      </c>
      <c r="N3758" s="3" t="n">
        <v>48.35</v>
      </c>
      <c r="O3758">
        <f>TEXT(A3758,"yyyy-mm")</f>
        <v/>
      </c>
    </row>
    <row r="3759">
      <c r="A3759" s="2" t="n">
        <v>46118</v>
      </c>
      <c r="B3759" t="n">
        <v>2026</v>
      </c>
      <c r="C3759" t="inlineStr">
        <is>
          <t>April</t>
        </is>
      </c>
      <c r="D3759" t="inlineStr">
        <is>
          <t>Classic Bike Helmet</t>
        </is>
      </c>
      <c r="E3759" t="inlineStr">
        <is>
          <t>Sports &amp; Outdoors</t>
        </is>
      </c>
      <c r="F3759" t="inlineStr">
        <is>
          <t>Sophie Nowak</t>
        </is>
      </c>
      <c r="G3759" t="inlineStr">
        <is>
          <t>Germany</t>
        </is>
      </c>
      <c r="H3759" t="inlineStr">
        <is>
          <t>Mobile App</t>
        </is>
      </c>
      <c r="I3759" t="n">
        <v>3</v>
      </c>
      <c r="J3759" s="3" t="n">
        <v>630.48</v>
      </c>
      <c r="K3759" s="3" t="n">
        <v>126.1</v>
      </c>
      <c r="L3759" s="3" t="n">
        <v>504.38</v>
      </c>
      <c r="M3759" s="3" t="n">
        <v>461.43</v>
      </c>
      <c r="N3759" s="3" t="n">
        <v>42.95</v>
      </c>
      <c r="O3759">
        <f>TEXT(A3759,"yyyy-mm")</f>
        <v/>
      </c>
    </row>
    <row r="3760">
      <c r="A3760" s="2" t="n">
        <v>46118</v>
      </c>
      <c r="B3760" t="n">
        <v>2026</v>
      </c>
      <c r="C3760" t="inlineStr">
        <is>
          <t>April</t>
        </is>
      </c>
      <c r="D3760" t="inlineStr">
        <is>
          <t>Smart Tea Set</t>
        </is>
      </c>
      <c r="E3760" t="inlineStr">
        <is>
          <t>Grocery</t>
        </is>
      </c>
      <c r="F3760" t="inlineStr">
        <is>
          <t>Daniel Garcia</t>
        </is>
      </c>
      <c r="G3760" t="inlineStr">
        <is>
          <t>Italy</t>
        </is>
      </c>
      <c r="H3760" t="inlineStr">
        <is>
          <t>Mobile App</t>
        </is>
      </c>
      <c r="I3760" t="n">
        <v>4</v>
      </c>
      <c r="J3760" s="3" t="n">
        <v>338.32</v>
      </c>
      <c r="K3760" s="3" t="n">
        <v>0</v>
      </c>
      <c r="L3760" s="3" t="n">
        <v>338.32</v>
      </c>
      <c r="M3760" s="3" t="n">
        <v>247.2</v>
      </c>
      <c r="N3760" s="3" t="n">
        <v>91.12</v>
      </c>
      <c r="O3760">
        <f>TEXT(A3760,"yyyy-mm")</f>
        <v/>
      </c>
    </row>
    <row r="3761">
      <c r="A3761" s="2" t="n">
        <v>46118</v>
      </c>
      <c r="B3761" t="n">
        <v>2026</v>
      </c>
      <c r="C3761" t="inlineStr">
        <is>
          <t>April</t>
        </is>
      </c>
      <c r="D3761" t="inlineStr">
        <is>
          <t>Essential Pasta</t>
        </is>
      </c>
      <c r="E3761" t="inlineStr">
        <is>
          <t>Grocery</t>
        </is>
      </c>
      <c r="F3761" t="inlineStr">
        <is>
          <t>Daniel Garcia</t>
        </is>
      </c>
      <c r="G3761" t="inlineStr">
        <is>
          <t>Italy</t>
        </is>
      </c>
      <c r="H3761" t="inlineStr">
        <is>
          <t>Mobile App</t>
        </is>
      </c>
      <c r="I3761" t="n">
        <v>4</v>
      </c>
      <c r="J3761" s="3" t="n">
        <v>227.08</v>
      </c>
      <c r="K3761" s="3" t="n">
        <v>34.06</v>
      </c>
      <c r="L3761" s="3" t="n">
        <v>193.02</v>
      </c>
      <c r="M3761" s="3" t="n">
        <v>143.24</v>
      </c>
      <c r="N3761" s="3" t="n">
        <v>49.78</v>
      </c>
      <c r="O3761">
        <f>TEXT(A3761,"yyyy-mm")</f>
        <v/>
      </c>
    </row>
    <row r="3762">
      <c r="A3762" s="2" t="n">
        <v>46118</v>
      </c>
      <c r="B3762" t="n">
        <v>2026</v>
      </c>
      <c r="C3762" t="inlineStr">
        <is>
          <t>April</t>
        </is>
      </c>
      <c r="D3762" t="inlineStr">
        <is>
          <t>Deluxe Puzzle</t>
        </is>
      </c>
      <c r="E3762" t="inlineStr">
        <is>
          <t>Toys &amp; Games</t>
        </is>
      </c>
      <c r="F3762" t="inlineStr">
        <is>
          <t>Laura Rossi</t>
        </is>
      </c>
      <c r="G3762" t="inlineStr">
        <is>
          <t>United States</t>
        </is>
      </c>
      <c r="H3762" t="inlineStr">
        <is>
          <t>Mobile App</t>
        </is>
      </c>
      <c r="I3762" t="n">
        <v>3</v>
      </c>
      <c r="J3762" s="3" t="n">
        <v>606.0599999999999</v>
      </c>
      <c r="K3762" s="3" t="n">
        <v>0</v>
      </c>
      <c r="L3762" s="3" t="n">
        <v>606.0599999999999</v>
      </c>
      <c r="M3762" s="3" t="n">
        <v>333.51</v>
      </c>
      <c r="N3762" s="3" t="n">
        <v>272.55</v>
      </c>
      <c r="O3762">
        <f>TEXT(A3762,"yyyy-mm")</f>
        <v/>
      </c>
    </row>
    <row r="3763">
      <c r="A3763" s="2" t="n">
        <v>46118</v>
      </c>
      <c r="B3763" t="n">
        <v>2026</v>
      </c>
      <c r="C3763" t="inlineStr">
        <is>
          <t>April</t>
        </is>
      </c>
      <c r="D3763" t="inlineStr">
        <is>
          <t>Smart Sweater</t>
        </is>
      </c>
      <c r="E3763" t="inlineStr">
        <is>
          <t>Clothing</t>
        </is>
      </c>
      <c r="F3763" t="inlineStr">
        <is>
          <t>Laura Rossi</t>
        </is>
      </c>
      <c r="G3763" t="inlineStr">
        <is>
          <t>United States</t>
        </is>
      </c>
      <c r="H3763" t="inlineStr">
        <is>
          <t>Mobile App</t>
        </is>
      </c>
      <c r="I3763" t="n">
        <v>3</v>
      </c>
      <c r="J3763" s="3" t="n">
        <v>453.66</v>
      </c>
      <c r="K3763" s="3" t="n">
        <v>90.73</v>
      </c>
      <c r="L3763" s="3" t="n">
        <v>362.93</v>
      </c>
      <c r="M3763" s="3" t="n">
        <v>232.05</v>
      </c>
      <c r="N3763" s="3" t="n">
        <v>130.88</v>
      </c>
      <c r="O3763">
        <f>TEXT(A3763,"yyyy-mm")</f>
        <v/>
      </c>
    </row>
    <row r="3764">
      <c r="A3764" s="2" t="n">
        <v>46118</v>
      </c>
      <c r="B3764" t="n">
        <v>2026</v>
      </c>
      <c r="C3764" t="inlineStr">
        <is>
          <t>April</t>
        </is>
      </c>
      <c r="D3764" t="inlineStr">
        <is>
          <t>Portable Tea Set</t>
        </is>
      </c>
      <c r="E3764" t="inlineStr">
        <is>
          <t>Grocery</t>
        </is>
      </c>
      <c r="F3764" t="inlineStr">
        <is>
          <t>Laura Rossi</t>
        </is>
      </c>
      <c r="G3764" t="inlineStr">
        <is>
          <t>United States</t>
        </is>
      </c>
      <c r="H3764" t="inlineStr">
        <is>
          <t>Mobile App</t>
        </is>
      </c>
      <c r="I3764" t="n">
        <v>1</v>
      </c>
      <c r="J3764" s="3" t="n">
        <v>273.74</v>
      </c>
      <c r="K3764" s="3" t="n">
        <v>41.06</v>
      </c>
      <c r="L3764" s="3" t="n">
        <v>232.68</v>
      </c>
      <c r="M3764" s="3" t="n">
        <v>188.12</v>
      </c>
      <c r="N3764" s="3" t="n">
        <v>44.56</v>
      </c>
      <c r="O3764">
        <f>TEXT(A3764,"yyyy-mm")</f>
        <v/>
      </c>
    </row>
    <row r="3765">
      <c r="A3765" s="2" t="n">
        <v>46118</v>
      </c>
      <c r="B3765" t="n">
        <v>2026</v>
      </c>
      <c r="C3765" t="inlineStr">
        <is>
          <t>April</t>
        </is>
      </c>
      <c r="D3765" t="inlineStr">
        <is>
          <t>Eco Tent</t>
        </is>
      </c>
      <c r="E3765" t="inlineStr">
        <is>
          <t>Sports &amp; Outdoors</t>
        </is>
      </c>
      <c r="F3765" t="inlineStr">
        <is>
          <t>Laura Rossi</t>
        </is>
      </c>
      <c r="G3765" t="inlineStr">
        <is>
          <t>United States</t>
        </is>
      </c>
      <c r="H3765" t="inlineStr">
        <is>
          <t>Mobile App</t>
        </is>
      </c>
      <c r="I3765" t="n">
        <v>2</v>
      </c>
      <c r="J3765" s="3" t="n">
        <v>139.16</v>
      </c>
      <c r="K3765" s="3" t="n">
        <v>6.96</v>
      </c>
      <c r="L3765" s="3" t="n">
        <v>132.2</v>
      </c>
      <c r="M3765" s="3" t="n">
        <v>87.7</v>
      </c>
      <c r="N3765" s="3" t="n">
        <v>44.5</v>
      </c>
      <c r="O3765">
        <f>TEXT(A3765,"yyyy-mm")</f>
        <v/>
      </c>
    </row>
    <row r="3766">
      <c r="A3766" s="2" t="n">
        <v>46118</v>
      </c>
      <c r="B3766" t="n">
        <v>2026</v>
      </c>
      <c r="C3766" t="inlineStr">
        <is>
          <t>April</t>
        </is>
      </c>
      <c r="D3766" t="inlineStr">
        <is>
          <t>Eco Biography</t>
        </is>
      </c>
      <c r="E3766" t="inlineStr">
        <is>
          <t>Books</t>
        </is>
      </c>
      <c r="F3766" t="inlineStr">
        <is>
          <t>Daniel Garcia</t>
        </is>
      </c>
      <c r="G3766" t="inlineStr">
        <is>
          <t>Italy</t>
        </is>
      </c>
      <c r="H3766" t="inlineStr">
        <is>
          <t>Mobile App</t>
        </is>
      </c>
      <c r="I3766" t="n">
        <v>4</v>
      </c>
      <c r="J3766" s="3" t="n">
        <v>482.48</v>
      </c>
      <c r="K3766" s="3" t="n">
        <v>72.37</v>
      </c>
      <c r="L3766" s="3" t="n">
        <v>410.11</v>
      </c>
      <c r="M3766" s="3" t="n">
        <v>284.08</v>
      </c>
      <c r="N3766" s="3" t="n">
        <v>126.03</v>
      </c>
      <c r="O3766">
        <f>TEXT(A3766,"yyyy-mm")</f>
        <v/>
      </c>
    </row>
    <row r="3767">
      <c r="A3767" s="2" t="n">
        <v>46119</v>
      </c>
      <c r="B3767" t="n">
        <v>2026</v>
      </c>
      <c r="C3767" t="inlineStr">
        <is>
          <t>April</t>
        </is>
      </c>
      <c r="D3767" t="inlineStr">
        <is>
          <t>Premium Water Bottle</t>
        </is>
      </c>
      <c r="E3767" t="inlineStr">
        <is>
          <t>Sports &amp; Outdoors</t>
        </is>
      </c>
      <c r="F3767" t="inlineStr">
        <is>
          <t>Emma Fischer</t>
        </is>
      </c>
      <c r="G3767" t="inlineStr">
        <is>
          <t>Spain</t>
        </is>
      </c>
      <c r="H3767" t="inlineStr">
        <is>
          <t>Mobile App</t>
        </is>
      </c>
      <c r="I3767" t="n">
        <v>4</v>
      </c>
      <c r="J3767" s="3" t="n">
        <v>118.72</v>
      </c>
      <c r="K3767" s="3" t="n">
        <v>23.74</v>
      </c>
      <c r="L3767" s="3" t="n">
        <v>94.98</v>
      </c>
      <c r="M3767" s="3" t="n">
        <v>66.52</v>
      </c>
      <c r="N3767" s="3" t="n">
        <v>28.46</v>
      </c>
      <c r="O3767">
        <f>TEXT(A3767,"yyyy-mm")</f>
        <v/>
      </c>
    </row>
    <row r="3768">
      <c r="A3768" s="2" t="n">
        <v>46119</v>
      </c>
      <c r="B3768" t="n">
        <v>2026</v>
      </c>
      <c r="C3768" t="inlineStr">
        <is>
          <t>April</t>
        </is>
      </c>
      <c r="D3768" t="inlineStr">
        <is>
          <t>Compact Jacket</t>
        </is>
      </c>
      <c r="E3768" t="inlineStr">
        <is>
          <t>Clothing</t>
        </is>
      </c>
      <c r="F3768" t="inlineStr">
        <is>
          <t>Emma Fischer</t>
        </is>
      </c>
      <c r="G3768" t="inlineStr">
        <is>
          <t>Spain</t>
        </is>
      </c>
      <c r="H3768" t="inlineStr">
        <is>
          <t>Mobile App</t>
        </is>
      </c>
      <c r="I3768" t="n">
        <v>2</v>
      </c>
      <c r="J3768" s="3" t="n">
        <v>76.95999999999999</v>
      </c>
      <c r="K3768" s="3" t="n">
        <v>0</v>
      </c>
      <c r="L3768" s="3" t="n">
        <v>76.95999999999999</v>
      </c>
      <c r="M3768" s="3" t="n">
        <v>40.8</v>
      </c>
      <c r="N3768" s="3" t="n">
        <v>36.16</v>
      </c>
      <c r="O3768">
        <f>TEXT(A3768,"yyyy-mm")</f>
        <v/>
      </c>
    </row>
    <row r="3769">
      <c r="A3769" s="2" t="n">
        <v>46119</v>
      </c>
      <c r="B3769" t="n">
        <v>2026</v>
      </c>
      <c r="C3769" t="inlineStr">
        <is>
          <t>April</t>
        </is>
      </c>
      <c r="D3769" t="inlineStr">
        <is>
          <t>Classic Atlas</t>
        </is>
      </c>
      <c r="E3769" t="inlineStr">
        <is>
          <t>Books</t>
        </is>
      </c>
      <c r="F3769" t="inlineStr">
        <is>
          <t>Emma Fischer</t>
        </is>
      </c>
      <c r="G3769" t="inlineStr">
        <is>
          <t>Spain</t>
        </is>
      </c>
      <c r="H3769" t="inlineStr">
        <is>
          <t>Mobile App</t>
        </is>
      </c>
      <c r="I3769" t="n">
        <v>4</v>
      </c>
      <c r="J3769" s="3" t="n">
        <v>243.96</v>
      </c>
      <c r="K3769" s="3" t="n">
        <v>48.79</v>
      </c>
      <c r="L3769" s="3" t="n">
        <v>195.17</v>
      </c>
      <c r="M3769" s="3" t="n">
        <v>138.36</v>
      </c>
      <c r="N3769" s="3" t="n">
        <v>56.81</v>
      </c>
      <c r="O3769">
        <f>TEXT(A3769,"yyyy-mm")</f>
        <v/>
      </c>
    </row>
    <row r="3770">
      <c r="A3770" s="2" t="n">
        <v>46119</v>
      </c>
      <c r="B3770" t="n">
        <v>2026</v>
      </c>
      <c r="C3770" t="inlineStr">
        <is>
          <t>April</t>
        </is>
      </c>
      <c r="D3770" t="inlineStr">
        <is>
          <t>Portable Puzzle</t>
        </is>
      </c>
      <c r="E3770" t="inlineStr">
        <is>
          <t>Toys &amp; Games</t>
        </is>
      </c>
      <c r="F3770" t="inlineStr">
        <is>
          <t>Emma Fischer</t>
        </is>
      </c>
      <c r="G3770" t="inlineStr">
        <is>
          <t>Spain</t>
        </is>
      </c>
      <c r="H3770" t="inlineStr">
        <is>
          <t>Mobile App</t>
        </is>
      </c>
      <c r="I3770" t="n">
        <v>2</v>
      </c>
      <c r="J3770" s="3" t="n">
        <v>214.02</v>
      </c>
      <c r="K3770" s="3" t="n">
        <v>32.1</v>
      </c>
      <c r="L3770" s="3" t="n">
        <v>181.92</v>
      </c>
      <c r="M3770" s="3" t="n">
        <v>117.6</v>
      </c>
      <c r="N3770" s="3" t="n">
        <v>64.31999999999999</v>
      </c>
      <c r="O3770">
        <f>TEXT(A3770,"yyyy-mm")</f>
        <v/>
      </c>
    </row>
    <row r="3771">
      <c r="A3771" s="2" t="n">
        <v>46119</v>
      </c>
      <c r="B3771" t="n">
        <v>2026</v>
      </c>
      <c r="C3771" t="inlineStr">
        <is>
          <t>April</t>
        </is>
      </c>
      <c r="D3771" t="inlineStr">
        <is>
          <t>Wireless Cookbook</t>
        </is>
      </c>
      <c r="E3771" t="inlineStr">
        <is>
          <t>Books</t>
        </is>
      </c>
      <c r="F3771" t="inlineStr">
        <is>
          <t>Laura Johnson</t>
        </is>
      </c>
      <c r="G3771" t="inlineStr">
        <is>
          <t>Germany</t>
        </is>
      </c>
      <c r="H3771" t="inlineStr">
        <is>
          <t>Marketplace</t>
        </is>
      </c>
      <c r="I3771" t="n">
        <v>4</v>
      </c>
      <c r="J3771" s="3" t="n">
        <v>302.76</v>
      </c>
      <c r="K3771" s="3" t="n">
        <v>0</v>
      </c>
      <c r="L3771" s="3" t="n">
        <v>302.76</v>
      </c>
      <c r="M3771" s="3" t="n">
        <v>226.44</v>
      </c>
      <c r="N3771" s="3" t="n">
        <v>76.31999999999999</v>
      </c>
      <c r="O3771">
        <f>TEXT(A3771,"yyyy-mm")</f>
        <v/>
      </c>
    </row>
    <row r="3772">
      <c r="A3772" s="2" t="n">
        <v>46119</v>
      </c>
      <c r="B3772" t="n">
        <v>2026</v>
      </c>
      <c r="C3772" t="inlineStr">
        <is>
          <t>April</t>
        </is>
      </c>
      <c r="D3772" t="inlineStr">
        <is>
          <t>Eco Sweater</t>
        </is>
      </c>
      <c r="E3772" t="inlineStr">
        <is>
          <t>Clothing</t>
        </is>
      </c>
      <c r="F3772" t="inlineStr">
        <is>
          <t>Laura Johnson</t>
        </is>
      </c>
      <c r="G3772" t="inlineStr">
        <is>
          <t>Germany</t>
        </is>
      </c>
      <c r="H3772" t="inlineStr">
        <is>
          <t>Marketplace</t>
        </is>
      </c>
      <c r="I3772" t="n">
        <v>3</v>
      </c>
      <c r="J3772" s="3" t="n">
        <v>462.09</v>
      </c>
      <c r="K3772" s="3" t="n">
        <v>69.31</v>
      </c>
      <c r="L3772" s="3" t="n">
        <v>392.78</v>
      </c>
      <c r="M3772" s="3" t="n">
        <v>312.69</v>
      </c>
      <c r="N3772" s="3" t="n">
        <v>80.09</v>
      </c>
      <c r="O3772">
        <f>TEXT(A3772,"yyyy-mm")</f>
        <v/>
      </c>
    </row>
    <row r="3773">
      <c r="A3773" s="2" t="n">
        <v>46119</v>
      </c>
      <c r="B3773" t="n">
        <v>2026</v>
      </c>
      <c r="C3773" t="inlineStr">
        <is>
          <t>April</t>
        </is>
      </c>
      <c r="D3773" t="inlineStr">
        <is>
          <t>Eco Planter</t>
        </is>
      </c>
      <c r="E3773" t="inlineStr">
        <is>
          <t>Home &amp; Garden</t>
        </is>
      </c>
      <c r="F3773" t="inlineStr">
        <is>
          <t>Laura Johnson</t>
        </is>
      </c>
      <c r="G3773" t="inlineStr">
        <is>
          <t>Germany</t>
        </is>
      </c>
      <c r="H3773" t="inlineStr">
        <is>
          <t>Marketplace</t>
        </is>
      </c>
      <c r="I3773" t="n">
        <v>1</v>
      </c>
      <c r="J3773" s="3" t="n">
        <v>177.17</v>
      </c>
      <c r="K3773" s="3" t="n">
        <v>0</v>
      </c>
      <c r="L3773" s="3" t="n">
        <v>177.17</v>
      </c>
      <c r="M3773" s="3" t="n">
        <v>112.41</v>
      </c>
      <c r="N3773" s="3" t="n">
        <v>64.76000000000001</v>
      </c>
      <c r="O3773">
        <f>TEXT(A3773,"yyyy-mm")</f>
        <v/>
      </c>
    </row>
    <row r="3774">
      <c r="A3774" s="2" t="n">
        <v>46119</v>
      </c>
      <c r="B3774" t="n">
        <v>2026</v>
      </c>
      <c r="C3774" t="inlineStr">
        <is>
          <t>April</t>
        </is>
      </c>
      <c r="D3774" t="inlineStr">
        <is>
          <t>Essential Notebook</t>
        </is>
      </c>
      <c r="E3774" t="inlineStr">
        <is>
          <t>Books</t>
        </is>
      </c>
      <c r="F3774" t="inlineStr">
        <is>
          <t>Laura Johnson</t>
        </is>
      </c>
      <c r="G3774" t="inlineStr">
        <is>
          <t>Germany</t>
        </is>
      </c>
      <c r="H3774" t="inlineStr">
        <is>
          <t>Marketplace</t>
        </is>
      </c>
      <c r="I3774" t="n">
        <v>1</v>
      </c>
      <c r="J3774" s="3" t="n">
        <v>114.08</v>
      </c>
      <c r="K3774" s="3" t="n">
        <v>0</v>
      </c>
      <c r="L3774" s="3" t="n">
        <v>114.08</v>
      </c>
      <c r="M3774" s="3" t="n">
        <v>79.09999999999999</v>
      </c>
      <c r="N3774" s="3" t="n">
        <v>34.98</v>
      </c>
      <c r="O3774">
        <f>TEXT(A3774,"yyyy-mm")</f>
        <v/>
      </c>
    </row>
    <row r="3775">
      <c r="A3775" s="2" t="n">
        <v>46120</v>
      </c>
      <c r="B3775" t="n">
        <v>2026</v>
      </c>
      <c r="C3775" t="inlineStr">
        <is>
          <t>April</t>
        </is>
      </c>
      <c r="D3775" t="inlineStr">
        <is>
          <t>Essential Jacket</t>
        </is>
      </c>
      <c r="E3775" t="inlineStr">
        <is>
          <t>Clothing</t>
        </is>
      </c>
      <c r="F3775" t="inlineStr">
        <is>
          <t>Thomas Schmidt</t>
        </is>
      </c>
      <c r="G3775" t="inlineStr">
        <is>
          <t>United Kingdom</t>
        </is>
      </c>
      <c r="H3775" t="inlineStr">
        <is>
          <t>Retail Store</t>
        </is>
      </c>
      <c r="I3775" t="n">
        <v>3</v>
      </c>
      <c r="J3775" s="3" t="n">
        <v>418.95</v>
      </c>
      <c r="K3775" s="3" t="n">
        <v>41.9</v>
      </c>
      <c r="L3775" s="3" t="n">
        <v>377.06</v>
      </c>
      <c r="M3775" s="3" t="n">
        <v>256.05</v>
      </c>
      <c r="N3775" s="3" t="n">
        <v>121.01</v>
      </c>
      <c r="O3775">
        <f>TEXT(A3775,"yyyy-mm")</f>
        <v/>
      </c>
    </row>
    <row r="3776">
      <c r="A3776" s="2" t="n">
        <v>46120</v>
      </c>
      <c r="B3776" t="n">
        <v>2026</v>
      </c>
      <c r="C3776" t="inlineStr">
        <is>
          <t>April</t>
        </is>
      </c>
      <c r="D3776" t="inlineStr">
        <is>
          <t>Smart Charger</t>
        </is>
      </c>
      <c r="E3776" t="inlineStr">
        <is>
          <t>Electronics</t>
        </is>
      </c>
      <c r="F3776" t="inlineStr">
        <is>
          <t>Thomas Schmidt</t>
        </is>
      </c>
      <c r="G3776" t="inlineStr">
        <is>
          <t>United Kingdom</t>
        </is>
      </c>
      <c r="H3776" t="inlineStr">
        <is>
          <t>Retail Store</t>
        </is>
      </c>
      <c r="I3776" t="n">
        <v>4</v>
      </c>
      <c r="J3776" s="3" t="n">
        <v>163.52</v>
      </c>
      <c r="K3776" s="3" t="n">
        <v>0</v>
      </c>
      <c r="L3776" s="3" t="n">
        <v>163.52</v>
      </c>
      <c r="M3776" s="3" t="n">
        <v>110.56</v>
      </c>
      <c r="N3776" s="3" t="n">
        <v>52.96</v>
      </c>
      <c r="O3776">
        <f>TEXT(A3776,"yyyy-mm")</f>
        <v/>
      </c>
    </row>
    <row r="3777">
      <c r="A3777" s="2" t="n">
        <v>46120</v>
      </c>
      <c r="B3777" t="n">
        <v>2026</v>
      </c>
      <c r="C3777" t="inlineStr">
        <is>
          <t>April</t>
        </is>
      </c>
      <c r="D3777" t="inlineStr">
        <is>
          <t>Wireless Honey</t>
        </is>
      </c>
      <c r="E3777" t="inlineStr">
        <is>
          <t>Grocery</t>
        </is>
      </c>
      <c r="F3777" t="inlineStr">
        <is>
          <t>Anna Johnson</t>
        </is>
      </c>
      <c r="G3777" t="inlineStr">
        <is>
          <t>United States</t>
        </is>
      </c>
      <c r="H3777" t="inlineStr">
        <is>
          <t>Mobile App</t>
        </is>
      </c>
      <c r="I3777" t="n">
        <v>1</v>
      </c>
      <c r="J3777" s="3" t="n">
        <v>131.35</v>
      </c>
      <c r="K3777" s="3" t="n">
        <v>0</v>
      </c>
      <c r="L3777" s="3" t="n">
        <v>131.35</v>
      </c>
      <c r="M3777" s="3" t="n">
        <v>94.06999999999999</v>
      </c>
      <c r="N3777" s="3" t="n">
        <v>37.28</v>
      </c>
      <c r="O3777">
        <f>TEXT(A3777,"yyyy-mm")</f>
        <v/>
      </c>
    </row>
    <row r="3778">
      <c r="A3778" s="2" t="n">
        <v>46120</v>
      </c>
      <c r="B3778" t="n">
        <v>2026</v>
      </c>
      <c r="C3778" t="inlineStr">
        <is>
          <t>April</t>
        </is>
      </c>
      <c r="D3778" t="inlineStr">
        <is>
          <t>Wireless Drone</t>
        </is>
      </c>
      <c r="E3778" t="inlineStr">
        <is>
          <t>Toys &amp; Games</t>
        </is>
      </c>
      <c r="F3778" t="inlineStr">
        <is>
          <t>Anna Johnson</t>
        </is>
      </c>
      <c r="G3778" t="inlineStr">
        <is>
          <t>United States</t>
        </is>
      </c>
      <c r="H3778" t="inlineStr">
        <is>
          <t>Mobile App</t>
        </is>
      </c>
      <c r="I3778" t="n">
        <v>1</v>
      </c>
      <c r="J3778" s="3" t="n">
        <v>223.49</v>
      </c>
      <c r="K3778" s="3" t="n">
        <v>22.35</v>
      </c>
      <c r="L3778" s="3" t="n">
        <v>201.14</v>
      </c>
      <c r="M3778" s="3" t="n">
        <v>131.29</v>
      </c>
      <c r="N3778" s="3" t="n">
        <v>69.84999999999999</v>
      </c>
      <c r="O3778">
        <f>TEXT(A3778,"yyyy-mm")</f>
        <v/>
      </c>
    </row>
    <row r="3779">
      <c r="A3779" s="2" t="n">
        <v>46120</v>
      </c>
      <c r="B3779" t="n">
        <v>2026</v>
      </c>
      <c r="C3779" t="inlineStr">
        <is>
          <t>April</t>
        </is>
      </c>
      <c r="D3779" t="inlineStr">
        <is>
          <t>Classic Bike Helmet</t>
        </is>
      </c>
      <c r="E3779" t="inlineStr">
        <is>
          <t>Sports &amp; Outdoors</t>
        </is>
      </c>
      <c r="F3779" t="inlineStr">
        <is>
          <t>Clara Schmidt</t>
        </is>
      </c>
      <c r="G3779" t="inlineStr">
        <is>
          <t>United States</t>
        </is>
      </c>
      <c r="H3779" t="inlineStr">
        <is>
          <t>Web Store</t>
        </is>
      </c>
      <c r="I3779" t="n">
        <v>2</v>
      </c>
      <c r="J3779" s="3" t="n">
        <v>431.9</v>
      </c>
      <c r="K3779" s="3" t="n">
        <v>0</v>
      </c>
      <c r="L3779" s="3" t="n">
        <v>431.9</v>
      </c>
      <c r="M3779" s="3" t="n">
        <v>307.62</v>
      </c>
      <c r="N3779" s="3" t="n">
        <v>124.28</v>
      </c>
      <c r="O3779">
        <f>TEXT(A3779,"yyyy-mm")</f>
        <v/>
      </c>
    </row>
    <row r="3780">
      <c r="A3780" s="2" t="n">
        <v>46120</v>
      </c>
      <c r="B3780" t="n">
        <v>2026</v>
      </c>
      <c r="C3780" t="inlineStr">
        <is>
          <t>April</t>
        </is>
      </c>
      <c r="D3780" t="inlineStr">
        <is>
          <t>Eco Tent</t>
        </is>
      </c>
      <c r="E3780" t="inlineStr">
        <is>
          <t>Sports &amp; Outdoors</t>
        </is>
      </c>
      <c r="F3780" t="inlineStr">
        <is>
          <t>Anna Johnson</t>
        </is>
      </c>
      <c r="G3780" t="inlineStr">
        <is>
          <t>United States</t>
        </is>
      </c>
      <c r="H3780" t="inlineStr">
        <is>
          <t>Mobile App</t>
        </is>
      </c>
      <c r="I3780" t="n">
        <v>2</v>
      </c>
      <c r="J3780" s="3" t="n">
        <v>502.14</v>
      </c>
      <c r="K3780" s="3" t="n">
        <v>0</v>
      </c>
      <c r="L3780" s="3" t="n">
        <v>502.14</v>
      </c>
      <c r="M3780" s="3" t="n">
        <v>270.06</v>
      </c>
      <c r="N3780" s="3" t="n">
        <v>232.08</v>
      </c>
      <c r="O3780">
        <f>TEXT(A3780,"yyyy-mm")</f>
        <v/>
      </c>
    </row>
    <row r="3781">
      <c r="A3781" s="2" t="n">
        <v>46120</v>
      </c>
      <c r="B3781" t="n">
        <v>2026</v>
      </c>
      <c r="C3781" t="inlineStr">
        <is>
          <t>April</t>
        </is>
      </c>
      <c r="D3781" t="inlineStr">
        <is>
          <t>Premium Water Bottle</t>
        </is>
      </c>
      <c r="E3781" t="inlineStr">
        <is>
          <t>Sports &amp; Outdoors</t>
        </is>
      </c>
      <c r="F3781" t="inlineStr">
        <is>
          <t>Sophie Wilson</t>
        </is>
      </c>
      <c r="G3781" t="inlineStr">
        <is>
          <t>Netherlands</t>
        </is>
      </c>
      <c r="H3781" t="inlineStr">
        <is>
          <t>Retail Store</t>
        </is>
      </c>
      <c r="I3781" t="n">
        <v>2</v>
      </c>
      <c r="J3781" s="3" t="n">
        <v>253.82</v>
      </c>
      <c r="K3781" s="3" t="n">
        <v>0</v>
      </c>
      <c r="L3781" s="3" t="n">
        <v>253.82</v>
      </c>
      <c r="M3781" s="3" t="n">
        <v>179.24</v>
      </c>
      <c r="N3781" s="3" t="n">
        <v>74.58</v>
      </c>
      <c r="O3781">
        <f>TEXT(A3781,"yyyy-mm")</f>
        <v/>
      </c>
    </row>
    <row r="3782">
      <c r="A3782" s="2" t="n">
        <v>46121</v>
      </c>
      <c r="B3782" t="n">
        <v>2026</v>
      </c>
      <c r="C3782" t="inlineStr">
        <is>
          <t>April</t>
        </is>
      </c>
      <c r="D3782" t="inlineStr">
        <is>
          <t>Portable Toolset</t>
        </is>
      </c>
      <c r="E3782" t="inlineStr">
        <is>
          <t>Home &amp; Garden</t>
        </is>
      </c>
      <c r="F3782" t="inlineStr">
        <is>
          <t>Maria Moreau</t>
        </is>
      </c>
      <c r="G3782" t="inlineStr">
        <is>
          <t>United Kingdom</t>
        </is>
      </c>
      <c r="H3782" t="inlineStr">
        <is>
          <t>Marketplace</t>
        </is>
      </c>
      <c r="I3782" t="n">
        <v>3</v>
      </c>
      <c r="J3782" s="3" t="n">
        <v>443.04</v>
      </c>
      <c r="K3782" s="3" t="n">
        <v>88.61</v>
      </c>
      <c r="L3782" s="3" t="n">
        <v>354.43</v>
      </c>
      <c r="M3782" s="3" t="n">
        <v>278.55</v>
      </c>
      <c r="N3782" s="3" t="n">
        <v>75.88</v>
      </c>
      <c r="O3782">
        <f>TEXT(A3782,"yyyy-mm")</f>
        <v/>
      </c>
    </row>
    <row r="3783">
      <c r="A3783" s="2" t="n">
        <v>46121</v>
      </c>
      <c r="B3783" t="n">
        <v>2026</v>
      </c>
      <c r="C3783" t="inlineStr">
        <is>
          <t>April</t>
        </is>
      </c>
      <c r="D3783" t="inlineStr">
        <is>
          <t>Deluxe Headphones</t>
        </is>
      </c>
      <c r="E3783" t="inlineStr">
        <is>
          <t>Electronics</t>
        </is>
      </c>
      <c r="F3783" t="inlineStr">
        <is>
          <t>Maria Moreau</t>
        </is>
      </c>
      <c r="G3783" t="inlineStr">
        <is>
          <t>United Kingdom</t>
        </is>
      </c>
      <c r="H3783" t="inlineStr">
        <is>
          <t>Marketplace</t>
        </is>
      </c>
      <c r="I3783" t="n">
        <v>5</v>
      </c>
      <c r="J3783" s="3" t="n">
        <v>343.5</v>
      </c>
      <c r="K3783" s="3" t="n">
        <v>0</v>
      </c>
      <c r="L3783" s="3" t="n">
        <v>343.5</v>
      </c>
      <c r="M3783" s="3" t="n">
        <v>262.5</v>
      </c>
      <c r="N3783" s="3" t="n">
        <v>81</v>
      </c>
      <c r="O3783">
        <f>TEXT(A3783,"yyyy-mm")</f>
        <v/>
      </c>
    </row>
    <row r="3784">
      <c r="A3784" s="2" t="n">
        <v>46121</v>
      </c>
      <c r="B3784" t="n">
        <v>2026</v>
      </c>
      <c r="C3784" t="inlineStr">
        <is>
          <t>April</t>
        </is>
      </c>
      <c r="D3784" t="inlineStr">
        <is>
          <t>Eco Tent</t>
        </is>
      </c>
      <c r="E3784" t="inlineStr">
        <is>
          <t>Sports &amp; Outdoors</t>
        </is>
      </c>
      <c r="F3784" t="inlineStr">
        <is>
          <t>David Nowak</t>
        </is>
      </c>
      <c r="G3784" t="inlineStr">
        <is>
          <t>Spain</t>
        </is>
      </c>
      <c r="H3784" t="inlineStr">
        <is>
          <t>Mobile App</t>
        </is>
      </c>
      <c r="I3784" t="n">
        <v>4</v>
      </c>
      <c r="J3784" s="3" t="n">
        <v>267.88</v>
      </c>
      <c r="K3784" s="3" t="n">
        <v>0</v>
      </c>
      <c r="L3784" s="3" t="n">
        <v>267.88</v>
      </c>
      <c r="M3784" s="3" t="n">
        <v>175.4</v>
      </c>
      <c r="N3784" s="3" t="n">
        <v>92.48</v>
      </c>
      <c r="O3784">
        <f>TEXT(A3784,"yyyy-mm")</f>
        <v/>
      </c>
    </row>
    <row r="3785">
      <c r="A3785" s="2" t="n">
        <v>46121</v>
      </c>
      <c r="B3785" t="n">
        <v>2026</v>
      </c>
      <c r="C3785" t="inlineStr">
        <is>
          <t>April</t>
        </is>
      </c>
      <c r="D3785" t="inlineStr">
        <is>
          <t>Portable Pasta</t>
        </is>
      </c>
      <c r="E3785" t="inlineStr">
        <is>
          <t>Grocery</t>
        </is>
      </c>
      <c r="F3785" t="inlineStr">
        <is>
          <t>David Nowak</t>
        </is>
      </c>
      <c r="G3785" t="inlineStr">
        <is>
          <t>Spain</t>
        </is>
      </c>
      <c r="H3785" t="inlineStr">
        <is>
          <t>Mobile App</t>
        </is>
      </c>
      <c r="I3785" t="n">
        <v>1</v>
      </c>
      <c r="J3785" s="3" t="n">
        <v>35.21</v>
      </c>
      <c r="K3785" s="3" t="n">
        <v>1.76</v>
      </c>
      <c r="L3785" s="3" t="n">
        <v>33.45</v>
      </c>
      <c r="M3785" s="3" t="n">
        <v>27.75</v>
      </c>
      <c r="N3785" s="3" t="n">
        <v>5.7</v>
      </c>
      <c r="O3785">
        <f>TEXT(A3785,"yyyy-mm")</f>
        <v/>
      </c>
    </row>
    <row r="3786">
      <c r="A3786" s="2" t="n">
        <v>46121</v>
      </c>
      <c r="B3786" t="n">
        <v>2026</v>
      </c>
      <c r="C3786" t="inlineStr">
        <is>
          <t>April</t>
        </is>
      </c>
      <c r="D3786" t="inlineStr">
        <is>
          <t>Deluxe Toothbrush</t>
        </is>
      </c>
      <c r="E3786" t="inlineStr">
        <is>
          <t>Beauty &amp; Health</t>
        </is>
      </c>
      <c r="F3786" t="inlineStr">
        <is>
          <t>Robert Garcia</t>
        </is>
      </c>
      <c r="G3786" t="inlineStr">
        <is>
          <t>United Kingdom</t>
        </is>
      </c>
      <c r="H3786" t="inlineStr">
        <is>
          <t>Web Store</t>
        </is>
      </c>
      <c r="I3786" t="n">
        <v>1</v>
      </c>
      <c r="J3786" s="3" t="n">
        <v>319.48</v>
      </c>
      <c r="K3786" s="3" t="n">
        <v>47.92</v>
      </c>
      <c r="L3786" s="3" t="n">
        <v>271.56</v>
      </c>
      <c r="M3786" s="3" t="n">
        <v>174.57</v>
      </c>
      <c r="N3786" s="3" t="n">
        <v>96.98999999999999</v>
      </c>
      <c r="O3786">
        <f>TEXT(A3786,"yyyy-mm")</f>
        <v/>
      </c>
    </row>
    <row r="3787">
      <c r="A3787" s="2" t="n">
        <v>46121</v>
      </c>
      <c r="B3787" t="n">
        <v>2026</v>
      </c>
      <c r="C3787" t="inlineStr">
        <is>
          <t>April</t>
        </is>
      </c>
      <c r="D3787" t="inlineStr">
        <is>
          <t>Essential Jacket</t>
        </is>
      </c>
      <c r="E3787" t="inlineStr">
        <is>
          <t>Clothing</t>
        </is>
      </c>
      <c r="F3787" t="inlineStr">
        <is>
          <t>Anna Bianchi</t>
        </is>
      </c>
      <c r="G3787" t="inlineStr">
        <is>
          <t>Germany</t>
        </is>
      </c>
      <c r="H3787" t="inlineStr">
        <is>
          <t>Retail Store</t>
        </is>
      </c>
      <c r="I3787" t="n">
        <v>3</v>
      </c>
      <c r="J3787" s="3" t="n">
        <v>450.33</v>
      </c>
      <c r="K3787" s="3" t="n">
        <v>0</v>
      </c>
      <c r="L3787" s="3" t="n">
        <v>450.33</v>
      </c>
      <c r="M3787" s="3" t="n">
        <v>256.05</v>
      </c>
      <c r="N3787" s="3" t="n">
        <v>194.28</v>
      </c>
      <c r="O3787">
        <f>TEXT(A3787,"yyyy-mm")</f>
        <v/>
      </c>
    </row>
    <row r="3788">
      <c r="A3788" s="2" t="n">
        <v>46121</v>
      </c>
      <c r="B3788" t="n">
        <v>2026</v>
      </c>
      <c r="C3788" t="inlineStr">
        <is>
          <t>April</t>
        </is>
      </c>
      <c r="D3788" t="inlineStr">
        <is>
          <t>Eco Tent</t>
        </is>
      </c>
      <c r="E3788" t="inlineStr">
        <is>
          <t>Sports &amp; Outdoors</t>
        </is>
      </c>
      <c r="F3788" t="inlineStr">
        <is>
          <t>Anna Bianchi</t>
        </is>
      </c>
      <c r="G3788" t="inlineStr">
        <is>
          <t>Germany</t>
        </is>
      </c>
      <c r="H3788" t="inlineStr">
        <is>
          <t>Retail Store</t>
        </is>
      </c>
      <c r="I3788" t="n">
        <v>3</v>
      </c>
      <c r="J3788" s="3" t="n">
        <v>731.58</v>
      </c>
      <c r="K3788" s="3" t="n">
        <v>73.16</v>
      </c>
      <c r="L3788" s="3" t="n">
        <v>658.42</v>
      </c>
      <c r="M3788" s="3" t="n">
        <v>405.09</v>
      </c>
      <c r="N3788" s="3" t="n">
        <v>253.33</v>
      </c>
      <c r="O3788">
        <f>TEXT(A3788,"yyyy-mm")</f>
        <v/>
      </c>
    </row>
    <row r="3789">
      <c r="A3789" s="2" t="n">
        <v>46121</v>
      </c>
      <c r="B3789" t="n">
        <v>2026</v>
      </c>
      <c r="C3789" t="inlineStr">
        <is>
          <t>April</t>
        </is>
      </c>
      <c r="D3789" t="inlineStr">
        <is>
          <t>Smart Tea Set</t>
        </is>
      </c>
      <c r="E3789" t="inlineStr">
        <is>
          <t>Grocery</t>
        </is>
      </c>
      <c r="F3789" t="inlineStr">
        <is>
          <t>Anna Bianchi</t>
        </is>
      </c>
      <c r="G3789" t="inlineStr">
        <is>
          <t>Germany</t>
        </is>
      </c>
      <c r="H3789" t="inlineStr">
        <is>
          <t>Retail Store</t>
        </is>
      </c>
      <c r="I3789" t="n">
        <v>1</v>
      </c>
      <c r="J3789" s="3" t="n">
        <v>91.58</v>
      </c>
      <c r="K3789" s="3" t="n">
        <v>13.74</v>
      </c>
      <c r="L3789" s="3" t="n">
        <v>77.84</v>
      </c>
      <c r="M3789" s="3" t="n">
        <v>61.8</v>
      </c>
      <c r="N3789" s="3" t="n">
        <v>16.04</v>
      </c>
      <c r="O3789">
        <f>TEXT(A3789,"yyyy-mm")</f>
        <v/>
      </c>
    </row>
    <row r="3790">
      <c r="A3790" s="2" t="n">
        <v>46121</v>
      </c>
      <c r="B3790" t="n">
        <v>2026</v>
      </c>
      <c r="C3790" t="inlineStr">
        <is>
          <t>April</t>
        </is>
      </c>
      <c r="D3790" t="inlineStr">
        <is>
          <t>Eco Biography</t>
        </is>
      </c>
      <c r="E3790" t="inlineStr">
        <is>
          <t>Books</t>
        </is>
      </c>
      <c r="F3790" t="inlineStr">
        <is>
          <t>Anna Bianchi</t>
        </is>
      </c>
      <c r="G3790" t="inlineStr">
        <is>
          <t>Germany</t>
        </is>
      </c>
      <c r="H3790" t="inlineStr">
        <is>
          <t>Retail Store</t>
        </is>
      </c>
      <c r="I3790" t="n">
        <v>1</v>
      </c>
      <c r="J3790" s="3" t="n">
        <v>120.24</v>
      </c>
      <c r="K3790" s="3" t="n">
        <v>6.01</v>
      </c>
      <c r="L3790" s="3" t="n">
        <v>114.23</v>
      </c>
      <c r="M3790" s="3" t="n">
        <v>71.02</v>
      </c>
      <c r="N3790" s="3" t="n">
        <v>43.21</v>
      </c>
      <c r="O3790">
        <f>TEXT(A3790,"yyyy-mm")</f>
        <v/>
      </c>
    </row>
    <row r="3791">
      <c r="A3791" s="2" t="n">
        <v>46121</v>
      </c>
      <c r="B3791" t="n">
        <v>2026</v>
      </c>
      <c r="C3791" t="inlineStr">
        <is>
          <t>April</t>
        </is>
      </c>
      <c r="D3791" t="inlineStr">
        <is>
          <t>Essential Jacket</t>
        </is>
      </c>
      <c r="E3791" t="inlineStr">
        <is>
          <t>Clothing</t>
        </is>
      </c>
      <c r="F3791" t="inlineStr">
        <is>
          <t>Maria Moreau</t>
        </is>
      </c>
      <c r="G3791" t="inlineStr">
        <is>
          <t>United Kingdom</t>
        </is>
      </c>
      <c r="H3791" t="inlineStr">
        <is>
          <t>Marketplace</t>
        </is>
      </c>
      <c r="I3791" t="n">
        <v>3</v>
      </c>
      <c r="J3791" s="3" t="n">
        <v>452.82</v>
      </c>
      <c r="K3791" s="3" t="n">
        <v>22.64</v>
      </c>
      <c r="L3791" s="3" t="n">
        <v>430.18</v>
      </c>
      <c r="M3791" s="3" t="n">
        <v>256.05</v>
      </c>
      <c r="N3791" s="3" t="n">
        <v>174.13</v>
      </c>
      <c r="O3791">
        <f>TEXT(A3791,"yyyy-mm")</f>
        <v/>
      </c>
    </row>
    <row r="3792">
      <c r="A3792" s="2" t="n">
        <v>46121</v>
      </c>
      <c r="B3792" t="n">
        <v>2026</v>
      </c>
      <c r="C3792" t="inlineStr">
        <is>
          <t>April</t>
        </is>
      </c>
      <c r="D3792" t="inlineStr">
        <is>
          <t>Smart Tea Set</t>
        </is>
      </c>
      <c r="E3792" t="inlineStr">
        <is>
          <t>Grocery</t>
        </is>
      </c>
      <c r="F3792" t="inlineStr">
        <is>
          <t>James Johnson</t>
        </is>
      </c>
      <c r="G3792" t="inlineStr">
        <is>
          <t>United Kingdom</t>
        </is>
      </c>
      <c r="H3792" t="inlineStr">
        <is>
          <t>Retail Store</t>
        </is>
      </c>
      <c r="I3792" t="n">
        <v>1</v>
      </c>
      <c r="J3792" s="3" t="n">
        <v>91.02</v>
      </c>
      <c r="K3792" s="3" t="n">
        <v>18.2</v>
      </c>
      <c r="L3792" s="3" t="n">
        <v>72.81999999999999</v>
      </c>
      <c r="M3792" s="3" t="n">
        <v>61.8</v>
      </c>
      <c r="N3792" s="3" t="n">
        <v>11.02</v>
      </c>
      <c r="O3792">
        <f>TEXT(A3792,"yyyy-mm")</f>
        <v/>
      </c>
    </row>
    <row r="3793">
      <c r="A3793" s="2" t="n">
        <v>46121</v>
      </c>
      <c r="B3793" t="n">
        <v>2026</v>
      </c>
      <c r="C3793" t="inlineStr">
        <is>
          <t>April</t>
        </is>
      </c>
      <c r="D3793" t="inlineStr">
        <is>
          <t>Wireless Drone</t>
        </is>
      </c>
      <c r="E3793" t="inlineStr">
        <is>
          <t>Toys &amp; Games</t>
        </is>
      </c>
      <c r="F3793" t="inlineStr">
        <is>
          <t>Robert Garcia</t>
        </is>
      </c>
      <c r="G3793" t="inlineStr">
        <is>
          <t>United Kingdom</t>
        </is>
      </c>
      <c r="H3793" t="inlineStr">
        <is>
          <t>Web Store</t>
        </is>
      </c>
      <c r="I3793" t="n">
        <v>3</v>
      </c>
      <c r="J3793" s="3" t="n">
        <v>687</v>
      </c>
      <c r="K3793" s="3" t="n">
        <v>0</v>
      </c>
      <c r="L3793" s="3" t="n">
        <v>687</v>
      </c>
      <c r="M3793" s="3" t="n">
        <v>393.87</v>
      </c>
      <c r="N3793" s="3" t="n">
        <v>293.13</v>
      </c>
      <c r="O3793">
        <f>TEXT(A3793,"yyyy-mm")</f>
        <v/>
      </c>
    </row>
    <row r="3794">
      <c r="A3794" s="2" t="n">
        <v>46121</v>
      </c>
      <c r="B3794" t="n">
        <v>2026</v>
      </c>
      <c r="C3794" t="inlineStr">
        <is>
          <t>April</t>
        </is>
      </c>
      <c r="D3794" t="inlineStr">
        <is>
          <t>Portable Toolset</t>
        </is>
      </c>
      <c r="E3794" t="inlineStr">
        <is>
          <t>Home &amp; Garden</t>
        </is>
      </c>
      <c r="F3794" t="inlineStr">
        <is>
          <t>Maria Moreau</t>
        </is>
      </c>
      <c r="G3794" t="inlineStr">
        <is>
          <t>United Kingdom</t>
        </is>
      </c>
      <c r="H3794" t="inlineStr">
        <is>
          <t>Marketplace</t>
        </is>
      </c>
      <c r="I3794" t="n">
        <v>5</v>
      </c>
      <c r="J3794" s="3" t="n">
        <v>453.25</v>
      </c>
      <c r="K3794" s="3" t="n">
        <v>90.65000000000001</v>
      </c>
      <c r="L3794" s="3" t="n">
        <v>362.6</v>
      </c>
      <c r="M3794" s="3" t="n">
        <v>252.7</v>
      </c>
      <c r="N3794" s="3" t="n">
        <v>109.9</v>
      </c>
      <c r="O3794">
        <f>TEXT(A3794,"yyyy-mm")</f>
        <v/>
      </c>
    </row>
    <row r="3795">
      <c r="A3795" s="2" t="n">
        <v>46121</v>
      </c>
      <c r="B3795" t="n">
        <v>2026</v>
      </c>
      <c r="C3795" t="inlineStr">
        <is>
          <t>April</t>
        </is>
      </c>
      <c r="D3795" t="inlineStr">
        <is>
          <t>Classic Coffee Beans</t>
        </is>
      </c>
      <c r="E3795" t="inlineStr">
        <is>
          <t>Grocery</t>
        </is>
      </c>
      <c r="F3795" t="inlineStr">
        <is>
          <t>David Nowak</t>
        </is>
      </c>
      <c r="G3795" t="inlineStr">
        <is>
          <t>Spain</t>
        </is>
      </c>
      <c r="H3795" t="inlineStr">
        <is>
          <t>Mobile App</t>
        </is>
      </c>
      <c r="I3795" t="n">
        <v>5</v>
      </c>
      <c r="J3795" s="3" t="n">
        <v>1545.65</v>
      </c>
      <c r="K3795" s="3" t="n">
        <v>0</v>
      </c>
      <c r="L3795" s="3" t="n">
        <v>1545.65</v>
      </c>
      <c r="M3795" s="3" t="n">
        <v>973.8</v>
      </c>
      <c r="N3795" s="3" t="n">
        <v>571.85</v>
      </c>
      <c r="O3795">
        <f>TEXT(A3795,"yyyy-mm")</f>
        <v/>
      </c>
    </row>
    <row r="3796">
      <c r="A3796" s="2" t="n">
        <v>46122</v>
      </c>
      <c r="B3796" t="n">
        <v>2026</v>
      </c>
      <c r="C3796" t="inlineStr">
        <is>
          <t>April</t>
        </is>
      </c>
      <c r="D3796" t="inlineStr">
        <is>
          <t>Smart Sweater</t>
        </is>
      </c>
      <c r="E3796" t="inlineStr">
        <is>
          <t>Clothing</t>
        </is>
      </c>
      <c r="F3796" t="inlineStr">
        <is>
          <t>Michael Brown</t>
        </is>
      </c>
      <c r="G3796" t="inlineStr">
        <is>
          <t>Spain</t>
        </is>
      </c>
      <c r="H3796" t="inlineStr">
        <is>
          <t>Mobile App</t>
        </is>
      </c>
      <c r="I3796" t="n">
        <v>2</v>
      </c>
      <c r="J3796" s="3" t="n">
        <v>302.4</v>
      </c>
      <c r="K3796" s="3" t="n">
        <v>30.24</v>
      </c>
      <c r="L3796" s="3" t="n">
        <v>272.16</v>
      </c>
      <c r="M3796" s="3" t="n">
        <v>154.7</v>
      </c>
      <c r="N3796" s="3" t="n">
        <v>117.46</v>
      </c>
      <c r="O3796">
        <f>TEXT(A3796,"yyyy-mm")</f>
        <v/>
      </c>
    </row>
    <row r="3797">
      <c r="A3797" s="2" t="n">
        <v>46122</v>
      </c>
      <c r="B3797" t="n">
        <v>2026</v>
      </c>
      <c r="C3797" t="inlineStr">
        <is>
          <t>April</t>
        </is>
      </c>
      <c r="D3797" t="inlineStr">
        <is>
          <t>Ultra Toolset</t>
        </is>
      </c>
      <c r="E3797" t="inlineStr">
        <is>
          <t>Home &amp; Garden</t>
        </is>
      </c>
      <c r="F3797" t="inlineStr">
        <is>
          <t>Michael Brown</t>
        </is>
      </c>
      <c r="G3797" t="inlineStr">
        <is>
          <t>Spain</t>
        </is>
      </c>
      <c r="H3797" t="inlineStr">
        <is>
          <t>Mobile App</t>
        </is>
      </c>
      <c r="I3797" t="n">
        <v>5</v>
      </c>
      <c r="J3797" s="3" t="n">
        <v>1855.15</v>
      </c>
      <c r="K3797" s="3" t="n">
        <v>185.52</v>
      </c>
      <c r="L3797" s="3" t="n">
        <v>1669.63</v>
      </c>
      <c r="M3797" s="3" t="n">
        <v>952</v>
      </c>
      <c r="N3797" s="3" t="n">
        <v>717.63</v>
      </c>
      <c r="O3797">
        <f>TEXT(A3797,"yyyy-mm")</f>
        <v/>
      </c>
    </row>
    <row r="3798">
      <c r="A3798" s="2" t="n">
        <v>46122</v>
      </c>
      <c r="B3798" t="n">
        <v>2026</v>
      </c>
      <c r="C3798" t="inlineStr">
        <is>
          <t>April</t>
        </is>
      </c>
      <c r="D3798" t="inlineStr">
        <is>
          <t>Premium Rug</t>
        </is>
      </c>
      <c r="E3798" t="inlineStr">
        <is>
          <t>Home &amp; Garden</t>
        </is>
      </c>
      <c r="F3798" t="inlineStr">
        <is>
          <t>Michael Brown</t>
        </is>
      </c>
      <c r="G3798" t="inlineStr">
        <is>
          <t>Spain</t>
        </is>
      </c>
      <c r="H3798" t="inlineStr">
        <is>
          <t>Mobile App</t>
        </is>
      </c>
      <c r="I3798" t="n">
        <v>5</v>
      </c>
      <c r="J3798" s="3" t="n">
        <v>909.6</v>
      </c>
      <c r="K3798" s="3" t="n">
        <v>45.48</v>
      </c>
      <c r="L3798" s="3" t="n">
        <v>864.12</v>
      </c>
      <c r="M3798" s="3" t="n">
        <v>555.95</v>
      </c>
      <c r="N3798" s="3" t="n">
        <v>308.17</v>
      </c>
      <c r="O3798">
        <f>TEXT(A3798,"yyyy-mm")</f>
        <v/>
      </c>
    </row>
    <row r="3799">
      <c r="A3799" s="2" t="n">
        <v>46123</v>
      </c>
      <c r="B3799" t="n">
        <v>2026</v>
      </c>
      <c r="C3799" t="inlineStr">
        <is>
          <t>April</t>
        </is>
      </c>
      <c r="D3799" t="inlineStr">
        <is>
          <t>Deluxe Cookbook</t>
        </is>
      </c>
      <c r="E3799" t="inlineStr">
        <is>
          <t>Books</t>
        </is>
      </c>
      <c r="F3799" t="inlineStr">
        <is>
          <t>Nina Wojcik</t>
        </is>
      </c>
      <c r="G3799" t="inlineStr">
        <is>
          <t>Germany</t>
        </is>
      </c>
      <c r="H3799" t="inlineStr">
        <is>
          <t>Web Store</t>
        </is>
      </c>
      <c r="I3799" t="n">
        <v>3</v>
      </c>
      <c r="J3799" s="3" t="n">
        <v>392.94</v>
      </c>
      <c r="K3799" s="3" t="n">
        <v>0</v>
      </c>
      <c r="L3799" s="3" t="n">
        <v>392.94</v>
      </c>
      <c r="M3799" s="3" t="n">
        <v>255.81</v>
      </c>
      <c r="N3799" s="3" t="n">
        <v>137.13</v>
      </c>
      <c r="O3799">
        <f>TEXT(A3799,"yyyy-mm")</f>
        <v/>
      </c>
    </row>
    <row r="3800">
      <c r="A3800" s="2" t="n">
        <v>46123</v>
      </c>
      <c r="B3800" t="n">
        <v>2026</v>
      </c>
      <c r="C3800" t="inlineStr">
        <is>
          <t>April</t>
        </is>
      </c>
      <c r="D3800" t="inlineStr">
        <is>
          <t>Wireless Honey</t>
        </is>
      </c>
      <c r="E3800" t="inlineStr">
        <is>
          <t>Grocery</t>
        </is>
      </c>
      <c r="F3800" t="inlineStr">
        <is>
          <t>Robert Rossi</t>
        </is>
      </c>
      <c r="G3800" t="inlineStr">
        <is>
          <t>United States</t>
        </is>
      </c>
      <c r="H3800" t="inlineStr">
        <is>
          <t>Marketplace</t>
        </is>
      </c>
      <c r="I3800" t="n">
        <v>5</v>
      </c>
      <c r="J3800" s="3" t="n">
        <v>641.6</v>
      </c>
      <c r="K3800" s="3" t="n">
        <v>64.16</v>
      </c>
      <c r="L3800" s="3" t="n">
        <v>577.4400000000001</v>
      </c>
      <c r="M3800" s="3" t="n">
        <v>470.35</v>
      </c>
      <c r="N3800" s="3" t="n">
        <v>107.09</v>
      </c>
      <c r="O3800">
        <f>TEXT(A3800,"yyyy-mm")</f>
        <v/>
      </c>
    </row>
    <row r="3801">
      <c r="A3801" s="2" t="n">
        <v>46123</v>
      </c>
      <c r="B3801" t="n">
        <v>2026</v>
      </c>
      <c r="C3801" t="inlineStr">
        <is>
          <t>April</t>
        </is>
      </c>
      <c r="D3801" t="inlineStr">
        <is>
          <t>Portable Puzzle</t>
        </is>
      </c>
      <c r="E3801" t="inlineStr">
        <is>
          <t>Toys &amp; Games</t>
        </is>
      </c>
      <c r="F3801" t="inlineStr">
        <is>
          <t>Robert Rossi</t>
        </is>
      </c>
      <c r="G3801" t="inlineStr">
        <is>
          <t>United States</t>
        </is>
      </c>
      <c r="H3801" t="inlineStr">
        <is>
          <t>Marketplace</t>
        </is>
      </c>
      <c r="I3801" t="n">
        <v>3</v>
      </c>
      <c r="J3801" s="3" t="n">
        <v>315.45</v>
      </c>
      <c r="K3801" s="3" t="n">
        <v>31.55</v>
      </c>
      <c r="L3801" s="3" t="n">
        <v>283.91</v>
      </c>
      <c r="M3801" s="3" t="n">
        <v>176.4</v>
      </c>
      <c r="N3801" s="3" t="n">
        <v>107.51</v>
      </c>
      <c r="O3801">
        <f>TEXT(A3801,"yyyy-mm")</f>
        <v/>
      </c>
    </row>
    <row r="3802">
      <c r="A3802" s="2" t="n">
        <v>46123</v>
      </c>
      <c r="B3802" t="n">
        <v>2026</v>
      </c>
      <c r="C3802" t="inlineStr">
        <is>
          <t>April</t>
        </is>
      </c>
      <c r="D3802" t="inlineStr">
        <is>
          <t>Premium Water Bottle</t>
        </is>
      </c>
      <c r="E3802" t="inlineStr">
        <is>
          <t>Sports &amp; Outdoors</t>
        </is>
      </c>
      <c r="F3802" t="inlineStr">
        <is>
          <t>Daniel Johnson</t>
        </is>
      </c>
      <c r="G3802" t="inlineStr">
        <is>
          <t>Italy</t>
        </is>
      </c>
      <c r="H3802" t="inlineStr">
        <is>
          <t>Retail Store</t>
        </is>
      </c>
      <c r="I3802" t="n">
        <v>1</v>
      </c>
      <c r="J3802" s="3" t="n">
        <v>291.14</v>
      </c>
      <c r="K3802" s="3" t="n">
        <v>0</v>
      </c>
      <c r="L3802" s="3" t="n">
        <v>291.14</v>
      </c>
      <c r="M3802" s="3" t="n">
        <v>181.16</v>
      </c>
      <c r="N3802" s="3" t="n">
        <v>109.98</v>
      </c>
      <c r="O3802">
        <f>TEXT(A3802,"yyyy-mm")</f>
        <v/>
      </c>
    </row>
    <row r="3803">
      <c r="A3803" s="2" t="n">
        <v>46123</v>
      </c>
      <c r="B3803" t="n">
        <v>2026</v>
      </c>
      <c r="C3803" t="inlineStr">
        <is>
          <t>April</t>
        </is>
      </c>
      <c r="D3803" t="inlineStr">
        <is>
          <t>Wireless Coffee Beans</t>
        </is>
      </c>
      <c r="E3803" t="inlineStr">
        <is>
          <t>Grocery</t>
        </is>
      </c>
      <c r="F3803" t="inlineStr">
        <is>
          <t>Robert Rossi</t>
        </is>
      </c>
      <c r="G3803" t="inlineStr">
        <is>
          <t>United States</t>
        </is>
      </c>
      <c r="H3803" t="inlineStr">
        <is>
          <t>Marketplace</t>
        </is>
      </c>
      <c r="I3803" t="n">
        <v>5</v>
      </c>
      <c r="J3803" s="3" t="n">
        <v>1062.55</v>
      </c>
      <c r="K3803" s="3" t="n">
        <v>212.51</v>
      </c>
      <c r="L3803" s="3" t="n">
        <v>850.04</v>
      </c>
      <c r="M3803" s="3" t="n">
        <v>650.65</v>
      </c>
      <c r="N3803" s="3" t="n">
        <v>199.39</v>
      </c>
      <c r="O3803">
        <f>TEXT(A3803,"yyyy-mm")</f>
        <v/>
      </c>
    </row>
    <row r="3804">
      <c r="A3804" s="2" t="n">
        <v>46123</v>
      </c>
      <c r="B3804" t="n">
        <v>2026</v>
      </c>
      <c r="C3804" t="inlineStr">
        <is>
          <t>April</t>
        </is>
      </c>
      <c r="D3804" t="inlineStr">
        <is>
          <t>Eco Tent</t>
        </is>
      </c>
      <c r="E3804" t="inlineStr">
        <is>
          <t>Sports &amp; Outdoors</t>
        </is>
      </c>
      <c r="F3804" t="inlineStr">
        <is>
          <t>Daniel Johnson</t>
        </is>
      </c>
      <c r="G3804" t="inlineStr">
        <is>
          <t>Italy</t>
        </is>
      </c>
      <c r="H3804" t="inlineStr">
        <is>
          <t>Retail Store</t>
        </is>
      </c>
      <c r="I3804" t="n">
        <v>5</v>
      </c>
      <c r="J3804" s="3" t="n">
        <v>1236.75</v>
      </c>
      <c r="K3804" s="3" t="n">
        <v>0</v>
      </c>
      <c r="L3804" s="3" t="n">
        <v>1236.75</v>
      </c>
      <c r="M3804" s="3" t="n">
        <v>675.15</v>
      </c>
      <c r="N3804" s="3" t="n">
        <v>561.6</v>
      </c>
      <c r="O3804">
        <f>TEXT(A3804,"yyyy-mm")</f>
        <v/>
      </c>
    </row>
    <row r="3805">
      <c r="A3805" s="2" t="n">
        <v>46123</v>
      </c>
      <c r="B3805" t="n">
        <v>2026</v>
      </c>
      <c r="C3805" t="inlineStr">
        <is>
          <t>April</t>
        </is>
      </c>
      <c r="D3805" t="inlineStr">
        <is>
          <t>Eco Backpack</t>
        </is>
      </c>
      <c r="E3805" t="inlineStr">
        <is>
          <t>Sports &amp; Outdoors</t>
        </is>
      </c>
      <c r="F3805" t="inlineStr">
        <is>
          <t>Robert Rossi</t>
        </is>
      </c>
      <c r="G3805" t="inlineStr">
        <is>
          <t>United States</t>
        </is>
      </c>
      <c r="H3805" t="inlineStr">
        <is>
          <t>Marketplace</t>
        </is>
      </c>
      <c r="I3805" t="n">
        <v>3</v>
      </c>
      <c r="J3805" s="3" t="n">
        <v>785.88</v>
      </c>
      <c r="K3805" s="3" t="n">
        <v>39.29</v>
      </c>
      <c r="L3805" s="3" t="n">
        <v>746.59</v>
      </c>
      <c r="M3805" s="3" t="n">
        <v>439.74</v>
      </c>
      <c r="N3805" s="3" t="n">
        <v>306.85</v>
      </c>
      <c r="O3805">
        <f>TEXT(A3805,"yyyy-mm")</f>
        <v/>
      </c>
    </row>
    <row r="3806">
      <c r="A3806" s="2" t="n">
        <v>46123</v>
      </c>
      <c r="B3806" t="n">
        <v>2026</v>
      </c>
      <c r="C3806" t="inlineStr">
        <is>
          <t>April</t>
        </is>
      </c>
      <c r="D3806" t="inlineStr">
        <is>
          <t>Wireless Cookbook</t>
        </is>
      </c>
      <c r="E3806" t="inlineStr">
        <is>
          <t>Books</t>
        </is>
      </c>
      <c r="F3806" t="inlineStr">
        <is>
          <t>Daniel Johnson</t>
        </is>
      </c>
      <c r="G3806" t="inlineStr">
        <is>
          <t>Italy</t>
        </is>
      </c>
      <c r="H3806" t="inlineStr">
        <is>
          <t>Retail Store</t>
        </is>
      </c>
      <c r="I3806" t="n">
        <v>1</v>
      </c>
      <c r="J3806" s="3" t="n">
        <v>74.79000000000001</v>
      </c>
      <c r="K3806" s="3" t="n">
        <v>14.96</v>
      </c>
      <c r="L3806" s="3" t="n">
        <v>59.83</v>
      </c>
      <c r="M3806" s="3" t="n">
        <v>56.61</v>
      </c>
      <c r="N3806" s="3" t="n">
        <v>3.22</v>
      </c>
      <c r="O3806">
        <f>TEXT(A3806,"yyyy-mm")</f>
        <v/>
      </c>
    </row>
    <row r="3807">
      <c r="A3807" s="2" t="n">
        <v>46123</v>
      </c>
      <c r="B3807" t="n">
        <v>2026</v>
      </c>
      <c r="C3807" t="inlineStr">
        <is>
          <t>April</t>
        </is>
      </c>
      <c r="D3807" t="inlineStr">
        <is>
          <t>Deluxe Puzzle</t>
        </is>
      </c>
      <c r="E3807" t="inlineStr">
        <is>
          <t>Toys &amp; Games</t>
        </is>
      </c>
      <c r="F3807" t="inlineStr">
        <is>
          <t>Nina Wojcik</t>
        </is>
      </c>
      <c r="G3807" t="inlineStr">
        <is>
          <t>Germany</t>
        </is>
      </c>
      <c r="H3807" t="inlineStr">
        <is>
          <t>Web Store</t>
        </is>
      </c>
      <c r="I3807" t="n">
        <v>4</v>
      </c>
      <c r="J3807" s="3" t="n">
        <v>815.36</v>
      </c>
      <c r="K3807" s="3" t="n">
        <v>0</v>
      </c>
      <c r="L3807" s="3" t="n">
        <v>815.36</v>
      </c>
      <c r="M3807" s="3" t="n">
        <v>444.68</v>
      </c>
      <c r="N3807" s="3" t="n">
        <v>370.68</v>
      </c>
      <c r="O3807">
        <f>TEXT(A3807,"yyyy-mm")</f>
        <v/>
      </c>
    </row>
    <row r="3808">
      <c r="A3808" s="2" t="n">
        <v>46124</v>
      </c>
      <c r="B3808" t="n">
        <v>2026</v>
      </c>
      <c r="C3808" t="inlineStr">
        <is>
          <t>April</t>
        </is>
      </c>
      <c r="D3808" t="inlineStr">
        <is>
          <t>Essential Pasta</t>
        </is>
      </c>
      <c r="E3808" t="inlineStr">
        <is>
          <t>Grocery</t>
        </is>
      </c>
      <c r="F3808" t="inlineStr">
        <is>
          <t>Olivia Conti</t>
        </is>
      </c>
      <c r="G3808" t="inlineStr">
        <is>
          <t>Poland</t>
        </is>
      </c>
      <c r="H3808" t="inlineStr">
        <is>
          <t>Marketplace</t>
        </is>
      </c>
      <c r="I3808" t="n">
        <v>1</v>
      </c>
      <c r="J3808" s="3" t="n">
        <v>54.85</v>
      </c>
      <c r="K3808" s="3" t="n">
        <v>8.23</v>
      </c>
      <c r="L3808" s="3" t="n">
        <v>46.62</v>
      </c>
      <c r="M3808" s="3" t="n">
        <v>35.81</v>
      </c>
      <c r="N3808" s="3" t="n">
        <v>10.81</v>
      </c>
      <c r="O3808">
        <f>TEXT(A3808,"yyyy-mm")</f>
        <v/>
      </c>
    </row>
    <row r="3809">
      <c r="A3809" s="2" t="n">
        <v>46124</v>
      </c>
      <c r="B3809" t="n">
        <v>2026</v>
      </c>
      <c r="C3809" t="inlineStr">
        <is>
          <t>April</t>
        </is>
      </c>
      <c r="D3809" t="inlineStr">
        <is>
          <t>Compact Biography</t>
        </is>
      </c>
      <c r="E3809" t="inlineStr">
        <is>
          <t>Books</t>
        </is>
      </c>
      <c r="F3809" t="inlineStr">
        <is>
          <t>Olivia Conti</t>
        </is>
      </c>
      <c r="G3809" t="inlineStr">
        <is>
          <t>Poland</t>
        </is>
      </c>
      <c r="H3809" t="inlineStr">
        <is>
          <t>Marketplace</t>
        </is>
      </c>
      <c r="I3809" t="n">
        <v>1</v>
      </c>
      <c r="J3809" s="3" t="n">
        <v>254.53</v>
      </c>
      <c r="K3809" s="3" t="n">
        <v>12.73</v>
      </c>
      <c r="L3809" s="3" t="n">
        <v>241.8</v>
      </c>
      <c r="M3809" s="3" t="n">
        <v>140.33</v>
      </c>
      <c r="N3809" s="3" t="n">
        <v>101.47</v>
      </c>
      <c r="O3809">
        <f>TEXT(A3809,"yyyy-mm")</f>
        <v/>
      </c>
    </row>
    <row r="3810">
      <c r="A3810" s="2" t="n">
        <v>46124</v>
      </c>
      <c r="B3810" t="n">
        <v>2026</v>
      </c>
      <c r="C3810" t="inlineStr">
        <is>
          <t>April</t>
        </is>
      </c>
      <c r="D3810" t="inlineStr">
        <is>
          <t>Smart Coffee Beans</t>
        </is>
      </c>
      <c r="E3810" t="inlineStr">
        <is>
          <t>Grocery</t>
        </is>
      </c>
      <c r="F3810" t="inlineStr">
        <is>
          <t>Olivia Conti</t>
        </is>
      </c>
      <c r="G3810" t="inlineStr">
        <is>
          <t>Poland</t>
        </is>
      </c>
      <c r="H3810" t="inlineStr">
        <is>
          <t>Marketplace</t>
        </is>
      </c>
      <c r="I3810" t="n">
        <v>3</v>
      </c>
      <c r="J3810" s="3" t="n">
        <v>335.91</v>
      </c>
      <c r="K3810" s="3" t="n">
        <v>0</v>
      </c>
      <c r="L3810" s="3" t="n">
        <v>335.91</v>
      </c>
      <c r="M3810" s="3" t="n">
        <v>218.55</v>
      </c>
      <c r="N3810" s="3" t="n">
        <v>117.36</v>
      </c>
      <c r="O3810">
        <f>TEXT(A3810,"yyyy-mm")</f>
        <v/>
      </c>
    </row>
    <row r="3811">
      <c r="A3811" s="2" t="n">
        <v>46124</v>
      </c>
      <c r="B3811" t="n">
        <v>2026</v>
      </c>
      <c r="C3811" t="inlineStr">
        <is>
          <t>April</t>
        </is>
      </c>
      <c r="D3811" t="inlineStr">
        <is>
          <t>Smart Face Cream</t>
        </is>
      </c>
      <c r="E3811" t="inlineStr">
        <is>
          <t>Beauty &amp; Health</t>
        </is>
      </c>
      <c r="F3811" t="inlineStr">
        <is>
          <t>Olivia Conti</t>
        </is>
      </c>
      <c r="G3811" t="inlineStr">
        <is>
          <t>Poland</t>
        </is>
      </c>
      <c r="H3811" t="inlineStr">
        <is>
          <t>Marketplace</t>
        </is>
      </c>
      <c r="I3811" t="n">
        <v>2</v>
      </c>
      <c r="J3811" s="3" t="n">
        <v>548.84</v>
      </c>
      <c r="K3811" s="3" t="n">
        <v>0</v>
      </c>
      <c r="L3811" s="3" t="n">
        <v>548.84</v>
      </c>
      <c r="M3811" s="3" t="n">
        <v>386.28</v>
      </c>
      <c r="N3811" s="3" t="n">
        <v>162.56</v>
      </c>
      <c r="O3811">
        <f>TEXT(A3811,"yyyy-mm")</f>
        <v/>
      </c>
    </row>
    <row r="3812">
      <c r="A3812" s="2" t="n">
        <v>46124</v>
      </c>
      <c r="B3812" t="n">
        <v>2026</v>
      </c>
      <c r="C3812" t="inlineStr">
        <is>
          <t>April</t>
        </is>
      </c>
      <c r="D3812" t="inlineStr">
        <is>
          <t>Smart Cookbook</t>
        </is>
      </c>
      <c r="E3812" t="inlineStr">
        <is>
          <t>Books</t>
        </is>
      </c>
      <c r="F3812" t="inlineStr">
        <is>
          <t>Olivia Bianchi</t>
        </is>
      </c>
      <c r="G3812" t="inlineStr">
        <is>
          <t>United Kingdom</t>
        </is>
      </c>
      <c r="H3812" t="inlineStr">
        <is>
          <t>Web Store</t>
        </is>
      </c>
      <c r="I3812" t="n">
        <v>5</v>
      </c>
      <c r="J3812" s="3" t="n">
        <v>93.95</v>
      </c>
      <c r="K3812" s="3" t="n">
        <v>0</v>
      </c>
      <c r="L3812" s="3" t="n">
        <v>93.95</v>
      </c>
      <c r="M3812" s="3" t="n">
        <v>49.4</v>
      </c>
      <c r="N3812" s="3" t="n">
        <v>44.55</v>
      </c>
      <c r="O3812">
        <f>TEXT(A3812,"yyyy-mm")</f>
        <v/>
      </c>
    </row>
    <row r="3813">
      <c r="A3813" s="2" t="n">
        <v>46124</v>
      </c>
      <c r="B3813" t="n">
        <v>2026</v>
      </c>
      <c r="C3813" t="inlineStr">
        <is>
          <t>April</t>
        </is>
      </c>
      <c r="D3813" t="inlineStr">
        <is>
          <t>Deluxe Puzzle</t>
        </is>
      </c>
      <c r="E3813" t="inlineStr">
        <is>
          <t>Toys &amp; Games</t>
        </is>
      </c>
      <c r="F3813" t="inlineStr">
        <is>
          <t>Olivia Bianchi</t>
        </is>
      </c>
      <c r="G3813" t="inlineStr">
        <is>
          <t>United Kingdom</t>
        </is>
      </c>
      <c r="H3813" t="inlineStr">
        <is>
          <t>Web Store</t>
        </is>
      </c>
      <c r="I3813" t="n">
        <v>4</v>
      </c>
      <c r="J3813" s="3" t="n">
        <v>841.5599999999999</v>
      </c>
      <c r="K3813" s="3" t="n">
        <v>0</v>
      </c>
      <c r="L3813" s="3" t="n">
        <v>841.5599999999999</v>
      </c>
      <c r="M3813" s="3" t="n">
        <v>444.68</v>
      </c>
      <c r="N3813" s="3" t="n">
        <v>396.88</v>
      </c>
      <c r="O3813">
        <f>TEXT(A3813,"yyyy-mm")</f>
        <v/>
      </c>
    </row>
    <row r="3814">
      <c r="A3814" s="2" t="n">
        <v>46124</v>
      </c>
      <c r="B3814" t="n">
        <v>2026</v>
      </c>
      <c r="C3814" t="inlineStr">
        <is>
          <t>April</t>
        </is>
      </c>
      <c r="D3814" t="inlineStr">
        <is>
          <t>Eco Tent</t>
        </is>
      </c>
      <c r="E3814" t="inlineStr">
        <is>
          <t>Sports &amp; Outdoors</t>
        </is>
      </c>
      <c r="F3814" t="inlineStr">
        <is>
          <t>Anna Smith</t>
        </is>
      </c>
      <c r="G3814" t="inlineStr">
        <is>
          <t>Germany</t>
        </is>
      </c>
      <c r="H3814" t="inlineStr">
        <is>
          <t>Marketplace</t>
        </is>
      </c>
      <c r="I3814" t="n">
        <v>4</v>
      </c>
      <c r="J3814" s="3" t="n">
        <v>271.12</v>
      </c>
      <c r="K3814" s="3" t="n">
        <v>0</v>
      </c>
      <c r="L3814" s="3" t="n">
        <v>271.12</v>
      </c>
      <c r="M3814" s="3" t="n">
        <v>175.4</v>
      </c>
      <c r="N3814" s="3" t="n">
        <v>95.72</v>
      </c>
      <c r="O3814">
        <f>TEXT(A3814,"yyyy-mm")</f>
        <v/>
      </c>
    </row>
    <row r="3815">
      <c r="A3815" s="2" t="n">
        <v>46125</v>
      </c>
      <c r="B3815" t="n">
        <v>2026</v>
      </c>
      <c r="C3815" t="inlineStr">
        <is>
          <t>April</t>
        </is>
      </c>
      <c r="D3815" t="inlineStr">
        <is>
          <t>Premium Water Bottle</t>
        </is>
      </c>
      <c r="E3815" t="inlineStr">
        <is>
          <t>Sports &amp; Outdoors</t>
        </is>
      </c>
      <c r="F3815" t="inlineStr">
        <is>
          <t>Emily Nowak</t>
        </is>
      </c>
      <c r="G3815" t="inlineStr">
        <is>
          <t>Netherlands</t>
        </is>
      </c>
      <c r="H3815" t="inlineStr">
        <is>
          <t>Marketplace</t>
        </is>
      </c>
      <c r="I3815" t="n">
        <v>4</v>
      </c>
      <c r="J3815" s="3" t="n">
        <v>1256.24</v>
      </c>
      <c r="K3815" s="3" t="n">
        <v>0</v>
      </c>
      <c r="L3815" s="3" t="n">
        <v>1256.24</v>
      </c>
      <c r="M3815" s="3" t="n">
        <v>724.64</v>
      </c>
      <c r="N3815" s="3" t="n">
        <v>531.6</v>
      </c>
      <c r="O3815">
        <f>TEXT(A3815,"yyyy-mm")</f>
        <v/>
      </c>
    </row>
    <row r="3816">
      <c r="A3816" s="2" t="n">
        <v>46125</v>
      </c>
      <c r="B3816" t="n">
        <v>2026</v>
      </c>
      <c r="C3816" t="inlineStr">
        <is>
          <t>April</t>
        </is>
      </c>
      <c r="D3816" t="inlineStr">
        <is>
          <t>Premium Tent</t>
        </is>
      </c>
      <c r="E3816" t="inlineStr">
        <is>
          <t>Sports &amp; Outdoors</t>
        </is>
      </c>
      <c r="F3816" t="inlineStr">
        <is>
          <t>Emily Nowak</t>
        </is>
      </c>
      <c r="G3816" t="inlineStr">
        <is>
          <t>Netherlands</t>
        </is>
      </c>
      <c r="H3816" t="inlineStr">
        <is>
          <t>Marketplace</t>
        </is>
      </c>
      <c r="I3816" t="n">
        <v>4</v>
      </c>
      <c r="J3816" s="3" t="n">
        <v>994</v>
      </c>
      <c r="K3816" s="3" t="n">
        <v>149.1</v>
      </c>
      <c r="L3816" s="3" t="n">
        <v>844.9</v>
      </c>
      <c r="M3816" s="3" t="n">
        <v>661.24</v>
      </c>
      <c r="N3816" s="3" t="n">
        <v>183.66</v>
      </c>
      <c r="O3816">
        <f>TEXT(A3816,"yyyy-mm")</f>
        <v/>
      </c>
    </row>
    <row r="3817">
      <c r="A3817" s="2" t="n">
        <v>46125</v>
      </c>
      <c r="B3817" t="n">
        <v>2026</v>
      </c>
      <c r="C3817" t="inlineStr">
        <is>
          <t>April</t>
        </is>
      </c>
      <c r="D3817" t="inlineStr">
        <is>
          <t>Smart Jeans</t>
        </is>
      </c>
      <c r="E3817" t="inlineStr">
        <is>
          <t>Clothing</t>
        </is>
      </c>
      <c r="F3817" t="inlineStr">
        <is>
          <t>Emily Nowak</t>
        </is>
      </c>
      <c r="G3817" t="inlineStr">
        <is>
          <t>Netherlands</t>
        </is>
      </c>
      <c r="H3817" t="inlineStr">
        <is>
          <t>Marketplace</t>
        </is>
      </c>
      <c r="I3817" t="n">
        <v>1</v>
      </c>
      <c r="J3817" s="3" t="n">
        <v>288.98</v>
      </c>
      <c r="K3817" s="3" t="n">
        <v>57.8</v>
      </c>
      <c r="L3817" s="3" t="n">
        <v>231.18</v>
      </c>
      <c r="M3817" s="3" t="n">
        <v>193.64</v>
      </c>
      <c r="N3817" s="3" t="n">
        <v>37.54</v>
      </c>
      <c r="O3817">
        <f>TEXT(A3817,"yyyy-mm")</f>
        <v/>
      </c>
    </row>
    <row r="3818">
      <c r="A3818" s="2" t="n">
        <v>46125</v>
      </c>
      <c r="B3818" t="n">
        <v>2026</v>
      </c>
      <c r="C3818" t="inlineStr">
        <is>
          <t>April</t>
        </is>
      </c>
      <c r="D3818" t="inlineStr">
        <is>
          <t>Eco Drone</t>
        </is>
      </c>
      <c r="E3818" t="inlineStr">
        <is>
          <t>Toys &amp; Games</t>
        </is>
      </c>
      <c r="F3818" t="inlineStr">
        <is>
          <t>Emily Nowak</t>
        </is>
      </c>
      <c r="G3818" t="inlineStr">
        <is>
          <t>Netherlands</t>
        </is>
      </c>
      <c r="H3818" t="inlineStr">
        <is>
          <t>Marketplace</t>
        </is>
      </c>
      <c r="I3818" t="n">
        <v>4</v>
      </c>
      <c r="J3818" s="3" t="n">
        <v>806</v>
      </c>
      <c r="K3818" s="3" t="n">
        <v>161.2</v>
      </c>
      <c r="L3818" s="3" t="n">
        <v>644.8</v>
      </c>
      <c r="M3818" s="3" t="n">
        <v>518.36</v>
      </c>
      <c r="N3818" s="3" t="n">
        <v>126.44</v>
      </c>
      <c r="O3818">
        <f>TEXT(A3818,"yyyy-mm")</f>
        <v/>
      </c>
    </row>
    <row r="3819">
      <c r="A3819" s="2" t="n">
        <v>46125</v>
      </c>
      <c r="B3819" t="n">
        <v>2026</v>
      </c>
      <c r="C3819" t="inlineStr">
        <is>
          <t>April</t>
        </is>
      </c>
      <c r="D3819" t="inlineStr">
        <is>
          <t>Portable Tea Set</t>
        </is>
      </c>
      <c r="E3819" t="inlineStr">
        <is>
          <t>Grocery</t>
        </is>
      </c>
      <c r="F3819" t="inlineStr">
        <is>
          <t>Nina Lopez</t>
        </is>
      </c>
      <c r="G3819" t="inlineStr">
        <is>
          <t>Poland</t>
        </is>
      </c>
      <c r="H3819" t="inlineStr">
        <is>
          <t>Retail Store</t>
        </is>
      </c>
      <c r="I3819" t="n">
        <v>2</v>
      </c>
      <c r="J3819" s="3" t="n">
        <v>536.04</v>
      </c>
      <c r="K3819" s="3" t="n">
        <v>0</v>
      </c>
      <c r="L3819" s="3" t="n">
        <v>536.04</v>
      </c>
      <c r="M3819" s="3" t="n">
        <v>376.24</v>
      </c>
      <c r="N3819" s="3" t="n">
        <v>159.8</v>
      </c>
      <c r="O3819">
        <f>TEXT(A3819,"yyyy-mm")</f>
        <v/>
      </c>
    </row>
    <row r="3820">
      <c r="A3820" s="2" t="n">
        <v>46125</v>
      </c>
      <c r="B3820" t="n">
        <v>2026</v>
      </c>
      <c r="C3820" t="inlineStr">
        <is>
          <t>April</t>
        </is>
      </c>
      <c r="D3820" t="inlineStr">
        <is>
          <t>Deluxe Cookbook</t>
        </is>
      </c>
      <c r="E3820" t="inlineStr">
        <is>
          <t>Books</t>
        </is>
      </c>
      <c r="F3820" t="inlineStr">
        <is>
          <t>Nina Lopez</t>
        </is>
      </c>
      <c r="G3820" t="inlineStr">
        <is>
          <t>Poland</t>
        </is>
      </c>
      <c r="H3820" t="inlineStr">
        <is>
          <t>Retail Store</t>
        </is>
      </c>
      <c r="I3820" t="n">
        <v>1</v>
      </c>
      <c r="J3820" s="3" t="n">
        <v>129.75</v>
      </c>
      <c r="K3820" s="3" t="n">
        <v>12.98</v>
      </c>
      <c r="L3820" s="3" t="n">
        <v>116.78</v>
      </c>
      <c r="M3820" s="3" t="n">
        <v>85.27</v>
      </c>
      <c r="N3820" s="3" t="n">
        <v>31.51</v>
      </c>
      <c r="O3820">
        <f>TEXT(A3820,"yyyy-mm")</f>
        <v/>
      </c>
    </row>
    <row r="3821">
      <c r="A3821" s="2" t="n">
        <v>46125</v>
      </c>
      <c r="B3821" t="n">
        <v>2026</v>
      </c>
      <c r="C3821" t="inlineStr">
        <is>
          <t>April</t>
        </is>
      </c>
      <c r="D3821" t="inlineStr">
        <is>
          <t>Essential Cushion</t>
        </is>
      </c>
      <c r="E3821" t="inlineStr">
        <is>
          <t>Home &amp; Garden</t>
        </is>
      </c>
      <c r="F3821" t="inlineStr">
        <is>
          <t>Nina Lopez</t>
        </is>
      </c>
      <c r="G3821" t="inlineStr">
        <is>
          <t>Poland</t>
        </is>
      </c>
      <c r="H3821" t="inlineStr">
        <is>
          <t>Retail Store</t>
        </is>
      </c>
      <c r="I3821" t="n">
        <v>1</v>
      </c>
      <c r="J3821" s="3" t="n">
        <v>46.25</v>
      </c>
      <c r="K3821" s="3" t="n">
        <v>4.62</v>
      </c>
      <c r="L3821" s="3" t="n">
        <v>41.62</v>
      </c>
      <c r="M3821" s="3" t="n">
        <v>30.55</v>
      </c>
      <c r="N3821" s="3" t="n">
        <v>11.08</v>
      </c>
      <c r="O3821">
        <f>TEXT(A3821,"yyyy-mm")</f>
        <v/>
      </c>
    </row>
    <row r="3822">
      <c r="A3822" s="2" t="n">
        <v>46125</v>
      </c>
      <c r="B3822" t="n">
        <v>2026</v>
      </c>
      <c r="C3822" t="inlineStr">
        <is>
          <t>April</t>
        </is>
      </c>
      <c r="D3822" t="inlineStr">
        <is>
          <t>Portable Toolset</t>
        </is>
      </c>
      <c r="E3822" t="inlineStr">
        <is>
          <t>Home &amp; Garden</t>
        </is>
      </c>
      <c r="F3822" t="inlineStr">
        <is>
          <t>Mark Moreau</t>
        </is>
      </c>
      <c r="G3822" t="inlineStr">
        <is>
          <t>Italy</t>
        </is>
      </c>
      <c r="H3822" t="inlineStr">
        <is>
          <t>Mobile App</t>
        </is>
      </c>
      <c r="I3822" t="n">
        <v>3</v>
      </c>
      <c r="J3822" s="3" t="n">
        <v>424.53</v>
      </c>
      <c r="K3822" s="3" t="n">
        <v>0</v>
      </c>
      <c r="L3822" s="3" t="n">
        <v>424.53</v>
      </c>
      <c r="M3822" s="3" t="n">
        <v>278.55</v>
      </c>
      <c r="N3822" s="3" t="n">
        <v>145.98</v>
      </c>
      <c r="O3822">
        <f>TEXT(A3822,"yyyy-mm")</f>
        <v/>
      </c>
    </row>
    <row r="3823">
      <c r="A3823" s="2" t="n">
        <v>46125</v>
      </c>
      <c r="B3823" t="n">
        <v>2026</v>
      </c>
      <c r="C3823" t="inlineStr">
        <is>
          <t>April</t>
        </is>
      </c>
      <c r="D3823" t="inlineStr">
        <is>
          <t>Smart Camera</t>
        </is>
      </c>
      <c r="E3823" t="inlineStr">
        <is>
          <t>Electronics</t>
        </is>
      </c>
      <c r="F3823" t="inlineStr">
        <is>
          <t>Mark Moreau</t>
        </is>
      </c>
      <c r="G3823" t="inlineStr">
        <is>
          <t>Italy</t>
        </is>
      </c>
      <c r="H3823" t="inlineStr">
        <is>
          <t>Mobile App</t>
        </is>
      </c>
      <c r="I3823" t="n">
        <v>1</v>
      </c>
      <c r="J3823" s="3" t="n">
        <v>118.43</v>
      </c>
      <c r="K3823" s="3" t="n">
        <v>17.76</v>
      </c>
      <c r="L3823" s="3" t="n">
        <v>100.67</v>
      </c>
      <c r="M3823" s="3" t="n">
        <v>85.58</v>
      </c>
      <c r="N3823" s="3" t="n">
        <v>15.09</v>
      </c>
      <c r="O3823">
        <f>TEXT(A3823,"yyyy-mm")</f>
        <v/>
      </c>
    </row>
    <row r="3824">
      <c r="A3824" s="2" t="n">
        <v>46125</v>
      </c>
      <c r="B3824" t="n">
        <v>2026</v>
      </c>
      <c r="C3824" t="inlineStr">
        <is>
          <t>April</t>
        </is>
      </c>
      <c r="D3824" t="inlineStr">
        <is>
          <t>Eco Backpack</t>
        </is>
      </c>
      <c r="E3824" t="inlineStr">
        <is>
          <t>Sports &amp; Outdoors</t>
        </is>
      </c>
      <c r="F3824" t="inlineStr">
        <is>
          <t>Mark Moreau</t>
        </is>
      </c>
      <c r="G3824" t="inlineStr">
        <is>
          <t>Italy</t>
        </is>
      </c>
      <c r="H3824" t="inlineStr">
        <is>
          <t>Mobile App</t>
        </is>
      </c>
      <c r="I3824" t="n">
        <v>3</v>
      </c>
      <c r="J3824" s="3" t="n">
        <v>791.79</v>
      </c>
      <c r="K3824" s="3" t="n">
        <v>0</v>
      </c>
      <c r="L3824" s="3" t="n">
        <v>791.79</v>
      </c>
      <c r="M3824" s="3" t="n">
        <v>439.74</v>
      </c>
      <c r="N3824" s="3" t="n">
        <v>352.05</v>
      </c>
      <c r="O3824">
        <f>TEXT(A3824,"yyyy-mm")</f>
        <v/>
      </c>
    </row>
    <row r="3825">
      <c r="A3825" s="2" t="n">
        <v>46125</v>
      </c>
      <c r="B3825" t="n">
        <v>2026</v>
      </c>
      <c r="C3825" t="inlineStr">
        <is>
          <t>April</t>
        </is>
      </c>
      <c r="D3825" t="inlineStr">
        <is>
          <t>Essential Notebook</t>
        </is>
      </c>
      <c r="E3825" t="inlineStr">
        <is>
          <t>Books</t>
        </is>
      </c>
      <c r="F3825" t="inlineStr">
        <is>
          <t>Mark Moreau</t>
        </is>
      </c>
      <c r="G3825" t="inlineStr">
        <is>
          <t>Italy</t>
        </is>
      </c>
      <c r="H3825" t="inlineStr">
        <is>
          <t>Mobile App</t>
        </is>
      </c>
      <c r="I3825" t="n">
        <v>2</v>
      </c>
      <c r="J3825" s="3" t="n">
        <v>236.92</v>
      </c>
      <c r="K3825" s="3" t="n">
        <v>47.38</v>
      </c>
      <c r="L3825" s="3" t="n">
        <v>189.54</v>
      </c>
      <c r="M3825" s="3" t="n">
        <v>158.2</v>
      </c>
      <c r="N3825" s="3" t="n">
        <v>31.34</v>
      </c>
      <c r="O3825">
        <f>TEXT(A3825,"yyyy-mm")</f>
        <v/>
      </c>
    </row>
    <row r="3826">
      <c r="A3826" s="2" t="n">
        <v>46125</v>
      </c>
      <c r="B3826" t="n">
        <v>2026</v>
      </c>
      <c r="C3826" t="inlineStr">
        <is>
          <t>April</t>
        </is>
      </c>
      <c r="D3826" t="inlineStr">
        <is>
          <t>Premium Tent</t>
        </is>
      </c>
      <c r="E3826" t="inlineStr">
        <is>
          <t>Sports &amp; Outdoors</t>
        </is>
      </c>
      <c r="F3826" t="inlineStr">
        <is>
          <t>Robert Moreau</t>
        </is>
      </c>
      <c r="G3826" t="inlineStr">
        <is>
          <t>Spain</t>
        </is>
      </c>
      <c r="H3826" t="inlineStr">
        <is>
          <t>Mobile App</t>
        </is>
      </c>
      <c r="I3826" t="n">
        <v>5</v>
      </c>
      <c r="J3826" s="3" t="n">
        <v>1264.95</v>
      </c>
      <c r="K3826" s="3" t="n">
        <v>63.25</v>
      </c>
      <c r="L3826" s="3" t="n">
        <v>1201.7</v>
      </c>
      <c r="M3826" s="3" t="n">
        <v>695.2</v>
      </c>
      <c r="N3826" s="3" t="n">
        <v>506.5</v>
      </c>
      <c r="O3826">
        <f>TEXT(A3826,"yyyy-mm")</f>
        <v/>
      </c>
    </row>
    <row r="3827">
      <c r="A3827" s="2" t="n">
        <v>46125</v>
      </c>
      <c r="B3827" t="n">
        <v>2026</v>
      </c>
      <c r="C3827" t="inlineStr">
        <is>
          <t>April</t>
        </is>
      </c>
      <c r="D3827" t="inlineStr">
        <is>
          <t>Essential Vitamins</t>
        </is>
      </c>
      <c r="E3827" t="inlineStr">
        <is>
          <t>Beauty &amp; Health</t>
        </is>
      </c>
      <c r="F3827" t="inlineStr">
        <is>
          <t>Robert Moreau</t>
        </is>
      </c>
      <c r="G3827" t="inlineStr">
        <is>
          <t>Spain</t>
        </is>
      </c>
      <c r="H3827" t="inlineStr">
        <is>
          <t>Mobile App</t>
        </is>
      </c>
      <c r="I3827" t="n">
        <v>1</v>
      </c>
      <c r="J3827" s="3" t="n">
        <v>164.37</v>
      </c>
      <c r="K3827" s="3" t="n">
        <v>24.66</v>
      </c>
      <c r="L3827" s="3" t="n">
        <v>139.71</v>
      </c>
      <c r="M3827" s="3" t="n">
        <v>110.3</v>
      </c>
      <c r="N3827" s="3" t="n">
        <v>29.41</v>
      </c>
      <c r="O3827">
        <f>TEXT(A3827,"yyyy-mm")</f>
        <v/>
      </c>
    </row>
    <row r="3828">
      <c r="A3828" s="2" t="n">
        <v>46125</v>
      </c>
      <c r="B3828" t="n">
        <v>2026</v>
      </c>
      <c r="C3828" t="inlineStr">
        <is>
          <t>April</t>
        </is>
      </c>
      <c r="D3828" t="inlineStr">
        <is>
          <t>Smart Honey</t>
        </is>
      </c>
      <c r="E3828" t="inlineStr">
        <is>
          <t>Grocery</t>
        </is>
      </c>
      <c r="F3828" t="inlineStr">
        <is>
          <t>Robert Moreau</t>
        </is>
      </c>
      <c r="G3828" t="inlineStr">
        <is>
          <t>Spain</t>
        </is>
      </c>
      <c r="H3828" t="inlineStr">
        <is>
          <t>Mobile App</t>
        </is>
      </c>
      <c r="I3828" t="n">
        <v>4</v>
      </c>
      <c r="J3828" s="3" t="n">
        <v>550.3200000000001</v>
      </c>
      <c r="K3828" s="3" t="n">
        <v>82.55</v>
      </c>
      <c r="L3828" s="3" t="n">
        <v>467.77</v>
      </c>
      <c r="M3828" s="3" t="n">
        <v>285.76</v>
      </c>
      <c r="N3828" s="3" t="n">
        <v>182.01</v>
      </c>
      <c r="O3828">
        <f>TEXT(A3828,"yyyy-mm")</f>
        <v/>
      </c>
    </row>
    <row r="3829">
      <c r="A3829" s="2" t="n">
        <v>46126</v>
      </c>
      <c r="B3829" t="n">
        <v>2026</v>
      </c>
      <c r="C3829" t="inlineStr">
        <is>
          <t>April</t>
        </is>
      </c>
      <c r="D3829" t="inlineStr">
        <is>
          <t>Essential Pasta</t>
        </is>
      </c>
      <c r="E3829" t="inlineStr">
        <is>
          <t>Grocery</t>
        </is>
      </c>
      <c r="F3829" t="inlineStr">
        <is>
          <t>Maria Nowak</t>
        </is>
      </c>
      <c r="G3829" t="inlineStr">
        <is>
          <t>Poland</t>
        </is>
      </c>
      <c r="H3829" t="inlineStr">
        <is>
          <t>Marketplace</t>
        </is>
      </c>
      <c r="I3829" t="n">
        <v>1</v>
      </c>
      <c r="J3829" s="3" t="n">
        <v>58.02</v>
      </c>
      <c r="K3829" s="3" t="n">
        <v>0</v>
      </c>
      <c r="L3829" s="3" t="n">
        <v>58.02</v>
      </c>
      <c r="M3829" s="3" t="n">
        <v>35.81</v>
      </c>
      <c r="N3829" s="3" t="n">
        <v>22.21</v>
      </c>
      <c r="O3829">
        <f>TEXT(A3829,"yyyy-mm")</f>
        <v/>
      </c>
    </row>
    <row r="3830">
      <c r="A3830" s="2" t="n">
        <v>46126</v>
      </c>
      <c r="B3830" t="n">
        <v>2026</v>
      </c>
      <c r="C3830" t="inlineStr">
        <is>
          <t>April</t>
        </is>
      </c>
      <c r="D3830" t="inlineStr">
        <is>
          <t>Smart Puzzle</t>
        </is>
      </c>
      <c r="E3830" t="inlineStr">
        <is>
          <t>Toys &amp; Games</t>
        </is>
      </c>
      <c r="F3830" t="inlineStr">
        <is>
          <t>Maria Nowak</t>
        </is>
      </c>
      <c r="G3830" t="inlineStr">
        <is>
          <t>Poland</t>
        </is>
      </c>
      <c r="H3830" t="inlineStr">
        <is>
          <t>Marketplace</t>
        </is>
      </c>
      <c r="I3830" t="n">
        <v>1</v>
      </c>
      <c r="J3830" s="3" t="n">
        <v>44.91</v>
      </c>
      <c r="K3830" s="3" t="n">
        <v>0</v>
      </c>
      <c r="L3830" s="3" t="n">
        <v>44.91</v>
      </c>
      <c r="M3830" s="3" t="n">
        <v>24.44</v>
      </c>
      <c r="N3830" s="3" t="n">
        <v>20.47</v>
      </c>
      <c r="O3830">
        <f>TEXT(A3830,"yyyy-mm")</f>
        <v/>
      </c>
    </row>
    <row r="3831">
      <c r="A3831" s="2" t="n">
        <v>46126</v>
      </c>
      <c r="B3831" t="n">
        <v>2026</v>
      </c>
      <c r="C3831" t="inlineStr">
        <is>
          <t>April</t>
        </is>
      </c>
      <c r="D3831" t="inlineStr">
        <is>
          <t>Deluxe Toolset</t>
        </is>
      </c>
      <c r="E3831" t="inlineStr">
        <is>
          <t>Home &amp; Garden</t>
        </is>
      </c>
      <c r="F3831" t="inlineStr">
        <is>
          <t>Maria Nowak</t>
        </is>
      </c>
      <c r="G3831" t="inlineStr">
        <is>
          <t>Poland</t>
        </is>
      </c>
      <c r="H3831" t="inlineStr">
        <is>
          <t>Marketplace</t>
        </is>
      </c>
      <c r="I3831" t="n">
        <v>2</v>
      </c>
      <c r="J3831" s="3" t="n">
        <v>131.42</v>
      </c>
      <c r="K3831" s="3" t="n">
        <v>26.28</v>
      </c>
      <c r="L3831" s="3" t="n">
        <v>105.14</v>
      </c>
      <c r="M3831" s="3" t="n">
        <v>95.42</v>
      </c>
      <c r="N3831" s="3" t="n">
        <v>9.720000000000001</v>
      </c>
      <c r="O3831">
        <f>TEXT(A3831,"yyyy-mm")</f>
        <v/>
      </c>
    </row>
    <row r="3832">
      <c r="A3832" s="2" t="n">
        <v>46126</v>
      </c>
      <c r="B3832" t="n">
        <v>2026</v>
      </c>
      <c r="C3832" t="inlineStr">
        <is>
          <t>April</t>
        </is>
      </c>
      <c r="D3832" t="inlineStr">
        <is>
          <t>Smart Drone</t>
        </is>
      </c>
      <c r="E3832" t="inlineStr">
        <is>
          <t>Toys &amp; Games</t>
        </is>
      </c>
      <c r="F3832" t="inlineStr">
        <is>
          <t>Maria Nowak</t>
        </is>
      </c>
      <c r="G3832" t="inlineStr">
        <is>
          <t>Poland</t>
        </is>
      </c>
      <c r="H3832" t="inlineStr">
        <is>
          <t>Marketplace</t>
        </is>
      </c>
      <c r="I3832" t="n">
        <v>5</v>
      </c>
      <c r="J3832" s="3" t="n">
        <v>1168.9</v>
      </c>
      <c r="K3832" s="3" t="n">
        <v>0</v>
      </c>
      <c r="L3832" s="3" t="n">
        <v>1168.9</v>
      </c>
      <c r="M3832" s="3" t="n">
        <v>634.75</v>
      </c>
      <c r="N3832" s="3" t="n">
        <v>534.15</v>
      </c>
      <c r="O3832">
        <f>TEXT(A3832,"yyyy-mm")</f>
        <v/>
      </c>
    </row>
    <row r="3833">
      <c r="A3833" s="2" t="n">
        <v>46126</v>
      </c>
      <c r="B3833" t="n">
        <v>2026</v>
      </c>
      <c r="C3833" t="inlineStr">
        <is>
          <t>April</t>
        </is>
      </c>
      <c r="D3833" t="inlineStr">
        <is>
          <t>Ultra Toolset</t>
        </is>
      </c>
      <c r="E3833" t="inlineStr">
        <is>
          <t>Home &amp; Garden</t>
        </is>
      </c>
      <c r="F3833" t="inlineStr">
        <is>
          <t>Emma Rossi</t>
        </is>
      </c>
      <c r="G3833" t="inlineStr">
        <is>
          <t>France</t>
        </is>
      </c>
      <c r="H3833" t="inlineStr">
        <is>
          <t>Mobile App</t>
        </is>
      </c>
      <c r="I3833" t="n">
        <v>2</v>
      </c>
      <c r="J3833" s="3" t="n">
        <v>739.4400000000001</v>
      </c>
      <c r="K3833" s="3" t="n">
        <v>73.94</v>
      </c>
      <c r="L3833" s="3" t="n">
        <v>665.5</v>
      </c>
      <c r="M3833" s="3" t="n">
        <v>380.8</v>
      </c>
      <c r="N3833" s="3" t="n">
        <v>284.7</v>
      </c>
      <c r="O3833">
        <f>TEXT(A3833,"yyyy-mm")</f>
        <v/>
      </c>
    </row>
    <row r="3834">
      <c r="A3834" s="2" t="n">
        <v>46126</v>
      </c>
      <c r="B3834" t="n">
        <v>2026</v>
      </c>
      <c r="C3834" t="inlineStr">
        <is>
          <t>April</t>
        </is>
      </c>
      <c r="D3834" t="inlineStr">
        <is>
          <t>Smart Coffee Beans</t>
        </is>
      </c>
      <c r="E3834" t="inlineStr">
        <is>
          <t>Grocery</t>
        </is>
      </c>
      <c r="F3834" t="inlineStr">
        <is>
          <t>Thomas Schmidt</t>
        </is>
      </c>
      <c r="G3834" t="inlineStr">
        <is>
          <t>France</t>
        </is>
      </c>
      <c r="H3834" t="inlineStr">
        <is>
          <t>Web Store</t>
        </is>
      </c>
      <c r="I3834" t="n">
        <v>4</v>
      </c>
      <c r="J3834" s="3" t="n">
        <v>456.76</v>
      </c>
      <c r="K3834" s="3" t="n">
        <v>22.84</v>
      </c>
      <c r="L3834" s="3" t="n">
        <v>433.92</v>
      </c>
      <c r="M3834" s="3" t="n">
        <v>291.4</v>
      </c>
      <c r="N3834" s="3" t="n">
        <v>142.52</v>
      </c>
      <c r="O3834">
        <f>TEXT(A3834,"yyyy-mm")</f>
        <v/>
      </c>
    </row>
    <row r="3835">
      <c r="A3835" s="2" t="n">
        <v>46127</v>
      </c>
      <c r="B3835" t="n">
        <v>2026</v>
      </c>
      <c r="C3835" t="inlineStr">
        <is>
          <t>April</t>
        </is>
      </c>
      <c r="D3835" t="inlineStr">
        <is>
          <t>Premium Tent</t>
        </is>
      </c>
      <c r="E3835" t="inlineStr">
        <is>
          <t>Sports &amp; Outdoors</t>
        </is>
      </c>
      <c r="F3835" t="inlineStr">
        <is>
          <t>Olivia Garcia</t>
        </is>
      </c>
      <c r="G3835" t="inlineStr">
        <is>
          <t>United States</t>
        </is>
      </c>
      <c r="H3835" t="inlineStr">
        <is>
          <t>Retail Store</t>
        </is>
      </c>
      <c r="I3835" t="n">
        <v>5</v>
      </c>
      <c r="J3835" s="3" t="n">
        <v>1248.8</v>
      </c>
      <c r="K3835" s="3" t="n">
        <v>0</v>
      </c>
      <c r="L3835" s="3" t="n">
        <v>1248.8</v>
      </c>
      <c r="M3835" s="3" t="n">
        <v>826.55</v>
      </c>
      <c r="N3835" s="3" t="n">
        <v>422.25</v>
      </c>
      <c r="O3835">
        <f>TEXT(A3835,"yyyy-mm")</f>
        <v/>
      </c>
    </row>
    <row r="3836">
      <c r="A3836" s="2" t="n">
        <v>46127</v>
      </c>
      <c r="B3836" t="n">
        <v>2026</v>
      </c>
      <c r="C3836" t="inlineStr">
        <is>
          <t>April</t>
        </is>
      </c>
      <c r="D3836" t="inlineStr">
        <is>
          <t>Essential Jacket</t>
        </is>
      </c>
      <c r="E3836" t="inlineStr">
        <is>
          <t>Clothing</t>
        </is>
      </c>
      <c r="F3836" t="inlineStr">
        <is>
          <t>Sophie Nowak</t>
        </is>
      </c>
      <c r="G3836" t="inlineStr">
        <is>
          <t>Germany</t>
        </is>
      </c>
      <c r="H3836" t="inlineStr">
        <is>
          <t>Mobile App</t>
        </is>
      </c>
      <c r="I3836" t="n">
        <v>4</v>
      </c>
      <c r="J3836" s="3" t="n">
        <v>564.64</v>
      </c>
      <c r="K3836" s="3" t="n">
        <v>56.46</v>
      </c>
      <c r="L3836" s="3" t="n">
        <v>508.18</v>
      </c>
      <c r="M3836" s="3" t="n">
        <v>341.4</v>
      </c>
      <c r="N3836" s="3" t="n">
        <v>166.78</v>
      </c>
      <c r="O3836">
        <f>TEXT(A3836,"yyyy-mm")</f>
        <v/>
      </c>
    </row>
    <row r="3837">
      <c r="A3837" s="2" t="n">
        <v>46127</v>
      </c>
      <c r="B3837" t="n">
        <v>2026</v>
      </c>
      <c r="C3837" t="inlineStr">
        <is>
          <t>April</t>
        </is>
      </c>
      <c r="D3837" t="inlineStr">
        <is>
          <t>Portable Pasta</t>
        </is>
      </c>
      <c r="E3837" t="inlineStr">
        <is>
          <t>Grocery</t>
        </is>
      </c>
      <c r="F3837" t="inlineStr">
        <is>
          <t>Sophie Nowak</t>
        </is>
      </c>
      <c r="G3837" t="inlineStr">
        <is>
          <t>Germany</t>
        </is>
      </c>
      <c r="H3837" t="inlineStr">
        <is>
          <t>Mobile App</t>
        </is>
      </c>
      <c r="I3837" t="n">
        <v>3</v>
      </c>
      <c r="J3837" s="3" t="n">
        <v>109.32</v>
      </c>
      <c r="K3837" s="3" t="n">
        <v>16.4</v>
      </c>
      <c r="L3837" s="3" t="n">
        <v>92.92</v>
      </c>
      <c r="M3837" s="3" t="n">
        <v>83.25</v>
      </c>
      <c r="N3837" s="3" t="n">
        <v>9.67</v>
      </c>
      <c r="O3837">
        <f>TEXT(A3837,"yyyy-mm")</f>
        <v/>
      </c>
    </row>
    <row r="3838">
      <c r="A3838" s="2" t="n">
        <v>46127</v>
      </c>
      <c r="B3838" t="n">
        <v>2026</v>
      </c>
      <c r="C3838" t="inlineStr">
        <is>
          <t>April</t>
        </is>
      </c>
      <c r="D3838" t="inlineStr">
        <is>
          <t>Smart Camera</t>
        </is>
      </c>
      <c r="E3838" t="inlineStr">
        <is>
          <t>Electronics</t>
        </is>
      </c>
      <c r="F3838" t="inlineStr">
        <is>
          <t>Robert Smith</t>
        </is>
      </c>
      <c r="G3838" t="inlineStr">
        <is>
          <t>Spain</t>
        </is>
      </c>
      <c r="H3838" t="inlineStr">
        <is>
          <t>Retail Store</t>
        </is>
      </c>
      <c r="I3838" t="n">
        <v>4</v>
      </c>
      <c r="J3838" s="3" t="n">
        <v>484.52</v>
      </c>
      <c r="K3838" s="3" t="n">
        <v>24.23</v>
      </c>
      <c r="L3838" s="3" t="n">
        <v>460.29</v>
      </c>
      <c r="M3838" s="3" t="n">
        <v>342.32</v>
      </c>
      <c r="N3838" s="3" t="n">
        <v>117.97</v>
      </c>
      <c r="O3838">
        <f>TEXT(A3838,"yyyy-mm")</f>
        <v/>
      </c>
    </row>
    <row r="3839">
      <c r="A3839" s="2" t="n">
        <v>46127</v>
      </c>
      <c r="B3839" t="n">
        <v>2026</v>
      </c>
      <c r="C3839" t="inlineStr">
        <is>
          <t>April</t>
        </is>
      </c>
      <c r="D3839" t="inlineStr">
        <is>
          <t>Smart Jeans</t>
        </is>
      </c>
      <c r="E3839" t="inlineStr">
        <is>
          <t>Clothing</t>
        </is>
      </c>
      <c r="F3839" t="inlineStr">
        <is>
          <t>Robert Smith</t>
        </is>
      </c>
      <c r="G3839" t="inlineStr">
        <is>
          <t>Spain</t>
        </is>
      </c>
      <c r="H3839" t="inlineStr">
        <is>
          <t>Retail Store</t>
        </is>
      </c>
      <c r="I3839" t="n">
        <v>4</v>
      </c>
      <c r="J3839" s="3" t="n">
        <v>1128.76</v>
      </c>
      <c r="K3839" s="3" t="n">
        <v>0</v>
      </c>
      <c r="L3839" s="3" t="n">
        <v>1128.76</v>
      </c>
      <c r="M3839" s="3" t="n">
        <v>774.5599999999999</v>
      </c>
      <c r="N3839" s="3" t="n">
        <v>354.2</v>
      </c>
      <c r="O3839">
        <f>TEXT(A3839,"yyyy-mm")</f>
        <v/>
      </c>
    </row>
    <row r="3840">
      <c r="A3840" s="2" t="n">
        <v>46127</v>
      </c>
      <c r="B3840" t="n">
        <v>2026</v>
      </c>
      <c r="C3840" t="inlineStr">
        <is>
          <t>April</t>
        </is>
      </c>
      <c r="D3840" t="inlineStr">
        <is>
          <t>Eco Drone</t>
        </is>
      </c>
      <c r="E3840" t="inlineStr">
        <is>
          <t>Toys &amp; Games</t>
        </is>
      </c>
      <c r="F3840" t="inlineStr">
        <is>
          <t>Robert Smith</t>
        </is>
      </c>
      <c r="G3840" t="inlineStr">
        <is>
          <t>Spain</t>
        </is>
      </c>
      <c r="H3840" t="inlineStr">
        <is>
          <t>Retail Store</t>
        </is>
      </c>
      <c r="I3840" t="n">
        <v>3</v>
      </c>
      <c r="J3840" s="3" t="n">
        <v>621.8099999999999</v>
      </c>
      <c r="K3840" s="3" t="n">
        <v>31.09</v>
      </c>
      <c r="L3840" s="3" t="n">
        <v>590.72</v>
      </c>
      <c r="M3840" s="3" t="n">
        <v>388.77</v>
      </c>
      <c r="N3840" s="3" t="n">
        <v>201.95</v>
      </c>
      <c r="O3840">
        <f>TEXT(A3840,"yyyy-mm")</f>
        <v/>
      </c>
    </row>
    <row r="3841">
      <c r="A3841" s="2" t="n">
        <v>46127</v>
      </c>
      <c r="B3841" t="n">
        <v>2026</v>
      </c>
      <c r="C3841" t="inlineStr">
        <is>
          <t>April</t>
        </is>
      </c>
      <c r="D3841" t="inlineStr">
        <is>
          <t>Eco Tent</t>
        </is>
      </c>
      <c r="E3841" t="inlineStr">
        <is>
          <t>Sports &amp; Outdoors</t>
        </is>
      </c>
      <c r="F3841" t="inlineStr">
        <is>
          <t>Clara Garcia</t>
        </is>
      </c>
      <c r="G3841" t="inlineStr">
        <is>
          <t>France</t>
        </is>
      </c>
      <c r="H3841" t="inlineStr">
        <is>
          <t>Mobile App</t>
        </is>
      </c>
      <c r="I3841" t="n">
        <v>5</v>
      </c>
      <c r="J3841" s="3" t="n">
        <v>331.55</v>
      </c>
      <c r="K3841" s="3" t="n">
        <v>66.31</v>
      </c>
      <c r="L3841" s="3" t="n">
        <v>265.24</v>
      </c>
      <c r="M3841" s="3" t="n">
        <v>219.25</v>
      </c>
      <c r="N3841" s="3" t="n">
        <v>45.99</v>
      </c>
      <c r="O3841">
        <f>TEXT(A3841,"yyyy-mm")</f>
        <v/>
      </c>
    </row>
    <row r="3842">
      <c r="A3842" s="2" t="n">
        <v>46127</v>
      </c>
      <c r="B3842" t="n">
        <v>2026</v>
      </c>
      <c r="C3842" t="inlineStr">
        <is>
          <t>April</t>
        </is>
      </c>
      <c r="D3842" t="inlineStr">
        <is>
          <t>Classic Tent</t>
        </is>
      </c>
      <c r="E3842" t="inlineStr">
        <is>
          <t>Sports &amp; Outdoors</t>
        </is>
      </c>
      <c r="F3842" t="inlineStr">
        <is>
          <t>Robert Smith</t>
        </is>
      </c>
      <c r="G3842" t="inlineStr">
        <is>
          <t>Spain</t>
        </is>
      </c>
      <c r="H3842" t="inlineStr">
        <is>
          <t>Retail Store</t>
        </is>
      </c>
      <c r="I3842" t="n">
        <v>1</v>
      </c>
      <c r="J3842" s="3" t="n">
        <v>199.31</v>
      </c>
      <c r="K3842" s="3" t="n">
        <v>39.86</v>
      </c>
      <c r="L3842" s="3" t="n">
        <v>159.45</v>
      </c>
      <c r="M3842" s="3" t="n">
        <v>118.02</v>
      </c>
      <c r="N3842" s="3" t="n">
        <v>41.43</v>
      </c>
      <c r="O3842">
        <f>TEXT(A3842,"yyyy-mm")</f>
        <v/>
      </c>
    </row>
    <row r="3843">
      <c r="A3843" s="2" t="n">
        <v>46128</v>
      </c>
      <c r="B3843" t="n">
        <v>2026</v>
      </c>
      <c r="C3843" t="inlineStr">
        <is>
          <t>April</t>
        </is>
      </c>
      <c r="D3843" t="inlineStr">
        <is>
          <t>Classic Sunscreen</t>
        </is>
      </c>
      <c r="E3843" t="inlineStr">
        <is>
          <t>Beauty &amp; Health</t>
        </is>
      </c>
      <c r="F3843" t="inlineStr">
        <is>
          <t>Paul Smith</t>
        </is>
      </c>
      <c r="G3843" t="inlineStr">
        <is>
          <t>United Kingdom</t>
        </is>
      </c>
      <c r="H3843" t="inlineStr">
        <is>
          <t>Mobile App</t>
        </is>
      </c>
      <c r="I3843" t="n">
        <v>4</v>
      </c>
      <c r="J3843" s="3" t="n">
        <v>531.3200000000001</v>
      </c>
      <c r="K3843" s="3" t="n">
        <v>26.57</v>
      </c>
      <c r="L3843" s="3" t="n">
        <v>504.75</v>
      </c>
      <c r="M3843" s="3" t="n">
        <v>374.76</v>
      </c>
      <c r="N3843" s="3" t="n">
        <v>129.99</v>
      </c>
      <c r="O3843">
        <f>TEXT(A3843,"yyyy-mm")</f>
        <v/>
      </c>
    </row>
    <row r="3844">
      <c r="A3844" s="2" t="n">
        <v>46128</v>
      </c>
      <c r="B3844" t="n">
        <v>2026</v>
      </c>
      <c r="C3844" t="inlineStr">
        <is>
          <t>April</t>
        </is>
      </c>
      <c r="D3844" t="inlineStr">
        <is>
          <t>Smart Puzzle</t>
        </is>
      </c>
      <c r="E3844" t="inlineStr">
        <is>
          <t>Toys &amp; Games</t>
        </is>
      </c>
      <c r="F3844" t="inlineStr">
        <is>
          <t>Paul Smith</t>
        </is>
      </c>
      <c r="G3844" t="inlineStr">
        <is>
          <t>United Kingdom</t>
        </is>
      </c>
      <c r="H3844" t="inlineStr">
        <is>
          <t>Mobile App</t>
        </is>
      </c>
      <c r="I3844" t="n">
        <v>5</v>
      </c>
      <c r="J3844" s="3" t="n">
        <v>1328.65</v>
      </c>
      <c r="K3844" s="3" t="n">
        <v>0</v>
      </c>
      <c r="L3844" s="3" t="n">
        <v>1328.65</v>
      </c>
      <c r="M3844" s="3" t="n">
        <v>963.8</v>
      </c>
      <c r="N3844" s="3" t="n">
        <v>364.85</v>
      </c>
      <c r="O3844">
        <f>TEXT(A3844,"yyyy-mm")</f>
        <v/>
      </c>
    </row>
    <row r="3845">
      <c r="A3845" s="2" t="n">
        <v>46128</v>
      </c>
      <c r="B3845" t="n">
        <v>2026</v>
      </c>
      <c r="C3845" t="inlineStr">
        <is>
          <t>April</t>
        </is>
      </c>
      <c r="D3845" t="inlineStr">
        <is>
          <t>Portable Toolset</t>
        </is>
      </c>
      <c r="E3845" t="inlineStr">
        <is>
          <t>Home &amp; Garden</t>
        </is>
      </c>
      <c r="F3845" t="inlineStr">
        <is>
          <t>Peter Schmidt</t>
        </is>
      </c>
      <c r="G3845" t="inlineStr">
        <is>
          <t>United Kingdom</t>
        </is>
      </c>
      <c r="H3845" t="inlineStr">
        <is>
          <t>Web Store</t>
        </is>
      </c>
      <c r="I3845" t="n">
        <v>2</v>
      </c>
      <c r="J3845" s="3" t="n">
        <v>172.76</v>
      </c>
      <c r="K3845" s="3" t="n">
        <v>8.640000000000001</v>
      </c>
      <c r="L3845" s="3" t="n">
        <v>164.12</v>
      </c>
      <c r="M3845" s="3" t="n">
        <v>101.08</v>
      </c>
      <c r="N3845" s="3" t="n">
        <v>63.04</v>
      </c>
      <c r="O3845">
        <f>TEXT(A3845,"yyyy-mm")</f>
        <v/>
      </c>
    </row>
    <row r="3846">
      <c r="A3846" s="2" t="n">
        <v>46128</v>
      </c>
      <c r="B3846" t="n">
        <v>2026</v>
      </c>
      <c r="C3846" t="inlineStr">
        <is>
          <t>April</t>
        </is>
      </c>
      <c r="D3846" t="inlineStr">
        <is>
          <t>Smart Coffee Beans</t>
        </is>
      </c>
      <c r="E3846" t="inlineStr">
        <is>
          <t>Grocery</t>
        </is>
      </c>
      <c r="F3846" t="inlineStr">
        <is>
          <t>Peter Schmidt</t>
        </is>
      </c>
      <c r="G3846" t="inlineStr">
        <is>
          <t>United Kingdom</t>
        </is>
      </c>
      <c r="H3846" t="inlineStr">
        <is>
          <t>Web Store</t>
        </is>
      </c>
      <c r="I3846" t="n">
        <v>3</v>
      </c>
      <c r="J3846" s="3" t="n">
        <v>321.9</v>
      </c>
      <c r="K3846" s="3" t="n">
        <v>16.1</v>
      </c>
      <c r="L3846" s="3" t="n">
        <v>305.8</v>
      </c>
      <c r="M3846" s="3" t="n">
        <v>218.55</v>
      </c>
      <c r="N3846" s="3" t="n">
        <v>87.25</v>
      </c>
      <c r="O3846">
        <f>TEXT(A3846,"yyyy-mm")</f>
        <v/>
      </c>
    </row>
    <row r="3847">
      <c r="A3847" s="2" t="n">
        <v>46128</v>
      </c>
      <c r="B3847" t="n">
        <v>2026</v>
      </c>
      <c r="C3847" t="inlineStr">
        <is>
          <t>April</t>
        </is>
      </c>
      <c r="D3847" t="inlineStr">
        <is>
          <t>Premium Water Bottle</t>
        </is>
      </c>
      <c r="E3847" t="inlineStr">
        <is>
          <t>Sports &amp; Outdoors</t>
        </is>
      </c>
      <c r="F3847" t="inlineStr">
        <is>
          <t>Peter Schmidt</t>
        </is>
      </c>
      <c r="G3847" t="inlineStr">
        <is>
          <t>United Kingdom</t>
        </is>
      </c>
      <c r="H3847" t="inlineStr">
        <is>
          <t>Web Store</t>
        </is>
      </c>
      <c r="I3847" t="n">
        <v>4</v>
      </c>
      <c r="J3847" s="3" t="n">
        <v>120.4</v>
      </c>
      <c r="K3847" s="3" t="n">
        <v>6.02</v>
      </c>
      <c r="L3847" s="3" t="n">
        <v>114.38</v>
      </c>
      <c r="M3847" s="3" t="n">
        <v>66.52</v>
      </c>
      <c r="N3847" s="3" t="n">
        <v>47.86</v>
      </c>
      <c r="O3847">
        <f>TEXT(A3847,"yyyy-mm")</f>
        <v/>
      </c>
    </row>
    <row r="3848">
      <c r="A3848" s="2" t="n">
        <v>46128</v>
      </c>
      <c r="B3848" t="n">
        <v>2026</v>
      </c>
      <c r="C3848" t="inlineStr">
        <is>
          <t>April</t>
        </is>
      </c>
      <c r="D3848" t="inlineStr">
        <is>
          <t>Essential Notebook</t>
        </is>
      </c>
      <c r="E3848" t="inlineStr">
        <is>
          <t>Books</t>
        </is>
      </c>
      <c r="F3848" t="inlineStr">
        <is>
          <t>Peter Schmidt</t>
        </is>
      </c>
      <c r="G3848" t="inlineStr">
        <is>
          <t>United Kingdom</t>
        </is>
      </c>
      <c r="H3848" t="inlineStr">
        <is>
          <t>Web Store</t>
        </is>
      </c>
      <c r="I3848" t="n">
        <v>5</v>
      </c>
      <c r="J3848" s="3" t="n">
        <v>606.6</v>
      </c>
      <c r="K3848" s="3" t="n">
        <v>0</v>
      </c>
      <c r="L3848" s="3" t="n">
        <v>606.6</v>
      </c>
      <c r="M3848" s="3" t="n">
        <v>395.5</v>
      </c>
      <c r="N3848" s="3" t="n">
        <v>211.1</v>
      </c>
      <c r="O3848">
        <f>TEXT(A3848,"yyyy-mm")</f>
        <v/>
      </c>
    </row>
    <row r="3849">
      <c r="A3849" s="2" t="n">
        <v>46128</v>
      </c>
      <c r="B3849" t="n">
        <v>2026</v>
      </c>
      <c r="C3849" t="inlineStr">
        <is>
          <t>April</t>
        </is>
      </c>
      <c r="D3849" t="inlineStr">
        <is>
          <t>Essential Cushion</t>
        </is>
      </c>
      <c r="E3849" t="inlineStr">
        <is>
          <t>Home &amp; Garden</t>
        </is>
      </c>
      <c r="F3849" t="inlineStr">
        <is>
          <t>Paul Smith</t>
        </is>
      </c>
      <c r="G3849" t="inlineStr">
        <is>
          <t>United Kingdom</t>
        </is>
      </c>
      <c r="H3849" t="inlineStr">
        <is>
          <t>Mobile App</t>
        </is>
      </c>
      <c r="I3849" t="n">
        <v>5</v>
      </c>
      <c r="J3849" s="3" t="n">
        <v>224.2</v>
      </c>
      <c r="K3849" s="3" t="n">
        <v>0</v>
      </c>
      <c r="L3849" s="3" t="n">
        <v>224.2</v>
      </c>
      <c r="M3849" s="3" t="n">
        <v>152.75</v>
      </c>
      <c r="N3849" s="3" t="n">
        <v>71.45</v>
      </c>
      <c r="O3849">
        <f>TEXT(A3849,"yyyy-mm")</f>
        <v/>
      </c>
    </row>
    <row r="3850">
      <c r="A3850" s="2" t="n">
        <v>46128</v>
      </c>
      <c r="B3850" t="n">
        <v>2026</v>
      </c>
      <c r="C3850" t="inlineStr">
        <is>
          <t>April</t>
        </is>
      </c>
      <c r="D3850" t="inlineStr">
        <is>
          <t>Ultra Toolset</t>
        </is>
      </c>
      <c r="E3850" t="inlineStr">
        <is>
          <t>Home &amp; Garden</t>
        </is>
      </c>
      <c r="F3850" t="inlineStr">
        <is>
          <t>Clara Kowalski</t>
        </is>
      </c>
      <c r="G3850" t="inlineStr">
        <is>
          <t>France</t>
        </is>
      </c>
      <c r="H3850" t="inlineStr">
        <is>
          <t>Web Store</t>
        </is>
      </c>
      <c r="I3850" t="n">
        <v>2</v>
      </c>
      <c r="J3850" s="3" t="n">
        <v>719.86</v>
      </c>
      <c r="K3850" s="3" t="n">
        <v>35.99</v>
      </c>
      <c r="L3850" s="3" t="n">
        <v>683.87</v>
      </c>
      <c r="M3850" s="3" t="n">
        <v>380.8</v>
      </c>
      <c r="N3850" s="3" t="n">
        <v>303.07</v>
      </c>
      <c r="O3850">
        <f>TEXT(A3850,"yyyy-mm")</f>
        <v/>
      </c>
    </row>
    <row r="3851">
      <c r="A3851" s="2" t="n">
        <v>46128</v>
      </c>
      <c r="B3851" t="n">
        <v>2026</v>
      </c>
      <c r="C3851" t="inlineStr">
        <is>
          <t>April</t>
        </is>
      </c>
      <c r="D3851" t="inlineStr">
        <is>
          <t>Smart Olive Oil</t>
        </is>
      </c>
      <c r="E3851" t="inlineStr">
        <is>
          <t>Grocery</t>
        </is>
      </c>
      <c r="F3851" t="inlineStr">
        <is>
          <t>Clara Kowalski</t>
        </is>
      </c>
      <c r="G3851" t="inlineStr">
        <is>
          <t>France</t>
        </is>
      </c>
      <c r="H3851" t="inlineStr">
        <is>
          <t>Web Store</t>
        </is>
      </c>
      <c r="I3851" t="n">
        <v>1</v>
      </c>
      <c r="J3851" s="3" t="n">
        <v>170.56</v>
      </c>
      <c r="K3851" s="3" t="n">
        <v>0</v>
      </c>
      <c r="L3851" s="3" t="n">
        <v>170.56</v>
      </c>
      <c r="M3851" s="3" t="n">
        <v>110.02</v>
      </c>
      <c r="N3851" s="3" t="n">
        <v>60.54</v>
      </c>
      <c r="O3851">
        <f>TEXT(A3851,"yyyy-mm")</f>
        <v/>
      </c>
    </row>
    <row r="3852">
      <c r="A3852" s="2" t="n">
        <v>46128</v>
      </c>
      <c r="B3852" t="n">
        <v>2026</v>
      </c>
      <c r="C3852" t="inlineStr">
        <is>
          <t>April</t>
        </is>
      </c>
      <c r="D3852" t="inlineStr">
        <is>
          <t>Eco Drone</t>
        </is>
      </c>
      <c r="E3852" t="inlineStr">
        <is>
          <t>Toys &amp; Games</t>
        </is>
      </c>
      <c r="F3852" t="inlineStr">
        <is>
          <t>Clara Kowalski</t>
        </is>
      </c>
      <c r="G3852" t="inlineStr">
        <is>
          <t>France</t>
        </is>
      </c>
      <c r="H3852" t="inlineStr">
        <is>
          <t>Web Store</t>
        </is>
      </c>
      <c r="I3852" t="n">
        <v>1</v>
      </c>
      <c r="J3852" s="3" t="n">
        <v>204.28</v>
      </c>
      <c r="K3852" s="3" t="n">
        <v>0</v>
      </c>
      <c r="L3852" s="3" t="n">
        <v>204.28</v>
      </c>
      <c r="M3852" s="3" t="n">
        <v>129.59</v>
      </c>
      <c r="N3852" s="3" t="n">
        <v>74.69</v>
      </c>
      <c r="O3852">
        <f>TEXT(A3852,"yyyy-mm")</f>
        <v/>
      </c>
    </row>
    <row r="3853">
      <c r="A3853" s="2" t="n">
        <v>46131</v>
      </c>
      <c r="B3853" t="n">
        <v>2026</v>
      </c>
      <c r="C3853" t="inlineStr">
        <is>
          <t>April</t>
        </is>
      </c>
      <c r="D3853" t="inlineStr">
        <is>
          <t>Compact Pasta</t>
        </is>
      </c>
      <c r="E3853" t="inlineStr">
        <is>
          <t>Grocery</t>
        </is>
      </c>
      <c r="F3853" t="inlineStr">
        <is>
          <t>Thomas Lopez</t>
        </is>
      </c>
      <c r="G3853" t="inlineStr">
        <is>
          <t>United States</t>
        </is>
      </c>
      <c r="H3853" t="inlineStr">
        <is>
          <t>Mobile App</t>
        </is>
      </c>
      <c r="I3853" t="n">
        <v>5</v>
      </c>
      <c r="J3853" s="3" t="n">
        <v>1620.6</v>
      </c>
      <c r="K3853" s="3" t="n">
        <v>81.03</v>
      </c>
      <c r="L3853" s="3" t="n">
        <v>1539.57</v>
      </c>
      <c r="M3853" s="3" t="n">
        <v>997</v>
      </c>
      <c r="N3853" s="3" t="n">
        <v>542.5700000000001</v>
      </c>
      <c r="O3853">
        <f>TEXT(A3853,"yyyy-mm")</f>
        <v/>
      </c>
    </row>
    <row r="3854">
      <c r="A3854" s="2" t="n">
        <v>46131</v>
      </c>
      <c r="B3854" t="n">
        <v>2026</v>
      </c>
      <c r="C3854" t="inlineStr">
        <is>
          <t>April</t>
        </is>
      </c>
      <c r="D3854" t="inlineStr">
        <is>
          <t>Portable Speaker</t>
        </is>
      </c>
      <c r="E3854" t="inlineStr">
        <is>
          <t>Electronics</t>
        </is>
      </c>
      <c r="F3854" t="inlineStr">
        <is>
          <t>Thomas Lopez</t>
        </is>
      </c>
      <c r="G3854" t="inlineStr">
        <is>
          <t>United States</t>
        </is>
      </c>
      <c r="H3854" t="inlineStr">
        <is>
          <t>Mobile App</t>
        </is>
      </c>
      <c r="I3854" t="n">
        <v>2</v>
      </c>
      <c r="J3854" s="3" t="n">
        <v>668.34</v>
      </c>
      <c r="K3854" s="3" t="n">
        <v>66.83</v>
      </c>
      <c r="L3854" s="3" t="n">
        <v>601.51</v>
      </c>
      <c r="M3854" s="3" t="n">
        <v>349.66</v>
      </c>
      <c r="N3854" s="3" t="n">
        <v>251.85</v>
      </c>
      <c r="O3854">
        <f>TEXT(A3854,"yyyy-mm")</f>
        <v/>
      </c>
    </row>
    <row r="3855">
      <c r="A3855" s="2" t="n">
        <v>46131</v>
      </c>
      <c r="B3855" t="n">
        <v>2026</v>
      </c>
      <c r="C3855" t="inlineStr">
        <is>
          <t>April</t>
        </is>
      </c>
      <c r="D3855" t="inlineStr">
        <is>
          <t>Wireless Coffee Beans</t>
        </is>
      </c>
      <c r="E3855" t="inlineStr">
        <is>
          <t>Grocery</t>
        </is>
      </c>
      <c r="F3855" t="inlineStr">
        <is>
          <t>David Wilson</t>
        </is>
      </c>
      <c r="G3855" t="inlineStr">
        <is>
          <t>Italy</t>
        </is>
      </c>
      <c r="H3855" t="inlineStr">
        <is>
          <t>Web Store</t>
        </is>
      </c>
      <c r="I3855" t="n">
        <v>4</v>
      </c>
      <c r="J3855" s="3" t="n">
        <v>481.04</v>
      </c>
      <c r="K3855" s="3" t="n">
        <v>24.05</v>
      </c>
      <c r="L3855" s="3" t="n">
        <v>456.99</v>
      </c>
      <c r="M3855" s="3" t="n">
        <v>317.48</v>
      </c>
      <c r="N3855" s="3" t="n">
        <v>139.51</v>
      </c>
      <c r="O3855">
        <f>TEXT(A3855,"yyyy-mm")</f>
        <v/>
      </c>
    </row>
    <row r="3856">
      <c r="A3856" s="2" t="n">
        <v>46131</v>
      </c>
      <c r="B3856" t="n">
        <v>2026</v>
      </c>
      <c r="C3856" t="inlineStr">
        <is>
          <t>April</t>
        </is>
      </c>
      <c r="D3856" t="inlineStr">
        <is>
          <t>Smart Jeans</t>
        </is>
      </c>
      <c r="E3856" t="inlineStr">
        <is>
          <t>Clothing</t>
        </is>
      </c>
      <c r="F3856" t="inlineStr">
        <is>
          <t>David Wilson</t>
        </is>
      </c>
      <c r="G3856" t="inlineStr">
        <is>
          <t>Italy</t>
        </is>
      </c>
      <c r="H3856" t="inlineStr">
        <is>
          <t>Web Store</t>
        </is>
      </c>
      <c r="I3856" t="n">
        <v>4</v>
      </c>
      <c r="J3856" s="3" t="n">
        <v>1138.92</v>
      </c>
      <c r="K3856" s="3" t="n">
        <v>227.78</v>
      </c>
      <c r="L3856" s="3" t="n">
        <v>911.14</v>
      </c>
      <c r="M3856" s="3" t="n">
        <v>774.5599999999999</v>
      </c>
      <c r="N3856" s="3" t="n">
        <v>136.58</v>
      </c>
      <c r="O3856">
        <f>TEXT(A3856,"yyyy-mm")</f>
        <v/>
      </c>
    </row>
    <row r="3857">
      <c r="A3857" s="2" t="n">
        <v>46131</v>
      </c>
      <c r="B3857" t="n">
        <v>2026</v>
      </c>
      <c r="C3857" t="inlineStr">
        <is>
          <t>April</t>
        </is>
      </c>
      <c r="D3857" t="inlineStr">
        <is>
          <t>Smart Face Cream</t>
        </is>
      </c>
      <c r="E3857" t="inlineStr">
        <is>
          <t>Beauty &amp; Health</t>
        </is>
      </c>
      <c r="F3857" t="inlineStr">
        <is>
          <t>Clara Nowak</t>
        </is>
      </c>
      <c r="G3857" t="inlineStr">
        <is>
          <t>United Kingdom</t>
        </is>
      </c>
      <c r="H3857" t="inlineStr">
        <is>
          <t>Web Store</t>
        </is>
      </c>
      <c r="I3857" t="n">
        <v>2</v>
      </c>
      <c r="J3857" s="3" t="n">
        <v>521.48</v>
      </c>
      <c r="K3857" s="3" t="n">
        <v>52.15</v>
      </c>
      <c r="L3857" s="3" t="n">
        <v>469.33</v>
      </c>
      <c r="M3857" s="3" t="n">
        <v>386.28</v>
      </c>
      <c r="N3857" s="3" t="n">
        <v>83.05</v>
      </c>
      <c r="O3857">
        <f>TEXT(A3857,"yyyy-mm")</f>
        <v/>
      </c>
    </row>
    <row r="3858">
      <c r="A3858" s="2" t="n">
        <v>46131</v>
      </c>
      <c r="B3858" t="n">
        <v>2026</v>
      </c>
      <c r="C3858" t="inlineStr">
        <is>
          <t>April</t>
        </is>
      </c>
      <c r="D3858" t="inlineStr">
        <is>
          <t>Eco Biography</t>
        </is>
      </c>
      <c r="E3858" t="inlineStr">
        <is>
          <t>Books</t>
        </is>
      </c>
      <c r="F3858" t="inlineStr">
        <is>
          <t>Thomas Conti</t>
        </is>
      </c>
      <c r="G3858" t="inlineStr">
        <is>
          <t>United States</t>
        </is>
      </c>
      <c r="H3858" t="inlineStr">
        <is>
          <t>Web Store</t>
        </is>
      </c>
      <c r="I3858" t="n">
        <v>5</v>
      </c>
      <c r="J3858" s="3" t="n">
        <v>587.45</v>
      </c>
      <c r="K3858" s="3" t="n">
        <v>0</v>
      </c>
      <c r="L3858" s="3" t="n">
        <v>587.45</v>
      </c>
      <c r="M3858" s="3" t="n">
        <v>355.1</v>
      </c>
      <c r="N3858" s="3" t="n">
        <v>232.35</v>
      </c>
      <c r="O3858">
        <f>TEXT(A3858,"yyyy-mm")</f>
        <v/>
      </c>
    </row>
    <row r="3859">
      <c r="A3859" s="2" t="n">
        <v>46131</v>
      </c>
      <c r="B3859" t="n">
        <v>2026</v>
      </c>
      <c r="C3859" t="inlineStr">
        <is>
          <t>April</t>
        </is>
      </c>
      <c r="D3859" t="inlineStr">
        <is>
          <t>Ultra Rug</t>
        </is>
      </c>
      <c r="E3859" t="inlineStr">
        <is>
          <t>Home &amp; Garden</t>
        </is>
      </c>
      <c r="F3859" t="inlineStr">
        <is>
          <t>Thomas Conti</t>
        </is>
      </c>
      <c r="G3859" t="inlineStr">
        <is>
          <t>United States</t>
        </is>
      </c>
      <c r="H3859" t="inlineStr">
        <is>
          <t>Web Store</t>
        </is>
      </c>
      <c r="I3859" t="n">
        <v>4</v>
      </c>
      <c r="J3859" s="3" t="n">
        <v>205.68</v>
      </c>
      <c r="K3859" s="3" t="n">
        <v>20.57</v>
      </c>
      <c r="L3859" s="3" t="n">
        <v>185.11</v>
      </c>
      <c r="M3859" s="3" t="n">
        <v>131.64</v>
      </c>
      <c r="N3859" s="3" t="n">
        <v>53.47</v>
      </c>
      <c r="O3859">
        <f>TEXT(A3859,"yyyy-mm")</f>
        <v/>
      </c>
    </row>
    <row r="3860">
      <c r="A3860" s="2" t="n">
        <v>46131</v>
      </c>
      <c r="B3860" t="n">
        <v>2026</v>
      </c>
      <c r="C3860" t="inlineStr">
        <is>
          <t>April</t>
        </is>
      </c>
      <c r="D3860" t="inlineStr">
        <is>
          <t>Portable Toolset</t>
        </is>
      </c>
      <c r="E3860" t="inlineStr">
        <is>
          <t>Home &amp; Garden</t>
        </is>
      </c>
      <c r="F3860" t="inlineStr">
        <is>
          <t>Daniel Lopez</t>
        </is>
      </c>
      <c r="G3860" t="inlineStr">
        <is>
          <t>Italy</t>
        </is>
      </c>
      <c r="H3860" t="inlineStr">
        <is>
          <t>Web Store</t>
        </is>
      </c>
      <c r="I3860" t="n">
        <v>5</v>
      </c>
      <c r="J3860" s="3" t="n">
        <v>691.25</v>
      </c>
      <c r="K3860" s="3" t="n">
        <v>69.12</v>
      </c>
      <c r="L3860" s="3" t="n">
        <v>622.12</v>
      </c>
      <c r="M3860" s="3" t="n">
        <v>464.25</v>
      </c>
      <c r="N3860" s="3" t="n">
        <v>157.88</v>
      </c>
      <c r="O3860">
        <f>TEXT(A3860,"yyyy-mm")</f>
        <v/>
      </c>
    </row>
    <row r="3861">
      <c r="A3861" s="2" t="n">
        <v>46133</v>
      </c>
      <c r="B3861" t="n">
        <v>2026</v>
      </c>
      <c r="C3861" t="inlineStr">
        <is>
          <t>April</t>
        </is>
      </c>
      <c r="D3861" t="inlineStr">
        <is>
          <t>Smart Olive Oil</t>
        </is>
      </c>
      <c r="E3861" t="inlineStr">
        <is>
          <t>Grocery</t>
        </is>
      </c>
      <c r="F3861" t="inlineStr">
        <is>
          <t>Olivia Weber</t>
        </is>
      </c>
      <c r="G3861" t="inlineStr">
        <is>
          <t>Poland</t>
        </is>
      </c>
      <c r="H3861" t="inlineStr">
        <is>
          <t>Marketplace</t>
        </is>
      </c>
      <c r="I3861" t="n">
        <v>3</v>
      </c>
      <c r="J3861" s="3" t="n">
        <v>507.03</v>
      </c>
      <c r="K3861" s="3" t="n">
        <v>0</v>
      </c>
      <c r="L3861" s="3" t="n">
        <v>507.03</v>
      </c>
      <c r="M3861" s="3" t="n">
        <v>330.06</v>
      </c>
      <c r="N3861" s="3" t="n">
        <v>176.97</v>
      </c>
      <c r="O3861">
        <f>TEXT(A3861,"yyyy-mm")</f>
        <v/>
      </c>
    </row>
    <row r="3862">
      <c r="A3862" s="2" t="n">
        <v>46133</v>
      </c>
      <c r="B3862" t="n">
        <v>2026</v>
      </c>
      <c r="C3862" t="inlineStr">
        <is>
          <t>April</t>
        </is>
      </c>
      <c r="D3862" t="inlineStr">
        <is>
          <t>Deluxe Toolset</t>
        </is>
      </c>
      <c r="E3862" t="inlineStr">
        <is>
          <t>Home &amp; Garden</t>
        </is>
      </c>
      <c r="F3862" t="inlineStr">
        <is>
          <t>Nina Fischer</t>
        </is>
      </c>
      <c r="G3862" t="inlineStr">
        <is>
          <t>Netherlands</t>
        </is>
      </c>
      <c r="H3862" t="inlineStr">
        <is>
          <t>Web Store</t>
        </is>
      </c>
      <c r="I3862" t="n">
        <v>2</v>
      </c>
      <c r="J3862" s="3" t="n">
        <v>131.32</v>
      </c>
      <c r="K3862" s="3" t="n">
        <v>0</v>
      </c>
      <c r="L3862" s="3" t="n">
        <v>131.32</v>
      </c>
      <c r="M3862" s="3" t="n">
        <v>95.42</v>
      </c>
      <c r="N3862" s="3" t="n">
        <v>35.9</v>
      </c>
      <c r="O3862">
        <f>TEXT(A3862,"yyyy-mm")</f>
        <v/>
      </c>
    </row>
    <row r="3863">
      <c r="A3863" s="2" t="n">
        <v>46133</v>
      </c>
      <c r="B3863" t="n">
        <v>2026</v>
      </c>
      <c r="C3863" t="inlineStr">
        <is>
          <t>April</t>
        </is>
      </c>
      <c r="D3863" t="inlineStr">
        <is>
          <t>Essential Lamp</t>
        </is>
      </c>
      <c r="E3863" t="inlineStr">
        <is>
          <t>Home &amp; Garden</t>
        </is>
      </c>
      <c r="F3863" t="inlineStr">
        <is>
          <t>Nina Fischer</t>
        </is>
      </c>
      <c r="G3863" t="inlineStr">
        <is>
          <t>Netherlands</t>
        </is>
      </c>
      <c r="H3863" t="inlineStr">
        <is>
          <t>Web Store</t>
        </is>
      </c>
      <c r="I3863" t="n">
        <v>3</v>
      </c>
      <c r="J3863" s="3" t="n">
        <v>191.91</v>
      </c>
      <c r="K3863" s="3" t="n">
        <v>19.19</v>
      </c>
      <c r="L3863" s="3" t="n">
        <v>172.72</v>
      </c>
      <c r="M3863" s="3" t="n">
        <v>136.2</v>
      </c>
      <c r="N3863" s="3" t="n">
        <v>36.52</v>
      </c>
      <c r="O3863">
        <f>TEXT(A3863,"yyyy-mm")</f>
        <v/>
      </c>
    </row>
    <row r="3864">
      <c r="A3864" s="2" t="n">
        <v>46133</v>
      </c>
      <c r="B3864" t="n">
        <v>2026</v>
      </c>
      <c r="C3864" t="inlineStr">
        <is>
          <t>April</t>
        </is>
      </c>
      <c r="D3864" t="inlineStr">
        <is>
          <t>Wireless Drone</t>
        </is>
      </c>
      <c r="E3864" t="inlineStr">
        <is>
          <t>Toys &amp; Games</t>
        </is>
      </c>
      <c r="F3864" t="inlineStr">
        <is>
          <t>Nina Fischer</t>
        </is>
      </c>
      <c r="G3864" t="inlineStr">
        <is>
          <t>Netherlands</t>
        </is>
      </c>
      <c r="H3864" t="inlineStr">
        <is>
          <t>Web Store</t>
        </is>
      </c>
      <c r="I3864" t="n">
        <v>3</v>
      </c>
      <c r="J3864" s="3" t="n">
        <v>646.53</v>
      </c>
      <c r="K3864" s="3" t="n">
        <v>32.33</v>
      </c>
      <c r="L3864" s="3" t="n">
        <v>614.2</v>
      </c>
      <c r="M3864" s="3" t="n">
        <v>393.87</v>
      </c>
      <c r="N3864" s="3" t="n">
        <v>220.33</v>
      </c>
      <c r="O3864">
        <f>TEXT(A3864,"yyyy-mm")</f>
        <v/>
      </c>
    </row>
    <row r="3865">
      <c r="A3865" s="2" t="n">
        <v>46133</v>
      </c>
      <c r="B3865" t="n">
        <v>2026</v>
      </c>
      <c r="C3865" t="inlineStr">
        <is>
          <t>April</t>
        </is>
      </c>
      <c r="D3865" t="inlineStr">
        <is>
          <t>Wireless Cookbook</t>
        </is>
      </c>
      <c r="E3865" t="inlineStr">
        <is>
          <t>Books</t>
        </is>
      </c>
      <c r="F3865" t="inlineStr">
        <is>
          <t>Nina Fischer</t>
        </is>
      </c>
      <c r="G3865" t="inlineStr">
        <is>
          <t>Netherlands</t>
        </is>
      </c>
      <c r="H3865" t="inlineStr">
        <is>
          <t>Web Store</t>
        </is>
      </c>
      <c r="I3865" t="n">
        <v>5</v>
      </c>
      <c r="J3865" s="3" t="n">
        <v>393.6</v>
      </c>
      <c r="K3865" s="3" t="n">
        <v>0</v>
      </c>
      <c r="L3865" s="3" t="n">
        <v>393.6</v>
      </c>
      <c r="M3865" s="3" t="n">
        <v>283.05</v>
      </c>
      <c r="N3865" s="3" t="n">
        <v>110.55</v>
      </c>
      <c r="O3865">
        <f>TEXT(A3865,"yyyy-mm")</f>
        <v/>
      </c>
    </row>
    <row r="3866">
      <c r="A3866" s="2" t="n">
        <v>46134</v>
      </c>
      <c r="B3866" t="n">
        <v>2026</v>
      </c>
      <c r="C3866" t="inlineStr">
        <is>
          <t>April</t>
        </is>
      </c>
      <c r="D3866" t="inlineStr">
        <is>
          <t>Portable Tea Set</t>
        </is>
      </c>
      <c r="E3866" t="inlineStr">
        <is>
          <t>Grocery</t>
        </is>
      </c>
      <c r="F3866" t="inlineStr">
        <is>
          <t>Clara Smith</t>
        </is>
      </c>
      <c r="G3866" t="inlineStr">
        <is>
          <t>United States</t>
        </is>
      </c>
      <c r="H3866" t="inlineStr">
        <is>
          <t>Retail Store</t>
        </is>
      </c>
      <c r="I3866" t="n">
        <v>3</v>
      </c>
      <c r="J3866" s="3" t="n">
        <v>837.27</v>
      </c>
      <c r="K3866" s="3" t="n">
        <v>0</v>
      </c>
      <c r="L3866" s="3" t="n">
        <v>837.27</v>
      </c>
      <c r="M3866" s="3" t="n">
        <v>564.36</v>
      </c>
      <c r="N3866" s="3" t="n">
        <v>272.91</v>
      </c>
      <c r="O3866">
        <f>TEXT(A3866,"yyyy-mm")</f>
        <v/>
      </c>
    </row>
    <row r="3867">
      <c r="A3867" s="2" t="n">
        <v>46134</v>
      </c>
      <c r="B3867" t="n">
        <v>2026</v>
      </c>
      <c r="C3867" t="inlineStr">
        <is>
          <t>April</t>
        </is>
      </c>
      <c r="D3867" t="inlineStr">
        <is>
          <t>Smart Face Cream</t>
        </is>
      </c>
      <c r="E3867" t="inlineStr">
        <is>
          <t>Beauty &amp; Health</t>
        </is>
      </c>
      <c r="F3867" t="inlineStr">
        <is>
          <t>Clara Smith</t>
        </is>
      </c>
      <c r="G3867" t="inlineStr">
        <is>
          <t>United States</t>
        </is>
      </c>
      <c r="H3867" t="inlineStr">
        <is>
          <t>Retail Store</t>
        </is>
      </c>
      <c r="I3867" t="n">
        <v>1</v>
      </c>
      <c r="J3867" s="3" t="n">
        <v>257.77</v>
      </c>
      <c r="K3867" s="3" t="n">
        <v>12.89</v>
      </c>
      <c r="L3867" s="3" t="n">
        <v>244.88</v>
      </c>
      <c r="M3867" s="3" t="n">
        <v>193.14</v>
      </c>
      <c r="N3867" s="3" t="n">
        <v>51.74</v>
      </c>
      <c r="O3867">
        <f>TEXT(A3867,"yyyy-mm")</f>
        <v/>
      </c>
    </row>
    <row r="3868">
      <c r="A3868" s="2" t="n">
        <v>46134</v>
      </c>
      <c r="B3868" t="n">
        <v>2026</v>
      </c>
      <c r="C3868" t="inlineStr">
        <is>
          <t>April</t>
        </is>
      </c>
      <c r="D3868" t="inlineStr">
        <is>
          <t>Smart Charger</t>
        </is>
      </c>
      <c r="E3868" t="inlineStr">
        <is>
          <t>Electronics</t>
        </is>
      </c>
      <c r="F3868" t="inlineStr">
        <is>
          <t>Emma Schmidt</t>
        </is>
      </c>
      <c r="G3868" t="inlineStr">
        <is>
          <t>France</t>
        </is>
      </c>
      <c r="H3868" t="inlineStr">
        <is>
          <t>Web Store</t>
        </is>
      </c>
      <c r="I3868" t="n">
        <v>5</v>
      </c>
      <c r="J3868" s="3" t="n">
        <v>1259.4</v>
      </c>
      <c r="K3868" s="3" t="n">
        <v>251.88</v>
      </c>
      <c r="L3868" s="3" t="n">
        <v>1007.52</v>
      </c>
      <c r="M3868" s="3" t="n">
        <v>712.6</v>
      </c>
      <c r="N3868" s="3" t="n">
        <v>294.92</v>
      </c>
      <c r="O3868">
        <f>TEXT(A3868,"yyyy-mm")</f>
        <v/>
      </c>
    </row>
    <row r="3869">
      <c r="A3869" s="2" t="n">
        <v>46134</v>
      </c>
      <c r="B3869" t="n">
        <v>2026</v>
      </c>
      <c r="C3869" t="inlineStr">
        <is>
          <t>April</t>
        </is>
      </c>
      <c r="D3869" t="inlineStr">
        <is>
          <t>Wireless Honey</t>
        </is>
      </c>
      <c r="E3869" t="inlineStr">
        <is>
          <t>Grocery</t>
        </is>
      </c>
      <c r="F3869" t="inlineStr">
        <is>
          <t>Emma Schmidt</t>
        </is>
      </c>
      <c r="G3869" t="inlineStr">
        <is>
          <t>France</t>
        </is>
      </c>
      <c r="H3869" t="inlineStr">
        <is>
          <t>Web Store</t>
        </is>
      </c>
      <c r="I3869" t="n">
        <v>5</v>
      </c>
      <c r="J3869" s="3" t="n">
        <v>663.4</v>
      </c>
      <c r="K3869" s="3" t="n">
        <v>0</v>
      </c>
      <c r="L3869" s="3" t="n">
        <v>663.4</v>
      </c>
      <c r="M3869" s="3" t="n">
        <v>470.35</v>
      </c>
      <c r="N3869" s="3" t="n">
        <v>193.05</v>
      </c>
      <c r="O3869">
        <f>TEXT(A3869,"yyyy-mm")</f>
        <v/>
      </c>
    </row>
    <row r="3870">
      <c r="A3870" s="2" t="n">
        <v>46134</v>
      </c>
      <c r="B3870" t="n">
        <v>2026</v>
      </c>
      <c r="C3870" t="inlineStr">
        <is>
          <t>April</t>
        </is>
      </c>
      <c r="D3870" t="inlineStr">
        <is>
          <t>Premium Water Bottle</t>
        </is>
      </c>
      <c r="E3870" t="inlineStr">
        <is>
          <t>Sports &amp; Outdoors</t>
        </is>
      </c>
      <c r="F3870" t="inlineStr">
        <is>
          <t>Emma Schmidt</t>
        </is>
      </c>
      <c r="G3870" t="inlineStr">
        <is>
          <t>France</t>
        </is>
      </c>
      <c r="H3870" t="inlineStr">
        <is>
          <t>Web Store</t>
        </is>
      </c>
      <c r="I3870" t="n">
        <v>3</v>
      </c>
      <c r="J3870" s="3" t="n">
        <v>959.8200000000001</v>
      </c>
      <c r="K3870" s="3" t="n">
        <v>0</v>
      </c>
      <c r="L3870" s="3" t="n">
        <v>959.8200000000001</v>
      </c>
      <c r="M3870" s="3" t="n">
        <v>543.48</v>
      </c>
      <c r="N3870" s="3" t="n">
        <v>416.34</v>
      </c>
      <c r="O3870">
        <f>TEXT(A3870,"yyyy-mm")</f>
        <v/>
      </c>
    </row>
    <row r="3871">
      <c r="A3871" s="2" t="n">
        <v>46134</v>
      </c>
      <c r="B3871" t="n">
        <v>2026</v>
      </c>
      <c r="C3871" t="inlineStr">
        <is>
          <t>April</t>
        </is>
      </c>
      <c r="D3871" t="inlineStr">
        <is>
          <t>Eco Drone</t>
        </is>
      </c>
      <c r="E3871" t="inlineStr">
        <is>
          <t>Toys &amp; Games</t>
        </is>
      </c>
      <c r="F3871" t="inlineStr">
        <is>
          <t>Emma Schmidt</t>
        </is>
      </c>
      <c r="G3871" t="inlineStr">
        <is>
          <t>France</t>
        </is>
      </c>
      <c r="H3871" t="inlineStr">
        <is>
          <t>Web Store</t>
        </is>
      </c>
      <c r="I3871" t="n">
        <v>3</v>
      </c>
      <c r="J3871" s="3" t="n">
        <v>597.12</v>
      </c>
      <c r="K3871" s="3" t="n">
        <v>0</v>
      </c>
      <c r="L3871" s="3" t="n">
        <v>597.12</v>
      </c>
      <c r="M3871" s="3" t="n">
        <v>388.77</v>
      </c>
      <c r="N3871" s="3" t="n">
        <v>208.35</v>
      </c>
      <c r="O3871">
        <f>TEXT(A3871,"yyyy-mm")</f>
        <v/>
      </c>
    </row>
    <row r="3872">
      <c r="A3872" s="2" t="n">
        <v>46134</v>
      </c>
      <c r="B3872" t="n">
        <v>2026</v>
      </c>
      <c r="C3872" t="inlineStr">
        <is>
          <t>April</t>
        </is>
      </c>
      <c r="D3872" t="inlineStr">
        <is>
          <t>Classic Yoga Mat</t>
        </is>
      </c>
      <c r="E3872" t="inlineStr">
        <is>
          <t>Sports &amp; Outdoors</t>
        </is>
      </c>
      <c r="F3872" t="inlineStr">
        <is>
          <t>David Dubois</t>
        </is>
      </c>
      <c r="G3872" t="inlineStr">
        <is>
          <t>United Kingdom</t>
        </is>
      </c>
      <c r="H3872" t="inlineStr">
        <is>
          <t>Mobile App</t>
        </is>
      </c>
      <c r="I3872" t="n">
        <v>1</v>
      </c>
      <c r="J3872" s="3" t="n">
        <v>339.32</v>
      </c>
      <c r="K3872" s="3" t="n">
        <v>33.93</v>
      </c>
      <c r="L3872" s="3" t="n">
        <v>305.39</v>
      </c>
      <c r="M3872" s="3" t="n">
        <v>195.7</v>
      </c>
      <c r="N3872" s="3" t="n">
        <v>109.69</v>
      </c>
      <c r="O3872">
        <f>TEXT(A3872,"yyyy-mm")</f>
        <v/>
      </c>
    </row>
    <row r="3873">
      <c r="A3873" s="2" t="n">
        <v>46134</v>
      </c>
      <c r="B3873" t="n">
        <v>2026</v>
      </c>
      <c r="C3873" t="inlineStr">
        <is>
          <t>April</t>
        </is>
      </c>
      <c r="D3873" t="inlineStr">
        <is>
          <t>Smart Camera</t>
        </is>
      </c>
      <c r="E3873" t="inlineStr">
        <is>
          <t>Electronics</t>
        </is>
      </c>
      <c r="F3873" t="inlineStr">
        <is>
          <t>David Dubois</t>
        </is>
      </c>
      <c r="G3873" t="inlineStr">
        <is>
          <t>United Kingdom</t>
        </is>
      </c>
      <c r="H3873" t="inlineStr">
        <is>
          <t>Mobile App</t>
        </is>
      </c>
      <c r="I3873" t="n">
        <v>2</v>
      </c>
      <c r="J3873" s="3" t="n">
        <v>236.38</v>
      </c>
      <c r="K3873" s="3" t="n">
        <v>23.64</v>
      </c>
      <c r="L3873" s="3" t="n">
        <v>212.74</v>
      </c>
      <c r="M3873" s="3" t="n">
        <v>171.16</v>
      </c>
      <c r="N3873" s="3" t="n">
        <v>41.58</v>
      </c>
      <c r="O3873">
        <f>TEXT(A3873,"yyyy-mm")</f>
        <v/>
      </c>
    </row>
    <row r="3874">
      <c r="A3874" s="2" t="n">
        <v>46134</v>
      </c>
      <c r="B3874" t="n">
        <v>2026</v>
      </c>
      <c r="C3874" t="inlineStr">
        <is>
          <t>April</t>
        </is>
      </c>
      <c r="D3874" t="inlineStr">
        <is>
          <t>Deluxe Toothbrush</t>
        </is>
      </c>
      <c r="E3874" t="inlineStr">
        <is>
          <t>Beauty &amp; Health</t>
        </is>
      </c>
      <c r="F3874" t="inlineStr">
        <is>
          <t>David Dubois</t>
        </is>
      </c>
      <c r="G3874" t="inlineStr">
        <is>
          <t>United Kingdom</t>
        </is>
      </c>
      <c r="H3874" t="inlineStr">
        <is>
          <t>Mobile App</t>
        </is>
      </c>
      <c r="I3874" t="n">
        <v>4</v>
      </c>
      <c r="J3874" s="3" t="n">
        <v>1336.72</v>
      </c>
      <c r="K3874" s="3" t="n">
        <v>66.84</v>
      </c>
      <c r="L3874" s="3" t="n">
        <v>1269.88</v>
      </c>
      <c r="M3874" s="3" t="n">
        <v>698.28</v>
      </c>
      <c r="N3874" s="3" t="n">
        <v>571.6</v>
      </c>
      <c r="O3874">
        <f>TEXT(A3874,"yyyy-mm")</f>
        <v/>
      </c>
    </row>
    <row r="3875">
      <c r="A3875" s="2" t="n">
        <v>46134</v>
      </c>
      <c r="B3875" t="n">
        <v>2026</v>
      </c>
      <c r="C3875" t="inlineStr">
        <is>
          <t>April</t>
        </is>
      </c>
      <c r="D3875" t="inlineStr">
        <is>
          <t>Essential Cushion</t>
        </is>
      </c>
      <c r="E3875" t="inlineStr">
        <is>
          <t>Home &amp; Garden</t>
        </is>
      </c>
      <c r="F3875" t="inlineStr">
        <is>
          <t>David Dubois</t>
        </is>
      </c>
      <c r="G3875" t="inlineStr">
        <is>
          <t>United Kingdom</t>
        </is>
      </c>
      <c r="H3875" t="inlineStr">
        <is>
          <t>Mobile App</t>
        </is>
      </c>
      <c r="I3875" t="n">
        <v>3</v>
      </c>
      <c r="J3875" s="3" t="n">
        <v>131.55</v>
      </c>
      <c r="K3875" s="3" t="n">
        <v>26.31</v>
      </c>
      <c r="L3875" s="3" t="n">
        <v>105.24</v>
      </c>
      <c r="M3875" s="3" t="n">
        <v>91.65000000000001</v>
      </c>
      <c r="N3875" s="3" t="n">
        <v>13.59</v>
      </c>
      <c r="O3875">
        <f>TEXT(A3875,"yyyy-mm")</f>
        <v/>
      </c>
    </row>
    <row r="3876">
      <c r="A3876" s="2" t="n">
        <v>46135</v>
      </c>
      <c r="B3876" t="n">
        <v>2026</v>
      </c>
      <c r="C3876" t="inlineStr">
        <is>
          <t>April</t>
        </is>
      </c>
      <c r="D3876" t="inlineStr">
        <is>
          <t>Smart Olive Oil</t>
        </is>
      </c>
      <c r="E3876" t="inlineStr">
        <is>
          <t>Grocery</t>
        </is>
      </c>
      <c r="F3876" t="inlineStr">
        <is>
          <t>David Moreau</t>
        </is>
      </c>
      <c r="G3876" t="inlineStr">
        <is>
          <t>Poland</t>
        </is>
      </c>
      <c r="H3876" t="inlineStr">
        <is>
          <t>Marketplace</t>
        </is>
      </c>
      <c r="I3876" t="n">
        <v>3</v>
      </c>
      <c r="J3876" s="3" t="n">
        <v>508.44</v>
      </c>
      <c r="K3876" s="3" t="n">
        <v>76.27</v>
      </c>
      <c r="L3876" s="3" t="n">
        <v>432.17</v>
      </c>
      <c r="M3876" s="3" t="n">
        <v>330.06</v>
      </c>
      <c r="N3876" s="3" t="n">
        <v>102.11</v>
      </c>
      <c r="O3876">
        <f>TEXT(A3876,"yyyy-mm")</f>
        <v/>
      </c>
    </row>
    <row r="3877">
      <c r="A3877" s="2" t="n">
        <v>46136</v>
      </c>
      <c r="B3877" t="n">
        <v>2026</v>
      </c>
      <c r="C3877" t="inlineStr">
        <is>
          <t>April</t>
        </is>
      </c>
      <c r="D3877" t="inlineStr">
        <is>
          <t>Portable Bike Helmet</t>
        </is>
      </c>
      <c r="E3877" t="inlineStr">
        <is>
          <t>Sports &amp; Outdoors</t>
        </is>
      </c>
      <c r="F3877" t="inlineStr">
        <is>
          <t>John Lopez</t>
        </is>
      </c>
      <c r="G3877" t="inlineStr">
        <is>
          <t>Germany</t>
        </is>
      </c>
      <c r="H3877" t="inlineStr">
        <is>
          <t>Web Store</t>
        </is>
      </c>
      <c r="I3877" t="n">
        <v>4</v>
      </c>
      <c r="J3877" s="3" t="n">
        <v>1192.92</v>
      </c>
      <c r="K3877" s="3" t="n">
        <v>59.65</v>
      </c>
      <c r="L3877" s="3" t="n">
        <v>1133.27</v>
      </c>
      <c r="M3877" s="3" t="n">
        <v>661.48</v>
      </c>
      <c r="N3877" s="3" t="n">
        <v>471.79</v>
      </c>
      <c r="O3877">
        <f>TEXT(A3877,"yyyy-mm")</f>
        <v/>
      </c>
    </row>
    <row r="3878">
      <c r="A3878" s="2" t="n">
        <v>46136</v>
      </c>
      <c r="B3878" t="n">
        <v>2026</v>
      </c>
      <c r="C3878" t="inlineStr">
        <is>
          <t>April</t>
        </is>
      </c>
      <c r="D3878" t="inlineStr">
        <is>
          <t>Premium Tent</t>
        </is>
      </c>
      <c r="E3878" t="inlineStr">
        <is>
          <t>Sports &amp; Outdoors</t>
        </is>
      </c>
      <c r="F3878" t="inlineStr">
        <is>
          <t>Paul Zielinski</t>
        </is>
      </c>
      <c r="G3878" t="inlineStr">
        <is>
          <t>Germany</t>
        </is>
      </c>
      <c r="H3878" t="inlineStr">
        <is>
          <t>Retail Store</t>
        </is>
      </c>
      <c r="I3878" t="n">
        <v>5</v>
      </c>
      <c r="J3878" s="3" t="n">
        <v>1243</v>
      </c>
      <c r="K3878" s="3" t="n">
        <v>248.6</v>
      </c>
      <c r="L3878" s="3" t="n">
        <v>994.4</v>
      </c>
      <c r="M3878" s="3" t="n">
        <v>826.55</v>
      </c>
      <c r="N3878" s="3" t="n">
        <v>167.85</v>
      </c>
      <c r="O3878">
        <f>TEXT(A3878,"yyyy-mm")</f>
        <v/>
      </c>
    </row>
    <row r="3879">
      <c r="A3879" s="2" t="n">
        <v>46136</v>
      </c>
      <c r="B3879" t="n">
        <v>2026</v>
      </c>
      <c r="C3879" t="inlineStr">
        <is>
          <t>April</t>
        </is>
      </c>
      <c r="D3879" t="inlineStr">
        <is>
          <t>Premium Cookbook</t>
        </is>
      </c>
      <c r="E3879" t="inlineStr">
        <is>
          <t>Books</t>
        </is>
      </c>
      <c r="F3879" t="inlineStr">
        <is>
          <t>Paul Zielinski</t>
        </is>
      </c>
      <c r="G3879" t="inlineStr">
        <is>
          <t>Germany</t>
        </is>
      </c>
      <c r="H3879" t="inlineStr">
        <is>
          <t>Retail Store</t>
        </is>
      </c>
      <c r="I3879" t="n">
        <v>1</v>
      </c>
      <c r="J3879" s="3" t="n">
        <v>136.59</v>
      </c>
      <c r="K3879" s="3" t="n">
        <v>0</v>
      </c>
      <c r="L3879" s="3" t="n">
        <v>136.59</v>
      </c>
      <c r="M3879" s="3" t="n">
        <v>94.98</v>
      </c>
      <c r="N3879" s="3" t="n">
        <v>41.61</v>
      </c>
      <c r="O3879">
        <f>TEXT(A3879,"yyyy-mm")</f>
        <v/>
      </c>
    </row>
    <row r="3880">
      <c r="A3880" s="2" t="n">
        <v>46136</v>
      </c>
      <c r="B3880" t="n">
        <v>2026</v>
      </c>
      <c r="C3880" t="inlineStr">
        <is>
          <t>April</t>
        </is>
      </c>
      <c r="D3880" t="inlineStr">
        <is>
          <t>Essential Pasta</t>
        </is>
      </c>
      <c r="E3880" t="inlineStr">
        <is>
          <t>Grocery</t>
        </is>
      </c>
      <c r="F3880" t="inlineStr">
        <is>
          <t>Paul Zielinski</t>
        </is>
      </c>
      <c r="G3880" t="inlineStr">
        <is>
          <t>Germany</t>
        </is>
      </c>
      <c r="H3880" t="inlineStr">
        <is>
          <t>Retail Store</t>
        </is>
      </c>
      <c r="I3880" t="n">
        <v>2</v>
      </c>
      <c r="J3880" s="3" t="n">
        <v>113.68</v>
      </c>
      <c r="K3880" s="3" t="n">
        <v>17.05</v>
      </c>
      <c r="L3880" s="3" t="n">
        <v>96.63</v>
      </c>
      <c r="M3880" s="3" t="n">
        <v>71.62</v>
      </c>
      <c r="N3880" s="3" t="n">
        <v>25.01</v>
      </c>
      <c r="O3880">
        <f>TEXT(A3880,"yyyy-mm")</f>
        <v/>
      </c>
    </row>
    <row r="3881">
      <c r="A3881" s="2" t="n">
        <v>46136</v>
      </c>
      <c r="B3881" t="n">
        <v>2026</v>
      </c>
      <c r="C3881" t="inlineStr">
        <is>
          <t>April</t>
        </is>
      </c>
      <c r="D3881" t="inlineStr">
        <is>
          <t>Deluxe Notebook</t>
        </is>
      </c>
      <c r="E3881" t="inlineStr">
        <is>
          <t>Books</t>
        </is>
      </c>
      <c r="F3881" t="inlineStr">
        <is>
          <t>Clara Smith</t>
        </is>
      </c>
      <c r="G3881" t="inlineStr">
        <is>
          <t>United States</t>
        </is>
      </c>
      <c r="H3881" t="inlineStr">
        <is>
          <t>Marketplace</t>
        </is>
      </c>
      <c r="I3881" t="n">
        <v>3</v>
      </c>
      <c r="J3881" s="3" t="n">
        <v>641.22</v>
      </c>
      <c r="K3881" s="3" t="n">
        <v>0</v>
      </c>
      <c r="L3881" s="3" t="n">
        <v>641.22</v>
      </c>
      <c r="M3881" s="3" t="n">
        <v>452.28</v>
      </c>
      <c r="N3881" s="3" t="n">
        <v>188.94</v>
      </c>
      <c r="O3881">
        <f>TEXT(A3881,"yyyy-mm")</f>
        <v/>
      </c>
    </row>
    <row r="3882">
      <c r="A3882" s="2" t="n">
        <v>46136</v>
      </c>
      <c r="B3882" t="n">
        <v>2026</v>
      </c>
      <c r="C3882" t="inlineStr">
        <is>
          <t>April</t>
        </is>
      </c>
      <c r="D3882" t="inlineStr">
        <is>
          <t>Portable Bike Helmet</t>
        </is>
      </c>
      <c r="E3882" t="inlineStr">
        <is>
          <t>Sports &amp; Outdoors</t>
        </is>
      </c>
      <c r="F3882" t="inlineStr">
        <is>
          <t>Clara Smith</t>
        </is>
      </c>
      <c r="G3882" t="inlineStr">
        <is>
          <t>United States</t>
        </is>
      </c>
      <c r="H3882" t="inlineStr">
        <is>
          <t>Marketplace</t>
        </is>
      </c>
      <c r="I3882" t="n">
        <v>1</v>
      </c>
      <c r="J3882" s="3" t="n">
        <v>318.61</v>
      </c>
      <c r="K3882" s="3" t="n">
        <v>0</v>
      </c>
      <c r="L3882" s="3" t="n">
        <v>318.61</v>
      </c>
      <c r="M3882" s="3" t="n">
        <v>165.37</v>
      </c>
      <c r="N3882" s="3" t="n">
        <v>153.24</v>
      </c>
      <c r="O3882">
        <f>TEXT(A3882,"yyyy-mm")</f>
        <v/>
      </c>
    </row>
    <row r="3883">
      <c r="A3883" s="2" t="n">
        <v>46136</v>
      </c>
      <c r="B3883" t="n">
        <v>2026</v>
      </c>
      <c r="C3883" t="inlineStr">
        <is>
          <t>April</t>
        </is>
      </c>
      <c r="D3883" t="inlineStr">
        <is>
          <t>Eco Biography</t>
        </is>
      </c>
      <c r="E3883" t="inlineStr">
        <is>
          <t>Books</t>
        </is>
      </c>
      <c r="F3883" t="inlineStr">
        <is>
          <t>Thomas Kowalski</t>
        </is>
      </c>
      <c r="G3883" t="inlineStr">
        <is>
          <t>Poland</t>
        </is>
      </c>
      <c r="H3883" t="inlineStr">
        <is>
          <t>Marketplace</t>
        </is>
      </c>
      <c r="I3883" t="n">
        <v>2</v>
      </c>
      <c r="J3883" s="3" t="n">
        <v>244.92</v>
      </c>
      <c r="K3883" s="3" t="n">
        <v>48.98</v>
      </c>
      <c r="L3883" s="3" t="n">
        <v>195.94</v>
      </c>
      <c r="M3883" s="3" t="n">
        <v>142.04</v>
      </c>
      <c r="N3883" s="3" t="n">
        <v>53.9</v>
      </c>
      <c r="O3883">
        <f>TEXT(A3883,"yyyy-mm")</f>
        <v/>
      </c>
    </row>
    <row r="3884">
      <c r="A3884" s="2" t="n">
        <v>46136</v>
      </c>
      <c r="B3884" t="n">
        <v>2026</v>
      </c>
      <c r="C3884" t="inlineStr">
        <is>
          <t>April</t>
        </is>
      </c>
      <c r="D3884" t="inlineStr">
        <is>
          <t>Wireless Honey</t>
        </is>
      </c>
      <c r="E3884" t="inlineStr">
        <is>
          <t>Grocery</t>
        </is>
      </c>
      <c r="F3884" t="inlineStr">
        <is>
          <t>Thomas Kowalski</t>
        </is>
      </c>
      <c r="G3884" t="inlineStr">
        <is>
          <t>Poland</t>
        </is>
      </c>
      <c r="H3884" t="inlineStr">
        <is>
          <t>Marketplace</t>
        </is>
      </c>
      <c r="I3884" t="n">
        <v>1</v>
      </c>
      <c r="J3884" s="3" t="n">
        <v>134.57</v>
      </c>
      <c r="K3884" s="3" t="n">
        <v>20.19</v>
      </c>
      <c r="L3884" s="3" t="n">
        <v>114.38</v>
      </c>
      <c r="M3884" s="3" t="n">
        <v>94.06999999999999</v>
      </c>
      <c r="N3884" s="3" t="n">
        <v>20.31</v>
      </c>
      <c r="O3884">
        <f>TEXT(A3884,"yyyy-mm")</f>
        <v/>
      </c>
    </row>
    <row r="3885">
      <c r="A3885" s="2" t="n">
        <v>46137</v>
      </c>
      <c r="B3885" t="n">
        <v>2026</v>
      </c>
      <c r="C3885" t="inlineStr">
        <is>
          <t>April</t>
        </is>
      </c>
      <c r="D3885" t="inlineStr">
        <is>
          <t>Deluxe Scarf</t>
        </is>
      </c>
      <c r="E3885" t="inlineStr">
        <is>
          <t>Clothing</t>
        </is>
      </c>
      <c r="F3885" t="inlineStr">
        <is>
          <t>Robert Wilson</t>
        </is>
      </c>
      <c r="G3885" t="inlineStr">
        <is>
          <t>Italy</t>
        </is>
      </c>
      <c r="H3885" t="inlineStr">
        <is>
          <t>Mobile App</t>
        </is>
      </c>
      <c r="I3885" t="n">
        <v>4</v>
      </c>
      <c r="J3885" s="3" t="n">
        <v>811.48</v>
      </c>
      <c r="K3885" s="3" t="n">
        <v>0</v>
      </c>
      <c r="L3885" s="3" t="n">
        <v>811.48</v>
      </c>
      <c r="M3885" s="3" t="n">
        <v>434.08</v>
      </c>
      <c r="N3885" s="3" t="n">
        <v>377.4</v>
      </c>
      <c r="O3885">
        <f>TEXT(A3885,"yyyy-mm")</f>
        <v/>
      </c>
    </row>
    <row r="3886">
      <c r="A3886" s="2" t="n">
        <v>46137</v>
      </c>
      <c r="B3886" t="n">
        <v>2026</v>
      </c>
      <c r="C3886" t="inlineStr">
        <is>
          <t>April</t>
        </is>
      </c>
      <c r="D3886" t="inlineStr">
        <is>
          <t>Eco Tent</t>
        </is>
      </c>
      <c r="E3886" t="inlineStr">
        <is>
          <t>Sports &amp; Outdoors</t>
        </is>
      </c>
      <c r="F3886" t="inlineStr">
        <is>
          <t>Peter Schmidt</t>
        </is>
      </c>
      <c r="G3886" t="inlineStr">
        <is>
          <t>United Kingdom</t>
        </is>
      </c>
      <c r="H3886" t="inlineStr">
        <is>
          <t>Marketplace</t>
        </is>
      </c>
      <c r="I3886" t="n">
        <v>2</v>
      </c>
      <c r="J3886" s="3" t="n">
        <v>138.48</v>
      </c>
      <c r="K3886" s="3" t="n">
        <v>0</v>
      </c>
      <c r="L3886" s="3" t="n">
        <v>138.48</v>
      </c>
      <c r="M3886" s="3" t="n">
        <v>87.7</v>
      </c>
      <c r="N3886" s="3" t="n">
        <v>50.78</v>
      </c>
      <c r="O3886">
        <f>TEXT(A3886,"yyyy-mm")</f>
        <v/>
      </c>
    </row>
    <row r="3887">
      <c r="A3887" s="2" t="n">
        <v>46137</v>
      </c>
      <c r="B3887" t="n">
        <v>2026</v>
      </c>
      <c r="C3887" t="inlineStr">
        <is>
          <t>April</t>
        </is>
      </c>
      <c r="D3887" t="inlineStr">
        <is>
          <t>Essential Cushion</t>
        </is>
      </c>
      <c r="E3887" t="inlineStr">
        <is>
          <t>Home &amp; Garden</t>
        </is>
      </c>
      <c r="F3887" t="inlineStr">
        <is>
          <t>Peter Schmidt</t>
        </is>
      </c>
      <c r="G3887" t="inlineStr">
        <is>
          <t>United Kingdom</t>
        </is>
      </c>
      <c r="H3887" t="inlineStr">
        <is>
          <t>Marketplace</t>
        </is>
      </c>
      <c r="I3887" t="n">
        <v>2</v>
      </c>
      <c r="J3887" s="3" t="n">
        <v>90.94</v>
      </c>
      <c r="K3887" s="3" t="n">
        <v>9.09</v>
      </c>
      <c r="L3887" s="3" t="n">
        <v>81.84999999999999</v>
      </c>
      <c r="M3887" s="3" t="n">
        <v>61.1</v>
      </c>
      <c r="N3887" s="3" t="n">
        <v>20.75</v>
      </c>
      <c r="O3887">
        <f>TEXT(A3887,"yyyy-mm")</f>
        <v/>
      </c>
    </row>
    <row r="3888">
      <c r="A3888" s="2" t="n">
        <v>46137</v>
      </c>
      <c r="B3888" t="n">
        <v>2026</v>
      </c>
      <c r="C3888" t="inlineStr">
        <is>
          <t>April</t>
        </is>
      </c>
      <c r="D3888" t="inlineStr">
        <is>
          <t>Portable Puzzle</t>
        </is>
      </c>
      <c r="E3888" t="inlineStr">
        <is>
          <t>Toys &amp; Games</t>
        </is>
      </c>
      <c r="F3888" t="inlineStr">
        <is>
          <t>Robert Wilson</t>
        </is>
      </c>
      <c r="G3888" t="inlineStr">
        <is>
          <t>Italy</t>
        </is>
      </c>
      <c r="H3888" t="inlineStr">
        <is>
          <t>Mobile App</t>
        </is>
      </c>
      <c r="I3888" t="n">
        <v>4</v>
      </c>
      <c r="J3888" s="3" t="n">
        <v>423.04</v>
      </c>
      <c r="K3888" s="3" t="n">
        <v>0</v>
      </c>
      <c r="L3888" s="3" t="n">
        <v>423.04</v>
      </c>
      <c r="M3888" s="3" t="n">
        <v>235.2</v>
      </c>
      <c r="N3888" s="3" t="n">
        <v>187.84</v>
      </c>
      <c r="O3888">
        <f>TEXT(A3888,"yyyy-mm")</f>
        <v/>
      </c>
    </row>
    <row r="3889">
      <c r="A3889" s="2" t="n">
        <v>46138</v>
      </c>
      <c r="B3889" t="n">
        <v>2026</v>
      </c>
      <c r="C3889" t="inlineStr">
        <is>
          <t>April</t>
        </is>
      </c>
      <c r="D3889" t="inlineStr">
        <is>
          <t>Eco Tent</t>
        </is>
      </c>
      <c r="E3889" t="inlineStr">
        <is>
          <t>Sports &amp; Outdoors</t>
        </is>
      </c>
      <c r="F3889" t="inlineStr">
        <is>
          <t>David Weber</t>
        </is>
      </c>
      <c r="G3889" t="inlineStr">
        <is>
          <t>Germany</t>
        </is>
      </c>
      <c r="H3889" t="inlineStr">
        <is>
          <t>Retail Store</t>
        </is>
      </c>
      <c r="I3889" t="n">
        <v>2</v>
      </c>
      <c r="J3889" s="3" t="n">
        <v>137.32</v>
      </c>
      <c r="K3889" s="3" t="n">
        <v>20.6</v>
      </c>
      <c r="L3889" s="3" t="n">
        <v>116.72</v>
      </c>
      <c r="M3889" s="3" t="n">
        <v>87.7</v>
      </c>
      <c r="N3889" s="3" t="n">
        <v>29.02</v>
      </c>
      <c r="O3889">
        <f>TEXT(A3889,"yyyy-mm")</f>
        <v/>
      </c>
    </row>
    <row r="3890">
      <c r="A3890" s="2" t="n">
        <v>46138</v>
      </c>
      <c r="B3890" t="n">
        <v>2026</v>
      </c>
      <c r="C3890" t="inlineStr">
        <is>
          <t>April</t>
        </is>
      </c>
      <c r="D3890" t="inlineStr">
        <is>
          <t>Portable Puzzle</t>
        </is>
      </c>
      <c r="E3890" t="inlineStr">
        <is>
          <t>Toys &amp; Games</t>
        </is>
      </c>
      <c r="F3890" t="inlineStr">
        <is>
          <t>David Weber</t>
        </is>
      </c>
      <c r="G3890" t="inlineStr">
        <is>
          <t>Germany</t>
        </is>
      </c>
      <c r="H3890" t="inlineStr">
        <is>
          <t>Retail Store</t>
        </is>
      </c>
      <c r="I3890" t="n">
        <v>3</v>
      </c>
      <c r="J3890" s="3" t="n">
        <v>976.3200000000001</v>
      </c>
      <c r="K3890" s="3" t="n">
        <v>146.45</v>
      </c>
      <c r="L3890" s="3" t="n">
        <v>829.87</v>
      </c>
      <c r="M3890" s="3" t="n">
        <v>520.98</v>
      </c>
      <c r="N3890" s="3" t="n">
        <v>308.89</v>
      </c>
      <c r="O3890">
        <f>TEXT(A3890,"yyyy-mm")</f>
        <v/>
      </c>
    </row>
    <row r="3891">
      <c r="A3891" s="2" t="n">
        <v>46138</v>
      </c>
      <c r="B3891" t="n">
        <v>2026</v>
      </c>
      <c r="C3891" t="inlineStr">
        <is>
          <t>April</t>
        </is>
      </c>
      <c r="D3891" t="inlineStr">
        <is>
          <t>Smart Drone</t>
        </is>
      </c>
      <c r="E3891" t="inlineStr">
        <is>
          <t>Toys &amp; Games</t>
        </is>
      </c>
      <c r="F3891" t="inlineStr">
        <is>
          <t>David Weber</t>
        </is>
      </c>
      <c r="G3891" t="inlineStr">
        <is>
          <t>Germany</t>
        </is>
      </c>
      <c r="H3891" t="inlineStr">
        <is>
          <t>Retail Store</t>
        </is>
      </c>
      <c r="I3891" t="n">
        <v>1</v>
      </c>
      <c r="J3891" s="3" t="n">
        <v>216.47</v>
      </c>
      <c r="K3891" s="3" t="n">
        <v>10.82</v>
      </c>
      <c r="L3891" s="3" t="n">
        <v>205.65</v>
      </c>
      <c r="M3891" s="3" t="n">
        <v>126.95</v>
      </c>
      <c r="N3891" s="3" t="n">
        <v>78.7</v>
      </c>
      <c r="O3891">
        <f>TEXT(A3891,"yyyy-mm")</f>
        <v/>
      </c>
    </row>
    <row r="3892">
      <c r="A3892" s="2" t="n">
        <v>46138</v>
      </c>
      <c r="B3892" t="n">
        <v>2026</v>
      </c>
      <c r="C3892" t="inlineStr">
        <is>
          <t>April</t>
        </is>
      </c>
      <c r="D3892" t="inlineStr">
        <is>
          <t>Classic Atlas</t>
        </is>
      </c>
      <c r="E3892" t="inlineStr">
        <is>
          <t>Books</t>
        </is>
      </c>
      <c r="F3892" t="inlineStr">
        <is>
          <t>David Weber</t>
        </is>
      </c>
      <c r="G3892" t="inlineStr">
        <is>
          <t>Germany</t>
        </is>
      </c>
      <c r="H3892" t="inlineStr">
        <is>
          <t>Retail Store</t>
        </is>
      </c>
      <c r="I3892" t="n">
        <v>1</v>
      </c>
      <c r="J3892" s="3" t="n">
        <v>59.3</v>
      </c>
      <c r="K3892" s="3" t="n">
        <v>2.96</v>
      </c>
      <c r="L3892" s="3" t="n">
        <v>56.33</v>
      </c>
      <c r="M3892" s="3" t="n">
        <v>34.59</v>
      </c>
      <c r="N3892" s="3" t="n">
        <v>21.74</v>
      </c>
      <c r="O3892">
        <f>TEXT(A3892,"yyyy-mm")</f>
        <v/>
      </c>
    </row>
    <row r="3893">
      <c r="A3893" s="2" t="n">
        <v>46138</v>
      </c>
      <c r="B3893" t="n">
        <v>2026</v>
      </c>
      <c r="C3893" t="inlineStr">
        <is>
          <t>April</t>
        </is>
      </c>
      <c r="D3893" t="inlineStr">
        <is>
          <t>Deluxe Cookbook</t>
        </is>
      </c>
      <c r="E3893" t="inlineStr">
        <is>
          <t>Books</t>
        </is>
      </c>
      <c r="F3893" t="inlineStr">
        <is>
          <t>Emily Schmidt</t>
        </is>
      </c>
      <c r="G3893" t="inlineStr">
        <is>
          <t>Netherlands</t>
        </is>
      </c>
      <c r="H3893" t="inlineStr">
        <is>
          <t>Retail Store</t>
        </is>
      </c>
      <c r="I3893" t="n">
        <v>4</v>
      </c>
      <c r="J3893" s="3" t="n">
        <v>528.72</v>
      </c>
      <c r="K3893" s="3" t="n">
        <v>0</v>
      </c>
      <c r="L3893" s="3" t="n">
        <v>528.72</v>
      </c>
      <c r="M3893" s="3" t="n">
        <v>341.08</v>
      </c>
      <c r="N3893" s="3" t="n">
        <v>187.64</v>
      </c>
      <c r="O3893">
        <f>TEXT(A3893,"yyyy-mm")</f>
        <v/>
      </c>
    </row>
    <row r="3894">
      <c r="A3894" s="2" t="n">
        <v>46138</v>
      </c>
      <c r="B3894" t="n">
        <v>2026</v>
      </c>
      <c r="C3894" t="inlineStr">
        <is>
          <t>April</t>
        </is>
      </c>
      <c r="D3894" t="inlineStr">
        <is>
          <t>Eco Tent</t>
        </is>
      </c>
      <c r="E3894" t="inlineStr">
        <is>
          <t>Sports &amp; Outdoors</t>
        </is>
      </c>
      <c r="F3894" t="inlineStr">
        <is>
          <t>Emily Schmidt</t>
        </is>
      </c>
      <c r="G3894" t="inlineStr">
        <is>
          <t>Netherlands</t>
        </is>
      </c>
      <c r="H3894" t="inlineStr">
        <is>
          <t>Retail Store</t>
        </is>
      </c>
      <c r="I3894" t="n">
        <v>3</v>
      </c>
      <c r="J3894" s="3" t="n">
        <v>713.67</v>
      </c>
      <c r="K3894" s="3" t="n">
        <v>35.68</v>
      </c>
      <c r="L3894" s="3" t="n">
        <v>677.99</v>
      </c>
      <c r="M3894" s="3" t="n">
        <v>405.09</v>
      </c>
      <c r="N3894" s="3" t="n">
        <v>272.9</v>
      </c>
      <c r="O3894">
        <f>TEXT(A3894,"yyyy-mm")</f>
        <v/>
      </c>
    </row>
    <row r="3895">
      <c r="A3895" s="2" t="n">
        <v>46138</v>
      </c>
      <c r="B3895" t="n">
        <v>2026</v>
      </c>
      <c r="C3895" t="inlineStr">
        <is>
          <t>April</t>
        </is>
      </c>
      <c r="D3895" t="inlineStr">
        <is>
          <t>Eco Backpack</t>
        </is>
      </c>
      <c r="E3895" t="inlineStr">
        <is>
          <t>Sports &amp; Outdoors</t>
        </is>
      </c>
      <c r="F3895" t="inlineStr">
        <is>
          <t>Emily Schmidt</t>
        </is>
      </c>
      <c r="G3895" t="inlineStr">
        <is>
          <t>Netherlands</t>
        </is>
      </c>
      <c r="H3895" t="inlineStr">
        <is>
          <t>Retail Store</t>
        </is>
      </c>
      <c r="I3895" t="n">
        <v>3</v>
      </c>
      <c r="J3895" s="3" t="n">
        <v>815.88</v>
      </c>
      <c r="K3895" s="3" t="n">
        <v>0</v>
      </c>
      <c r="L3895" s="3" t="n">
        <v>815.88</v>
      </c>
      <c r="M3895" s="3" t="n">
        <v>439.74</v>
      </c>
      <c r="N3895" s="3" t="n">
        <v>376.14</v>
      </c>
      <c r="O3895">
        <f>TEXT(A3895,"yyyy-mm")</f>
        <v/>
      </c>
    </row>
    <row r="3896">
      <c r="A3896" s="2" t="n">
        <v>46138</v>
      </c>
      <c r="B3896" t="n">
        <v>2026</v>
      </c>
      <c r="C3896" t="inlineStr">
        <is>
          <t>April</t>
        </is>
      </c>
      <c r="D3896" t="inlineStr">
        <is>
          <t>Portable Tea Set</t>
        </is>
      </c>
      <c r="E3896" t="inlineStr">
        <is>
          <t>Grocery</t>
        </is>
      </c>
      <c r="F3896" t="inlineStr">
        <is>
          <t>Emily Schmidt</t>
        </is>
      </c>
      <c r="G3896" t="inlineStr">
        <is>
          <t>Netherlands</t>
        </is>
      </c>
      <c r="H3896" t="inlineStr">
        <is>
          <t>Retail Store</t>
        </is>
      </c>
      <c r="I3896" t="n">
        <v>3</v>
      </c>
      <c r="J3896" s="3" t="n">
        <v>788.13</v>
      </c>
      <c r="K3896" s="3" t="n">
        <v>157.63</v>
      </c>
      <c r="L3896" s="3" t="n">
        <v>630.5</v>
      </c>
      <c r="M3896" s="3" t="n">
        <v>564.36</v>
      </c>
      <c r="N3896" s="3" t="n">
        <v>66.14</v>
      </c>
      <c r="O3896">
        <f>TEXT(A3896,"yyyy-mm")</f>
        <v/>
      </c>
    </row>
    <row r="3897">
      <c r="A3897" s="2" t="n">
        <v>46139</v>
      </c>
      <c r="B3897" t="n">
        <v>2026</v>
      </c>
      <c r="C3897" t="inlineStr">
        <is>
          <t>April</t>
        </is>
      </c>
      <c r="D3897" t="inlineStr">
        <is>
          <t>Essential Pasta</t>
        </is>
      </c>
      <c r="E3897" t="inlineStr">
        <is>
          <t>Grocery</t>
        </is>
      </c>
      <c r="F3897" t="inlineStr">
        <is>
          <t>Olivia Moreau</t>
        </is>
      </c>
      <c r="G3897" t="inlineStr">
        <is>
          <t>Italy</t>
        </is>
      </c>
      <c r="H3897" t="inlineStr">
        <is>
          <t>Web Store</t>
        </is>
      </c>
      <c r="I3897" t="n">
        <v>5</v>
      </c>
      <c r="J3897" s="3" t="n">
        <v>276.6</v>
      </c>
      <c r="K3897" s="3" t="n">
        <v>55.32</v>
      </c>
      <c r="L3897" s="3" t="n">
        <v>221.28</v>
      </c>
      <c r="M3897" s="3" t="n">
        <v>179.05</v>
      </c>
      <c r="N3897" s="3" t="n">
        <v>42.23</v>
      </c>
      <c r="O3897">
        <f>TEXT(A3897,"yyyy-mm")</f>
        <v/>
      </c>
    </row>
    <row r="3898">
      <c r="A3898" s="2" t="n">
        <v>46139</v>
      </c>
      <c r="B3898" t="n">
        <v>2026</v>
      </c>
      <c r="C3898" t="inlineStr">
        <is>
          <t>April</t>
        </is>
      </c>
      <c r="D3898" t="inlineStr">
        <is>
          <t>Classic Sunscreen</t>
        </is>
      </c>
      <c r="E3898" t="inlineStr">
        <is>
          <t>Beauty &amp; Health</t>
        </is>
      </c>
      <c r="F3898" t="inlineStr">
        <is>
          <t>Olivia Moreau</t>
        </is>
      </c>
      <c r="G3898" t="inlineStr">
        <is>
          <t>Italy</t>
        </is>
      </c>
      <c r="H3898" t="inlineStr">
        <is>
          <t>Web Store</t>
        </is>
      </c>
      <c r="I3898" t="n">
        <v>5</v>
      </c>
      <c r="J3898" s="3" t="n">
        <v>701.2</v>
      </c>
      <c r="K3898" s="3" t="n">
        <v>105.18</v>
      </c>
      <c r="L3898" s="3" t="n">
        <v>596.02</v>
      </c>
      <c r="M3898" s="3" t="n">
        <v>468.45</v>
      </c>
      <c r="N3898" s="3" t="n">
        <v>127.57</v>
      </c>
      <c r="O3898">
        <f>TEXT(A3898,"yyyy-mm")</f>
        <v/>
      </c>
    </row>
    <row r="3899">
      <c r="A3899" s="2" t="n">
        <v>46139</v>
      </c>
      <c r="B3899" t="n">
        <v>2026</v>
      </c>
      <c r="C3899" t="inlineStr">
        <is>
          <t>April</t>
        </is>
      </c>
      <c r="D3899" t="inlineStr">
        <is>
          <t>Ultra Vitamins</t>
        </is>
      </c>
      <c r="E3899" t="inlineStr">
        <is>
          <t>Beauty &amp; Health</t>
        </is>
      </c>
      <c r="F3899" t="inlineStr">
        <is>
          <t>Olivia Moreau</t>
        </is>
      </c>
      <c r="G3899" t="inlineStr">
        <is>
          <t>Italy</t>
        </is>
      </c>
      <c r="H3899" t="inlineStr">
        <is>
          <t>Web Store</t>
        </is>
      </c>
      <c r="I3899" t="n">
        <v>3</v>
      </c>
      <c r="J3899" s="3" t="n">
        <v>638.25</v>
      </c>
      <c r="K3899" s="3" t="n">
        <v>95.73999999999999</v>
      </c>
      <c r="L3899" s="3" t="n">
        <v>542.51</v>
      </c>
      <c r="M3899" s="3" t="n">
        <v>378.3</v>
      </c>
      <c r="N3899" s="3" t="n">
        <v>164.21</v>
      </c>
      <c r="O3899">
        <f>TEXT(A3899,"yyyy-mm")</f>
        <v/>
      </c>
    </row>
    <row r="3900">
      <c r="A3900" s="2" t="n">
        <v>46139</v>
      </c>
      <c r="B3900" t="n">
        <v>2026</v>
      </c>
      <c r="C3900" t="inlineStr">
        <is>
          <t>April</t>
        </is>
      </c>
      <c r="D3900" t="inlineStr">
        <is>
          <t>Essential Toolset</t>
        </is>
      </c>
      <c r="E3900" t="inlineStr">
        <is>
          <t>Home &amp; Garden</t>
        </is>
      </c>
      <c r="F3900" t="inlineStr">
        <is>
          <t>Olivia Moreau</t>
        </is>
      </c>
      <c r="G3900" t="inlineStr">
        <is>
          <t>Italy</t>
        </is>
      </c>
      <c r="H3900" t="inlineStr">
        <is>
          <t>Web Store</t>
        </is>
      </c>
      <c r="I3900" t="n">
        <v>1</v>
      </c>
      <c r="J3900" s="3" t="n">
        <v>211.35</v>
      </c>
      <c r="K3900" s="3" t="n">
        <v>21.14</v>
      </c>
      <c r="L3900" s="3" t="n">
        <v>190.22</v>
      </c>
      <c r="M3900" s="3" t="n">
        <v>150.53</v>
      </c>
      <c r="N3900" s="3" t="n">
        <v>39.68</v>
      </c>
      <c r="O3900">
        <f>TEXT(A3900,"yyyy-mm")</f>
        <v/>
      </c>
    </row>
    <row r="3901">
      <c r="A3901" s="2" t="n">
        <v>46139</v>
      </c>
      <c r="B3901" t="n">
        <v>2026</v>
      </c>
      <c r="C3901" t="inlineStr">
        <is>
          <t>April</t>
        </is>
      </c>
      <c r="D3901" t="inlineStr">
        <is>
          <t>Premium Water Bottle</t>
        </is>
      </c>
      <c r="E3901" t="inlineStr">
        <is>
          <t>Sports &amp; Outdoors</t>
        </is>
      </c>
      <c r="F3901" t="inlineStr">
        <is>
          <t>Olivia Brown</t>
        </is>
      </c>
      <c r="G3901" t="inlineStr">
        <is>
          <t>United States</t>
        </is>
      </c>
      <c r="H3901" t="inlineStr">
        <is>
          <t>Mobile App</t>
        </is>
      </c>
      <c r="I3901" t="n">
        <v>2</v>
      </c>
      <c r="J3901" s="3" t="n">
        <v>634</v>
      </c>
      <c r="K3901" s="3" t="n">
        <v>126.8</v>
      </c>
      <c r="L3901" s="3" t="n">
        <v>507.2</v>
      </c>
      <c r="M3901" s="3" t="n">
        <v>362.32</v>
      </c>
      <c r="N3901" s="3" t="n">
        <v>144.88</v>
      </c>
      <c r="O3901">
        <f>TEXT(A3901,"yyyy-mm")</f>
        <v/>
      </c>
    </row>
    <row r="3902">
      <c r="A3902" s="2" t="n">
        <v>46139</v>
      </c>
      <c r="B3902" t="n">
        <v>2026</v>
      </c>
      <c r="C3902" t="inlineStr">
        <is>
          <t>April</t>
        </is>
      </c>
      <c r="D3902" t="inlineStr">
        <is>
          <t>Eco Sweater</t>
        </is>
      </c>
      <c r="E3902" t="inlineStr">
        <is>
          <t>Clothing</t>
        </is>
      </c>
      <c r="F3902" t="inlineStr">
        <is>
          <t>Olivia Brown</t>
        </is>
      </c>
      <c r="G3902" t="inlineStr">
        <is>
          <t>United States</t>
        </is>
      </c>
      <c r="H3902" t="inlineStr">
        <is>
          <t>Mobile App</t>
        </is>
      </c>
      <c r="I3902" t="n">
        <v>4</v>
      </c>
      <c r="J3902" s="3" t="n">
        <v>605.04</v>
      </c>
      <c r="K3902" s="3" t="n">
        <v>60.5</v>
      </c>
      <c r="L3902" s="3" t="n">
        <v>544.54</v>
      </c>
      <c r="M3902" s="3" t="n">
        <v>416.92</v>
      </c>
      <c r="N3902" s="3" t="n">
        <v>127.62</v>
      </c>
      <c r="O3902">
        <f>TEXT(A3902,"yyyy-mm")</f>
        <v/>
      </c>
    </row>
    <row r="3903">
      <c r="A3903" s="2" t="n">
        <v>46139</v>
      </c>
      <c r="B3903" t="n">
        <v>2026</v>
      </c>
      <c r="C3903" t="inlineStr">
        <is>
          <t>April</t>
        </is>
      </c>
      <c r="D3903" t="inlineStr">
        <is>
          <t>Smart Board Game</t>
        </is>
      </c>
      <c r="E3903" t="inlineStr">
        <is>
          <t>Toys &amp; Games</t>
        </is>
      </c>
      <c r="F3903" t="inlineStr">
        <is>
          <t>Olivia Brown</t>
        </is>
      </c>
      <c r="G3903" t="inlineStr">
        <is>
          <t>United States</t>
        </is>
      </c>
      <c r="H3903" t="inlineStr">
        <is>
          <t>Mobile App</t>
        </is>
      </c>
      <c r="I3903" t="n">
        <v>4</v>
      </c>
      <c r="J3903" s="3" t="n">
        <v>537.24</v>
      </c>
      <c r="K3903" s="3" t="n">
        <v>26.86</v>
      </c>
      <c r="L3903" s="3" t="n">
        <v>510.38</v>
      </c>
      <c r="M3903" s="3" t="n">
        <v>366.88</v>
      </c>
      <c r="N3903" s="3" t="n">
        <v>143.5</v>
      </c>
      <c r="O3903">
        <f>TEXT(A3903,"yyyy-mm")</f>
        <v/>
      </c>
    </row>
    <row r="3904">
      <c r="A3904" s="2" t="n">
        <v>46139</v>
      </c>
      <c r="B3904" t="n">
        <v>2026</v>
      </c>
      <c r="C3904" t="inlineStr">
        <is>
          <t>April</t>
        </is>
      </c>
      <c r="D3904" t="inlineStr">
        <is>
          <t>Essential Charger</t>
        </is>
      </c>
      <c r="E3904" t="inlineStr">
        <is>
          <t>Electronics</t>
        </is>
      </c>
      <c r="F3904" t="inlineStr">
        <is>
          <t>Olivia Brown</t>
        </is>
      </c>
      <c r="G3904" t="inlineStr">
        <is>
          <t>United States</t>
        </is>
      </c>
      <c r="H3904" t="inlineStr">
        <is>
          <t>Mobile App</t>
        </is>
      </c>
      <c r="I3904" t="n">
        <v>5</v>
      </c>
      <c r="J3904" s="3" t="n">
        <v>228.2</v>
      </c>
      <c r="K3904" s="3" t="n">
        <v>0</v>
      </c>
      <c r="L3904" s="3" t="n">
        <v>228.2</v>
      </c>
      <c r="M3904" s="3" t="n">
        <v>145.5</v>
      </c>
      <c r="N3904" s="3" t="n">
        <v>82.7</v>
      </c>
      <c r="O3904">
        <f>TEXT(A3904,"yyyy-mm")</f>
        <v/>
      </c>
    </row>
    <row r="3905">
      <c r="A3905" s="2" t="n">
        <v>46139</v>
      </c>
      <c r="B3905" t="n">
        <v>2026</v>
      </c>
      <c r="C3905" t="inlineStr">
        <is>
          <t>April</t>
        </is>
      </c>
      <c r="D3905" t="inlineStr">
        <is>
          <t>Smart Camera</t>
        </is>
      </c>
      <c r="E3905" t="inlineStr">
        <is>
          <t>Electronics</t>
        </is>
      </c>
      <c r="F3905" t="inlineStr">
        <is>
          <t>Peter Garcia</t>
        </is>
      </c>
      <c r="G3905" t="inlineStr">
        <is>
          <t>Poland</t>
        </is>
      </c>
      <c r="H3905" t="inlineStr">
        <is>
          <t>Marketplace</t>
        </is>
      </c>
      <c r="I3905" t="n">
        <v>1</v>
      </c>
      <c r="J3905" s="3" t="n">
        <v>306.33</v>
      </c>
      <c r="K3905" s="3" t="n">
        <v>45.95</v>
      </c>
      <c r="L3905" s="3" t="n">
        <v>260.38</v>
      </c>
      <c r="M3905" s="3" t="n">
        <v>167.4</v>
      </c>
      <c r="N3905" s="3" t="n">
        <v>92.98</v>
      </c>
      <c r="O3905">
        <f>TEXT(A3905,"yyyy-mm")</f>
        <v/>
      </c>
    </row>
    <row r="3906">
      <c r="A3906" s="2" t="n">
        <v>46139</v>
      </c>
      <c r="B3906" t="n">
        <v>2026</v>
      </c>
      <c r="C3906" t="inlineStr">
        <is>
          <t>April</t>
        </is>
      </c>
      <c r="D3906" t="inlineStr">
        <is>
          <t>Premium Tent</t>
        </is>
      </c>
      <c r="E3906" t="inlineStr">
        <is>
          <t>Sports &amp; Outdoors</t>
        </is>
      </c>
      <c r="F3906" t="inlineStr">
        <is>
          <t>Peter Garcia</t>
        </is>
      </c>
      <c r="G3906" t="inlineStr">
        <is>
          <t>Poland</t>
        </is>
      </c>
      <c r="H3906" t="inlineStr">
        <is>
          <t>Marketplace</t>
        </is>
      </c>
      <c r="I3906" t="n">
        <v>4</v>
      </c>
      <c r="J3906" s="3" t="n">
        <v>1023.28</v>
      </c>
      <c r="K3906" s="3" t="n">
        <v>0</v>
      </c>
      <c r="L3906" s="3" t="n">
        <v>1023.28</v>
      </c>
      <c r="M3906" s="3" t="n">
        <v>556.16</v>
      </c>
      <c r="N3906" s="3" t="n">
        <v>467.12</v>
      </c>
      <c r="O3906">
        <f>TEXT(A3906,"yyyy-mm")</f>
        <v/>
      </c>
    </row>
    <row r="3907">
      <c r="A3907" s="2" t="n">
        <v>46139</v>
      </c>
      <c r="B3907" t="n">
        <v>2026</v>
      </c>
      <c r="C3907" t="inlineStr">
        <is>
          <t>April</t>
        </is>
      </c>
      <c r="D3907" t="inlineStr">
        <is>
          <t>Classic Atlas</t>
        </is>
      </c>
      <c r="E3907" t="inlineStr">
        <is>
          <t>Books</t>
        </is>
      </c>
      <c r="F3907" t="inlineStr">
        <is>
          <t>Peter Garcia</t>
        </is>
      </c>
      <c r="G3907" t="inlineStr">
        <is>
          <t>Poland</t>
        </is>
      </c>
      <c r="H3907" t="inlineStr">
        <is>
          <t>Marketplace</t>
        </is>
      </c>
      <c r="I3907" t="n">
        <v>4</v>
      </c>
      <c r="J3907" s="3" t="n">
        <v>257.48</v>
      </c>
      <c r="K3907" s="3" t="n">
        <v>0</v>
      </c>
      <c r="L3907" s="3" t="n">
        <v>257.48</v>
      </c>
      <c r="M3907" s="3" t="n">
        <v>138.36</v>
      </c>
      <c r="N3907" s="3" t="n">
        <v>119.12</v>
      </c>
      <c r="O3907">
        <f>TEXT(A3907,"yyyy-mm")</f>
        <v/>
      </c>
    </row>
    <row r="3908">
      <c r="A3908" s="2" t="n">
        <v>46139</v>
      </c>
      <c r="B3908" t="n">
        <v>2026</v>
      </c>
      <c r="C3908" t="inlineStr">
        <is>
          <t>April</t>
        </is>
      </c>
      <c r="D3908" t="inlineStr">
        <is>
          <t>Classic Tea Set</t>
        </is>
      </c>
      <c r="E3908" t="inlineStr">
        <is>
          <t>Grocery</t>
        </is>
      </c>
      <c r="F3908" t="inlineStr">
        <is>
          <t>Peter Garcia</t>
        </is>
      </c>
      <c r="G3908" t="inlineStr">
        <is>
          <t>Poland</t>
        </is>
      </c>
      <c r="H3908" t="inlineStr">
        <is>
          <t>Marketplace</t>
        </is>
      </c>
      <c r="I3908" t="n">
        <v>1</v>
      </c>
      <c r="J3908" s="3" t="n">
        <v>171.88</v>
      </c>
      <c r="K3908" s="3" t="n">
        <v>25.78</v>
      </c>
      <c r="L3908" s="3" t="n">
        <v>146.1</v>
      </c>
      <c r="M3908" s="3" t="n">
        <v>125.4</v>
      </c>
      <c r="N3908" s="3" t="n">
        <v>20.7</v>
      </c>
      <c r="O3908">
        <f>TEXT(A3908,"yyyy-mm")</f>
        <v/>
      </c>
    </row>
    <row r="3909">
      <c r="A3909" s="2" t="n">
        <v>46140</v>
      </c>
      <c r="B3909" t="n">
        <v>2026</v>
      </c>
      <c r="C3909" t="inlineStr">
        <is>
          <t>April</t>
        </is>
      </c>
      <c r="D3909" t="inlineStr">
        <is>
          <t>Ultra Toolset</t>
        </is>
      </c>
      <c r="E3909" t="inlineStr">
        <is>
          <t>Home &amp; Garden</t>
        </is>
      </c>
      <c r="F3909" t="inlineStr">
        <is>
          <t>Thomas Lopez</t>
        </is>
      </c>
      <c r="G3909" t="inlineStr">
        <is>
          <t>United States</t>
        </is>
      </c>
      <c r="H3909" t="inlineStr">
        <is>
          <t>Mobile App</t>
        </is>
      </c>
      <c r="I3909" t="n">
        <v>1</v>
      </c>
      <c r="J3909" s="3" t="n">
        <v>357.2</v>
      </c>
      <c r="K3909" s="3" t="n">
        <v>53.58</v>
      </c>
      <c r="L3909" s="3" t="n">
        <v>303.62</v>
      </c>
      <c r="M3909" s="3" t="n">
        <v>190.4</v>
      </c>
      <c r="N3909" s="3" t="n">
        <v>113.22</v>
      </c>
      <c r="O3909">
        <f>TEXT(A3909,"yyyy-mm")</f>
        <v/>
      </c>
    </row>
    <row r="3910">
      <c r="A3910" s="2" t="n">
        <v>46140</v>
      </c>
      <c r="B3910" t="n">
        <v>2026</v>
      </c>
      <c r="C3910" t="inlineStr">
        <is>
          <t>April</t>
        </is>
      </c>
      <c r="D3910" t="inlineStr">
        <is>
          <t>Essential Jacket</t>
        </is>
      </c>
      <c r="E3910" t="inlineStr">
        <is>
          <t>Clothing</t>
        </is>
      </c>
      <c r="F3910" t="inlineStr">
        <is>
          <t>Thomas Lopez</t>
        </is>
      </c>
      <c r="G3910" t="inlineStr">
        <is>
          <t>United States</t>
        </is>
      </c>
      <c r="H3910" t="inlineStr">
        <is>
          <t>Mobile App</t>
        </is>
      </c>
      <c r="I3910" t="n">
        <v>3</v>
      </c>
      <c r="J3910" s="3" t="n">
        <v>449.49</v>
      </c>
      <c r="K3910" s="3" t="n">
        <v>44.95</v>
      </c>
      <c r="L3910" s="3" t="n">
        <v>404.54</v>
      </c>
      <c r="M3910" s="3" t="n">
        <v>256.05</v>
      </c>
      <c r="N3910" s="3" t="n">
        <v>148.49</v>
      </c>
      <c r="O3910">
        <f>TEXT(A3910,"yyyy-mm")</f>
        <v/>
      </c>
    </row>
    <row r="3911">
      <c r="A3911" s="2" t="n">
        <v>46140</v>
      </c>
      <c r="B3911" t="n">
        <v>2026</v>
      </c>
      <c r="C3911" t="inlineStr">
        <is>
          <t>April</t>
        </is>
      </c>
      <c r="D3911" t="inlineStr">
        <is>
          <t>Smart Sweater</t>
        </is>
      </c>
      <c r="E3911" t="inlineStr">
        <is>
          <t>Clothing</t>
        </is>
      </c>
      <c r="F3911" t="inlineStr">
        <is>
          <t>Clara Wojcik</t>
        </is>
      </c>
      <c r="G3911" t="inlineStr">
        <is>
          <t>Germany</t>
        </is>
      </c>
      <c r="H3911" t="inlineStr">
        <is>
          <t>Marketplace</t>
        </is>
      </c>
      <c r="I3911" t="n">
        <v>3</v>
      </c>
      <c r="J3911" s="3" t="n">
        <v>424.32</v>
      </c>
      <c r="K3911" s="3" t="n">
        <v>84.86</v>
      </c>
      <c r="L3911" s="3" t="n">
        <v>339.46</v>
      </c>
      <c r="M3911" s="3" t="n">
        <v>232.05</v>
      </c>
      <c r="N3911" s="3" t="n">
        <v>107.41</v>
      </c>
      <c r="O3911">
        <f>TEXT(A3911,"yyyy-mm")</f>
        <v/>
      </c>
    </row>
    <row r="3912">
      <c r="A3912" s="2" t="n">
        <v>46140</v>
      </c>
      <c r="B3912" t="n">
        <v>2026</v>
      </c>
      <c r="C3912" t="inlineStr">
        <is>
          <t>April</t>
        </is>
      </c>
      <c r="D3912" t="inlineStr">
        <is>
          <t>Deluxe Scarf</t>
        </is>
      </c>
      <c r="E3912" t="inlineStr">
        <is>
          <t>Clothing</t>
        </is>
      </c>
      <c r="F3912" t="inlineStr">
        <is>
          <t>Sophie Weber</t>
        </is>
      </c>
      <c r="G3912" t="inlineStr">
        <is>
          <t>Germany</t>
        </is>
      </c>
      <c r="H3912" t="inlineStr">
        <is>
          <t>Mobile App</t>
        </is>
      </c>
      <c r="I3912" t="n">
        <v>3</v>
      </c>
      <c r="J3912" s="3" t="n">
        <v>596.91</v>
      </c>
      <c r="K3912" s="3" t="n">
        <v>119.38</v>
      </c>
      <c r="L3912" s="3" t="n">
        <v>477.53</v>
      </c>
      <c r="M3912" s="3" t="n">
        <v>325.56</v>
      </c>
      <c r="N3912" s="3" t="n">
        <v>151.97</v>
      </c>
      <c r="O3912">
        <f>TEXT(A3912,"yyyy-mm")</f>
        <v/>
      </c>
    </row>
    <row r="3913">
      <c r="A3913" s="2" t="n">
        <v>46140</v>
      </c>
      <c r="B3913" t="n">
        <v>2026</v>
      </c>
      <c r="C3913" t="inlineStr">
        <is>
          <t>April</t>
        </is>
      </c>
      <c r="D3913" t="inlineStr">
        <is>
          <t>Eco Tent</t>
        </is>
      </c>
      <c r="E3913" t="inlineStr">
        <is>
          <t>Sports &amp; Outdoors</t>
        </is>
      </c>
      <c r="F3913" t="inlineStr">
        <is>
          <t>Michael Johnson</t>
        </is>
      </c>
      <c r="G3913" t="inlineStr">
        <is>
          <t>Germany</t>
        </is>
      </c>
      <c r="H3913" t="inlineStr">
        <is>
          <t>Retail Store</t>
        </is>
      </c>
      <c r="I3913" t="n">
        <v>1</v>
      </c>
      <c r="J3913" s="3" t="n">
        <v>252.38</v>
      </c>
      <c r="K3913" s="3" t="n">
        <v>25.24</v>
      </c>
      <c r="L3913" s="3" t="n">
        <v>227.14</v>
      </c>
      <c r="M3913" s="3" t="n">
        <v>135.03</v>
      </c>
      <c r="N3913" s="3" t="n">
        <v>92.11</v>
      </c>
      <c r="O3913">
        <f>TEXT(A3913,"yyyy-mm")</f>
        <v/>
      </c>
    </row>
    <row r="3914">
      <c r="A3914" s="2" t="n">
        <v>46140</v>
      </c>
      <c r="B3914" t="n">
        <v>2026</v>
      </c>
      <c r="C3914" t="inlineStr">
        <is>
          <t>April</t>
        </is>
      </c>
      <c r="D3914" t="inlineStr">
        <is>
          <t>Portable Bike Helmet</t>
        </is>
      </c>
      <c r="E3914" t="inlineStr">
        <is>
          <t>Sports &amp; Outdoors</t>
        </is>
      </c>
      <c r="F3914" t="inlineStr">
        <is>
          <t>Michael Johnson</t>
        </is>
      </c>
      <c r="G3914" t="inlineStr">
        <is>
          <t>Germany</t>
        </is>
      </c>
      <c r="H3914" t="inlineStr">
        <is>
          <t>Retail Store</t>
        </is>
      </c>
      <c r="I3914" t="n">
        <v>2</v>
      </c>
      <c r="J3914" s="3" t="n">
        <v>600.72</v>
      </c>
      <c r="K3914" s="3" t="n">
        <v>120.14</v>
      </c>
      <c r="L3914" s="3" t="n">
        <v>480.58</v>
      </c>
      <c r="M3914" s="3" t="n">
        <v>330.74</v>
      </c>
      <c r="N3914" s="3" t="n">
        <v>149.84</v>
      </c>
      <c r="O3914">
        <f>TEXT(A3914,"yyyy-mm")</f>
        <v/>
      </c>
    </row>
    <row r="3915">
      <c r="A3915" s="2" t="n">
        <v>46140</v>
      </c>
      <c r="B3915" t="n">
        <v>2026</v>
      </c>
      <c r="C3915" t="inlineStr">
        <is>
          <t>April</t>
        </is>
      </c>
      <c r="D3915" t="inlineStr">
        <is>
          <t>Smart Tea Set</t>
        </is>
      </c>
      <c r="E3915" t="inlineStr">
        <is>
          <t>Grocery</t>
        </is>
      </c>
      <c r="F3915" t="inlineStr">
        <is>
          <t>Michael Johnson</t>
        </is>
      </c>
      <c r="G3915" t="inlineStr">
        <is>
          <t>Germany</t>
        </is>
      </c>
      <c r="H3915" t="inlineStr">
        <is>
          <t>Retail Store</t>
        </is>
      </c>
      <c r="I3915" t="n">
        <v>2</v>
      </c>
      <c r="J3915" s="3" t="n">
        <v>173.68</v>
      </c>
      <c r="K3915" s="3" t="n">
        <v>17.37</v>
      </c>
      <c r="L3915" s="3" t="n">
        <v>156.31</v>
      </c>
      <c r="M3915" s="3" t="n">
        <v>123.6</v>
      </c>
      <c r="N3915" s="3" t="n">
        <v>32.71</v>
      </c>
      <c r="O3915">
        <f>TEXT(A3915,"yyyy-mm")</f>
        <v/>
      </c>
    </row>
    <row r="3916">
      <c r="A3916" s="2" t="n">
        <v>46140</v>
      </c>
      <c r="B3916" t="n">
        <v>2026</v>
      </c>
      <c r="C3916" t="inlineStr">
        <is>
          <t>April</t>
        </is>
      </c>
      <c r="D3916" t="inlineStr">
        <is>
          <t>Wireless Coffee Beans</t>
        </is>
      </c>
      <c r="E3916" t="inlineStr">
        <is>
          <t>Grocery</t>
        </is>
      </c>
      <c r="F3916" t="inlineStr">
        <is>
          <t>Michael Johnson</t>
        </is>
      </c>
      <c r="G3916" t="inlineStr">
        <is>
          <t>Germany</t>
        </is>
      </c>
      <c r="H3916" t="inlineStr">
        <is>
          <t>Retail Store</t>
        </is>
      </c>
      <c r="I3916" t="n">
        <v>2</v>
      </c>
      <c r="J3916" s="3" t="n">
        <v>248.74</v>
      </c>
      <c r="K3916" s="3" t="n">
        <v>24.87</v>
      </c>
      <c r="L3916" s="3" t="n">
        <v>223.87</v>
      </c>
      <c r="M3916" s="3" t="n">
        <v>158.74</v>
      </c>
      <c r="N3916" s="3" t="n">
        <v>65.13</v>
      </c>
      <c r="O3916">
        <f>TEXT(A3916,"yyyy-mm")</f>
        <v/>
      </c>
    </row>
    <row r="3917">
      <c r="A3917" s="2" t="n">
        <v>46141</v>
      </c>
      <c r="B3917" t="n">
        <v>2026</v>
      </c>
      <c r="C3917" t="inlineStr">
        <is>
          <t>April</t>
        </is>
      </c>
      <c r="D3917" t="inlineStr">
        <is>
          <t>Premium Water Bottle</t>
        </is>
      </c>
      <c r="E3917" t="inlineStr">
        <is>
          <t>Sports &amp; Outdoors</t>
        </is>
      </c>
      <c r="F3917" t="inlineStr">
        <is>
          <t>Daniel Wilson</t>
        </is>
      </c>
      <c r="G3917" t="inlineStr">
        <is>
          <t>Italy</t>
        </is>
      </c>
      <c r="H3917" t="inlineStr">
        <is>
          <t>Marketplace</t>
        </is>
      </c>
      <c r="I3917" t="n">
        <v>4</v>
      </c>
      <c r="J3917" s="3" t="n">
        <v>114.28</v>
      </c>
      <c r="K3917" s="3" t="n">
        <v>5.71</v>
      </c>
      <c r="L3917" s="3" t="n">
        <v>108.57</v>
      </c>
      <c r="M3917" s="3" t="n">
        <v>66.52</v>
      </c>
      <c r="N3917" s="3" t="n">
        <v>42.05</v>
      </c>
      <c r="O3917">
        <f>TEXT(A3917,"yyyy-mm")</f>
        <v/>
      </c>
    </row>
    <row r="3918">
      <c r="A3918" s="2" t="n">
        <v>46141</v>
      </c>
      <c r="B3918" t="n">
        <v>2026</v>
      </c>
      <c r="C3918" t="inlineStr">
        <is>
          <t>April</t>
        </is>
      </c>
      <c r="D3918" t="inlineStr">
        <is>
          <t>Smart Honey</t>
        </is>
      </c>
      <c r="E3918" t="inlineStr">
        <is>
          <t>Grocery</t>
        </is>
      </c>
      <c r="F3918" t="inlineStr">
        <is>
          <t>Daniel Wilson</t>
        </is>
      </c>
      <c r="G3918" t="inlineStr">
        <is>
          <t>Italy</t>
        </is>
      </c>
      <c r="H3918" t="inlineStr">
        <is>
          <t>Marketplace</t>
        </is>
      </c>
      <c r="I3918" t="n">
        <v>5</v>
      </c>
      <c r="J3918" s="3" t="n">
        <v>688.45</v>
      </c>
      <c r="K3918" s="3" t="n">
        <v>0</v>
      </c>
      <c r="L3918" s="3" t="n">
        <v>688.45</v>
      </c>
      <c r="M3918" s="3" t="n">
        <v>357.2</v>
      </c>
      <c r="N3918" s="3" t="n">
        <v>331.25</v>
      </c>
      <c r="O3918">
        <f>TEXT(A3918,"yyyy-mm")</f>
        <v/>
      </c>
    </row>
    <row r="3919">
      <c r="A3919" s="2" t="n">
        <v>46141</v>
      </c>
      <c r="B3919" t="n">
        <v>2026</v>
      </c>
      <c r="C3919" t="inlineStr">
        <is>
          <t>April</t>
        </is>
      </c>
      <c r="D3919" t="inlineStr">
        <is>
          <t>Eco Tent</t>
        </is>
      </c>
      <c r="E3919" t="inlineStr">
        <is>
          <t>Sports &amp; Outdoors</t>
        </is>
      </c>
      <c r="F3919" t="inlineStr">
        <is>
          <t>Daniel Wilson</t>
        </is>
      </c>
      <c r="G3919" t="inlineStr">
        <is>
          <t>Italy</t>
        </is>
      </c>
      <c r="H3919" t="inlineStr">
        <is>
          <t>Marketplace</t>
        </is>
      </c>
      <c r="I3919" t="n">
        <v>2</v>
      </c>
      <c r="J3919" s="3" t="n">
        <v>130.04</v>
      </c>
      <c r="K3919" s="3" t="n">
        <v>6.5</v>
      </c>
      <c r="L3919" s="3" t="n">
        <v>123.54</v>
      </c>
      <c r="M3919" s="3" t="n">
        <v>87.7</v>
      </c>
      <c r="N3919" s="3" t="n">
        <v>35.84</v>
      </c>
      <c r="O3919">
        <f>TEXT(A3919,"yyyy-mm")</f>
        <v/>
      </c>
    </row>
    <row r="3920">
      <c r="A3920" s="2" t="n">
        <v>46141</v>
      </c>
      <c r="B3920" t="n">
        <v>2026</v>
      </c>
      <c r="C3920" t="inlineStr">
        <is>
          <t>April</t>
        </is>
      </c>
      <c r="D3920" t="inlineStr">
        <is>
          <t>Deluxe Toothbrush</t>
        </is>
      </c>
      <c r="E3920" t="inlineStr">
        <is>
          <t>Beauty &amp; Health</t>
        </is>
      </c>
      <c r="F3920" t="inlineStr">
        <is>
          <t>Daniel Wilson</t>
        </is>
      </c>
      <c r="G3920" t="inlineStr">
        <is>
          <t>Italy</t>
        </is>
      </c>
      <c r="H3920" t="inlineStr">
        <is>
          <t>Marketplace</t>
        </is>
      </c>
      <c r="I3920" t="n">
        <v>3</v>
      </c>
      <c r="J3920" s="3" t="n">
        <v>994.35</v>
      </c>
      <c r="K3920" s="3" t="n">
        <v>0</v>
      </c>
      <c r="L3920" s="3" t="n">
        <v>994.35</v>
      </c>
      <c r="M3920" s="3" t="n">
        <v>523.71</v>
      </c>
      <c r="N3920" s="3" t="n">
        <v>470.64</v>
      </c>
      <c r="O3920">
        <f>TEXT(A3920,"yyyy-mm")</f>
        <v/>
      </c>
    </row>
    <row r="3921">
      <c r="A3921" s="2" t="n">
        <v>46141</v>
      </c>
      <c r="B3921" t="n">
        <v>2026</v>
      </c>
      <c r="C3921" t="inlineStr">
        <is>
          <t>April</t>
        </is>
      </c>
      <c r="D3921" t="inlineStr">
        <is>
          <t>Smart Charger</t>
        </is>
      </c>
      <c r="E3921" t="inlineStr">
        <is>
          <t>Electronics</t>
        </is>
      </c>
      <c r="F3921" t="inlineStr">
        <is>
          <t>David Bianchi</t>
        </is>
      </c>
      <c r="G3921" t="inlineStr">
        <is>
          <t>Netherlands</t>
        </is>
      </c>
      <c r="H3921" t="inlineStr">
        <is>
          <t>Marketplace</t>
        </is>
      </c>
      <c r="I3921" t="n">
        <v>3</v>
      </c>
      <c r="J3921" s="3" t="n">
        <v>740.61</v>
      </c>
      <c r="K3921" s="3" t="n">
        <v>0</v>
      </c>
      <c r="L3921" s="3" t="n">
        <v>740.61</v>
      </c>
      <c r="M3921" s="3" t="n">
        <v>427.56</v>
      </c>
      <c r="N3921" s="3" t="n">
        <v>313.05</v>
      </c>
      <c r="O3921">
        <f>TEXT(A3921,"yyyy-mm")</f>
        <v/>
      </c>
    </row>
    <row r="3922">
      <c r="A3922" s="2" t="n">
        <v>46141</v>
      </c>
      <c r="B3922" t="n">
        <v>2026</v>
      </c>
      <c r="C3922" t="inlineStr">
        <is>
          <t>April</t>
        </is>
      </c>
      <c r="D3922" t="inlineStr">
        <is>
          <t>Ultra Toolset</t>
        </is>
      </c>
      <c r="E3922" t="inlineStr">
        <is>
          <t>Home &amp; Garden</t>
        </is>
      </c>
      <c r="F3922" t="inlineStr">
        <is>
          <t>Julia Wilson</t>
        </is>
      </c>
      <c r="G3922" t="inlineStr">
        <is>
          <t>United Kingdom</t>
        </is>
      </c>
      <c r="H3922" t="inlineStr">
        <is>
          <t>Mobile App</t>
        </is>
      </c>
      <c r="I3922" t="n">
        <v>5</v>
      </c>
      <c r="J3922" s="3" t="n">
        <v>1859.05</v>
      </c>
      <c r="K3922" s="3" t="n">
        <v>0</v>
      </c>
      <c r="L3922" s="3" t="n">
        <v>1859.05</v>
      </c>
      <c r="M3922" s="3" t="n">
        <v>952</v>
      </c>
      <c r="N3922" s="3" t="n">
        <v>907.05</v>
      </c>
      <c r="O3922">
        <f>TEXT(A3922,"yyyy-mm")</f>
        <v/>
      </c>
    </row>
    <row r="3923">
      <c r="A3923" s="2" t="n">
        <v>46141</v>
      </c>
      <c r="B3923" t="n">
        <v>2026</v>
      </c>
      <c r="C3923" t="inlineStr">
        <is>
          <t>April</t>
        </is>
      </c>
      <c r="D3923" t="inlineStr">
        <is>
          <t>Classic Atlas</t>
        </is>
      </c>
      <c r="E3923" t="inlineStr">
        <is>
          <t>Books</t>
        </is>
      </c>
      <c r="F3923" t="inlineStr">
        <is>
          <t>Julia Wilson</t>
        </is>
      </c>
      <c r="G3923" t="inlineStr">
        <is>
          <t>United Kingdom</t>
        </is>
      </c>
      <c r="H3923" t="inlineStr">
        <is>
          <t>Mobile App</t>
        </is>
      </c>
      <c r="I3923" t="n">
        <v>2</v>
      </c>
      <c r="J3923" s="3" t="n">
        <v>121.26</v>
      </c>
      <c r="K3923" s="3" t="n">
        <v>18.19</v>
      </c>
      <c r="L3923" s="3" t="n">
        <v>103.07</v>
      </c>
      <c r="M3923" s="3" t="n">
        <v>69.18000000000001</v>
      </c>
      <c r="N3923" s="3" t="n">
        <v>33.89</v>
      </c>
      <c r="O3923">
        <f>TEXT(A3923,"yyyy-mm")</f>
        <v/>
      </c>
    </row>
    <row r="3924">
      <c r="A3924" s="2" t="n">
        <v>46142</v>
      </c>
      <c r="B3924" t="n">
        <v>2026</v>
      </c>
      <c r="C3924" t="inlineStr">
        <is>
          <t>April</t>
        </is>
      </c>
      <c r="D3924" t="inlineStr">
        <is>
          <t>Essential Vitamins</t>
        </is>
      </c>
      <c r="E3924" t="inlineStr">
        <is>
          <t>Beauty &amp; Health</t>
        </is>
      </c>
      <c r="F3924" t="inlineStr">
        <is>
          <t>Maria Dubois</t>
        </is>
      </c>
      <c r="G3924" t="inlineStr">
        <is>
          <t>Spain</t>
        </is>
      </c>
      <c r="H3924" t="inlineStr">
        <is>
          <t>Marketplace</t>
        </is>
      </c>
      <c r="I3924" t="n">
        <v>5</v>
      </c>
      <c r="J3924" s="3" t="n">
        <v>836.95</v>
      </c>
      <c r="K3924" s="3" t="n">
        <v>0</v>
      </c>
      <c r="L3924" s="3" t="n">
        <v>836.95</v>
      </c>
      <c r="M3924" s="3" t="n">
        <v>551.5</v>
      </c>
      <c r="N3924" s="3" t="n">
        <v>285.45</v>
      </c>
      <c r="O3924">
        <f>TEXT(A3924,"yyyy-mm")</f>
        <v/>
      </c>
    </row>
    <row r="3925">
      <c r="A3925" s="2" t="n">
        <v>46142</v>
      </c>
      <c r="B3925" t="n">
        <v>2026</v>
      </c>
      <c r="C3925" t="inlineStr">
        <is>
          <t>April</t>
        </is>
      </c>
      <c r="D3925" t="inlineStr">
        <is>
          <t>Deluxe Toolset</t>
        </is>
      </c>
      <c r="E3925" t="inlineStr">
        <is>
          <t>Home &amp; Garden</t>
        </is>
      </c>
      <c r="F3925" t="inlineStr">
        <is>
          <t>Julia Dubois</t>
        </is>
      </c>
      <c r="G3925" t="inlineStr">
        <is>
          <t>United States</t>
        </is>
      </c>
      <c r="H3925" t="inlineStr">
        <is>
          <t>Mobile App</t>
        </is>
      </c>
      <c r="I3925" t="n">
        <v>3</v>
      </c>
      <c r="J3925" s="3" t="n">
        <v>210.33</v>
      </c>
      <c r="K3925" s="3" t="n">
        <v>42.07</v>
      </c>
      <c r="L3925" s="3" t="n">
        <v>168.26</v>
      </c>
      <c r="M3925" s="3" t="n">
        <v>143.13</v>
      </c>
      <c r="N3925" s="3" t="n">
        <v>25.13</v>
      </c>
      <c r="O3925">
        <f>TEXT(A3925,"yyyy-mm")</f>
        <v/>
      </c>
    </row>
    <row r="3926">
      <c r="A3926" s="2" t="n">
        <v>46142</v>
      </c>
      <c r="B3926" t="n">
        <v>2026</v>
      </c>
      <c r="C3926" t="inlineStr">
        <is>
          <t>April</t>
        </is>
      </c>
      <c r="D3926" t="inlineStr">
        <is>
          <t>Smart Olive Oil</t>
        </is>
      </c>
      <c r="E3926" t="inlineStr">
        <is>
          <t>Grocery</t>
        </is>
      </c>
      <c r="F3926" t="inlineStr">
        <is>
          <t>Julia Dubois</t>
        </is>
      </c>
      <c r="G3926" t="inlineStr">
        <is>
          <t>United States</t>
        </is>
      </c>
      <c r="H3926" t="inlineStr">
        <is>
          <t>Mobile App</t>
        </is>
      </c>
      <c r="I3926" t="n">
        <v>1</v>
      </c>
      <c r="J3926" s="3" t="n">
        <v>171.06</v>
      </c>
      <c r="K3926" s="3" t="n">
        <v>25.66</v>
      </c>
      <c r="L3926" s="3" t="n">
        <v>145.4</v>
      </c>
      <c r="M3926" s="3" t="n">
        <v>110.02</v>
      </c>
      <c r="N3926" s="3" t="n">
        <v>35.38</v>
      </c>
      <c r="O3926">
        <f>TEXT(A3926,"yyyy-mm")</f>
        <v/>
      </c>
    </row>
    <row r="3927">
      <c r="A3927" s="2" t="n">
        <v>46143</v>
      </c>
      <c r="B3927" t="n">
        <v>2026</v>
      </c>
      <c r="C3927" t="inlineStr">
        <is>
          <t>May</t>
        </is>
      </c>
      <c r="D3927" t="inlineStr">
        <is>
          <t>Smart Puzzle</t>
        </is>
      </c>
      <c r="E3927" t="inlineStr">
        <is>
          <t>Toys &amp; Games</t>
        </is>
      </c>
      <c r="F3927" t="inlineStr">
        <is>
          <t>Michael Nowak</t>
        </is>
      </c>
      <c r="G3927" t="inlineStr">
        <is>
          <t>United Kingdom</t>
        </is>
      </c>
      <c r="H3927" t="inlineStr">
        <is>
          <t>Marketplace</t>
        </is>
      </c>
      <c r="I3927" t="n">
        <v>3</v>
      </c>
      <c r="J3927" s="3" t="n">
        <v>760.8</v>
      </c>
      <c r="K3927" s="3" t="n">
        <v>152.16</v>
      </c>
      <c r="L3927" s="3" t="n">
        <v>608.64</v>
      </c>
      <c r="M3927" s="3" t="n">
        <v>578.28</v>
      </c>
      <c r="N3927" s="3" t="n">
        <v>30.36</v>
      </c>
      <c r="O3927">
        <f>TEXT(A3927,"yyyy-mm")</f>
        <v/>
      </c>
    </row>
    <row r="3928">
      <c r="A3928" s="2" t="n">
        <v>46143</v>
      </c>
      <c r="B3928" t="n">
        <v>2026</v>
      </c>
      <c r="C3928" t="inlineStr">
        <is>
          <t>May</t>
        </is>
      </c>
      <c r="D3928" t="inlineStr">
        <is>
          <t>Classic Bike Helmet</t>
        </is>
      </c>
      <c r="E3928" t="inlineStr">
        <is>
          <t>Sports &amp; Outdoors</t>
        </is>
      </c>
      <c r="F3928" t="inlineStr">
        <is>
          <t>Michael Nowak</t>
        </is>
      </c>
      <c r="G3928" t="inlineStr">
        <is>
          <t>United Kingdom</t>
        </is>
      </c>
      <c r="H3928" t="inlineStr">
        <is>
          <t>Marketplace</t>
        </is>
      </c>
      <c r="I3928" t="n">
        <v>1</v>
      </c>
      <c r="J3928" s="3" t="n">
        <v>220.21</v>
      </c>
      <c r="K3928" s="3" t="n">
        <v>33.03</v>
      </c>
      <c r="L3928" s="3" t="n">
        <v>187.18</v>
      </c>
      <c r="M3928" s="3" t="n">
        <v>153.81</v>
      </c>
      <c r="N3928" s="3" t="n">
        <v>33.37</v>
      </c>
      <c r="O3928">
        <f>TEXT(A3928,"yyyy-mm")</f>
        <v/>
      </c>
    </row>
    <row r="3929">
      <c r="A3929" s="2" t="n">
        <v>46143</v>
      </c>
      <c r="B3929" t="n">
        <v>2026</v>
      </c>
      <c r="C3929" t="inlineStr">
        <is>
          <t>May</t>
        </is>
      </c>
      <c r="D3929" t="inlineStr">
        <is>
          <t>Wireless Coffee Beans</t>
        </is>
      </c>
      <c r="E3929" t="inlineStr">
        <is>
          <t>Grocery</t>
        </is>
      </c>
      <c r="F3929" t="inlineStr">
        <is>
          <t>Emma Schmidt</t>
        </is>
      </c>
      <c r="G3929" t="inlineStr">
        <is>
          <t>France</t>
        </is>
      </c>
      <c r="H3929" t="inlineStr">
        <is>
          <t>Retail Store</t>
        </is>
      </c>
      <c r="I3929" t="n">
        <v>3</v>
      </c>
      <c r="J3929" s="3" t="n">
        <v>353.01</v>
      </c>
      <c r="K3929" s="3" t="n">
        <v>17.65</v>
      </c>
      <c r="L3929" s="3" t="n">
        <v>335.36</v>
      </c>
      <c r="M3929" s="3" t="n">
        <v>238.11</v>
      </c>
      <c r="N3929" s="3" t="n">
        <v>97.25</v>
      </c>
      <c r="O3929">
        <f>TEXT(A3929,"yyyy-mm")</f>
        <v/>
      </c>
    </row>
    <row r="3930">
      <c r="A3930" s="2" t="n">
        <v>46143</v>
      </c>
      <c r="B3930" t="n">
        <v>2026</v>
      </c>
      <c r="C3930" t="inlineStr">
        <is>
          <t>May</t>
        </is>
      </c>
      <c r="D3930" t="inlineStr">
        <is>
          <t>Essential Vitamins</t>
        </is>
      </c>
      <c r="E3930" t="inlineStr">
        <is>
          <t>Beauty &amp; Health</t>
        </is>
      </c>
      <c r="F3930" t="inlineStr">
        <is>
          <t>Emma Schmidt</t>
        </is>
      </c>
      <c r="G3930" t="inlineStr">
        <is>
          <t>France</t>
        </is>
      </c>
      <c r="H3930" t="inlineStr">
        <is>
          <t>Retail Store</t>
        </is>
      </c>
      <c r="I3930" t="n">
        <v>2</v>
      </c>
      <c r="J3930" s="3" t="n">
        <v>327.92</v>
      </c>
      <c r="K3930" s="3" t="n">
        <v>0</v>
      </c>
      <c r="L3930" s="3" t="n">
        <v>327.92</v>
      </c>
      <c r="M3930" s="3" t="n">
        <v>220.6</v>
      </c>
      <c r="N3930" s="3" t="n">
        <v>107.32</v>
      </c>
      <c r="O3930">
        <f>TEXT(A3930,"yyyy-mm")</f>
        <v/>
      </c>
    </row>
    <row r="3931">
      <c r="A3931" s="2" t="n">
        <v>46143</v>
      </c>
      <c r="B3931" t="n">
        <v>2026</v>
      </c>
      <c r="C3931" t="inlineStr">
        <is>
          <t>May</t>
        </is>
      </c>
      <c r="D3931" t="inlineStr">
        <is>
          <t>Portable Bike Helmet</t>
        </is>
      </c>
      <c r="E3931" t="inlineStr">
        <is>
          <t>Sports &amp; Outdoors</t>
        </is>
      </c>
      <c r="F3931" t="inlineStr">
        <is>
          <t>Laura Wojcik</t>
        </is>
      </c>
      <c r="G3931" t="inlineStr">
        <is>
          <t>Italy</t>
        </is>
      </c>
      <c r="H3931" t="inlineStr">
        <is>
          <t>Marketplace</t>
        </is>
      </c>
      <c r="I3931" t="n">
        <v>5</v>
      </c>
      <c r="J3931" s="3" t="n">
        <v>1616.25</v>
      </c>
      <c r="K3931" s="3" t="n">
        <v>80.81</v>
      </c>
      <c r="L3931" s="3" t="n">
        <v>1535.44</v>
      </c>
      <c r="M3931" s="3" t="n">
        <v>826.85</v>
      </c>
      <c r="N3931" s="3" t="n">
        <v>708.59</v>
      </c>
      <c r="O3931">
        <f>TEXT(A3931,"yyyy-mm")</f>
        <v/>
      </c>
    </row>
    <row r="3932">
      <c r="A3932" s="2" t="n">
        <v>46143</v>
      </c>
      <c r="B3932" t="n">
        <v>2026</v>
      </c>
      <c r="C3932" t="inlineStr">
        <is>
          <t>May</t>
        </is>
      </c>
      <c r="D3932" t="inlineStr">
        <is>
          <t>Portable Toolset</t>
        </is>
      </c>
      <c r="E3932" t="inlineStr">
        <is>
          <t>Home &amp; Garden</t>
        </is>
      </c>
      <c r="F3932" t="inlineStr">
        <is>
          <t>Peter Muller</t>
        </is>
      </c>
      <c r="G3932" t="inlineStr">
        <is>
          <t>Poland</t>
        </is>
      </c>
      <c r="H3932" t="inlineStr">
        <is>
          <t>Web Store</t>
        </is>
      </c>
      <c r="I3932" t="n">
        <v>1</v>
      </c>
      <c r="J3932" s="3" t="n">
        <v>146.18</v>
      </c>
      <c r="K3932" s="3" t="n">
        <v>21.93</v>
      </c>
      <c r="L3932" s="3" t="n">
        <v>124.25</v>
      </c>
      <c r="M3932" s="3" t="n">
        <v>92.84999999999999</v>
      </c>
      <c r="N3932" s="3" t="n">
        <v>31.4</v>
      </c>
      <c r="O3932">
        <f>TEXT(A3932,"yyyy-mm")</f>
        <v/>
      </c>
    </row>
    <row r="3933">
      <c r="A3933" s="2" t="n">
        <v>46143</v>
      </c>
      <c r="B3933" t="n">
        <v>2026</v>
      </c>
      <c r="C3933" t="inlineStr">
        <is>
          <t>May</t>
        </is>
      </c>
      <c r="D3933" t="inlineStr">
        <is>
          <t>Wireless Honey</t>
        </is>
      </c>
      <c r="E3933" t="inlineStr">
        <is>
          <t>Grocery</t>
        </is>
      </c>
      <c r="F3933" t="inlineStr">
        <is>
          <t>Laura Wojcik</t>
        </is>
      </c>
      <c r="G3933" t="inlineStr">
        <is>
          <t>Italy</t>
        </is>
      </c>
      <c r="H3933" t="inlineStr">
        <is>
          <t>Marketplace</t>
        </is>
      </c>
      <c r="I3933" t="n">
        <v>3</v>
      </c>
      <c r="J3933" s="3" t="n">
        <v>408.57</v>
      </c>
      <c r="K3933" s="3" t="n">
        <v>0</v>
      </c>
      <c r="L3933" s="3" t="n">
        <v>408.57</v>
      </c>
      <c r="M3933" s="3" t="n">
        <v>282.21</v>
      </c>
      <c r="N3933" s="3" t="n">
        <v>126.36</v>
      </c>
      <c r="O3933">
        <f>TEXT(A3933,"yyyy-mm")</f>
        <v/>
      </c>
    </row>
    <row r="3934">
      <c r="A3934" s="2" t="n">
        <v>46143</v>
      </c>
      <c r="B3934" t="n">
        <v>2026</v>
      </c>
      <c r="C3934" t="inlineStr">
        <is>
          <t>May</t>
        </is>
      </c>
      <c r="D3934" t="inlineStr">
        <is>
          <t>Classic Sunscreen</t>
        </is>
      </c>
      <c r="E3934" t="inlineStr">
        <is>
          <t>Beauty &amp; Health</t>
        </is>
      </c>
      <c r="F3934" t="inlineStr">
        <is>
          <t>Peter Muller</t>
        </is>
      </c>
      <c r="G3934" t="inlineStr">
        <is>
          <t>Poland</t>
        </is>
      </c>
      <c r="H3934" t="inlineStr">
        <is>
          <t>Web Store</t>
        </is>
      </c>
      <c r="I3934" t="n">
        <v>5</v>
      </c>
      <c r="J3934" s="3" t="n">
        <v>712.15</v>
      </c>
      <c r="K3934" s="3" t="n">
        <v>71.22</v>
      </c>
      <c r="L3934" s="3" t="n">
        <v>640.9400000000001</v>
      </c>
      <c r="M3934" s="3" t="n">
        <v>468.45</v>
      </c>
      <c r="N3934" s="3" t="n">
        <v>172.49</v>
      </c>
      <c r="O3934">
        <f>TEXT(A3934,"yyyy-mm")</f>
        <v/>
      </c>
    </row>
    <row r="3935">
      <c r="A3935" s="2" t="n">
        <v>46143</v>
      </c>
      <c r="B3935" t="n">
        <v>2026</v>
      </c>
      <c r="C3935" t="inlineStr">
        <is>
          <t>May</t>
        </is>
      </c>
      <c r="D3935" t="inlineStr">
        <is>
          <t>Smart Sweater</t>
        </is>
      </c>
      <c r="E3935" t="inlineStr">
        <is>
          <t>Clothing</t>
        </is>
      </c>
      <c r="F3935" t="inlineStr">
        <is>
          <t>Peter Muller</t>
        </is>
      </c>
      <c r="G3935" t="inlineStr">
        <is>
          <t>Poland</t>
        </is>
      </c>
      <c r="H3935" t="inlineStr">
        <is>
          <t>Web Store</t>
        </is>
      </c>
      <c r="I3935" t="n">
        <v>5</v>
      </c>
      <c r="J3935" s="3" t="n">
        <v>724.95</v>
      </c>
      <c r="K3935" s="3" t="n">
        <v>72.5</v>
      </c>
      <c r="L3935" s="3" t="n">
        <v>652.46</v>
      </c>
      <c r="M3935" s="3" t="n">
        <v>386.75</v>
      </c>
      <c r="N3935" s="3" t="n">
        <v>265.71</v>
      </c>
      <c r="O3935">
        <f>TEXT(A3935,"yyyy-mm")</f>
        <v/>
      </c>
    </row>
    <row r="3936">
      <c r="A3936" s="2" t="n">
        <v>46143</v>
      </c>
      <c r="B3936" t="n">
        <v>2026</v>
      </c>
      <c r="C3936" t="inlineStr">
        <is>
          <t>May</t>
        </is>
      </c>
      <c r="D3936" t="inlineStr">
        <is>
          <t>Deluxe Toolset</t>
        </is>
      </c>
      <c r="E3936" t="inlineStr">
        <is>
          <t>Home &amp; Garden</t>
        </is>
      </c>
      <c r="F3936" t="inlineStr">
        <is>
          <t>Laura Wojcik</t>
        </is>
      </c>
      <c r="G3936" t="inlineStr">
        <is>
          <t>Italy</t>
        </is>
      </c>
      <c r="H3936" t="inlineStr">
        <is>
          <t>Marketplace</t>
        </is>
      </c>
      <c r="I3936" t="n">
        <v>3</v>
      </c>
      <c r="J3936" s="3" t="n">
        <v>205.71</v>
      </c>
      <c r="K3936" s="3" t="n">
        <v>30.86</v>
      </c>
      <c r="L3936" s="3" t="n">
        <v>174.85</v>
      </c>
      <c r="M3936" s="3" t="n">
        <v>143.13</v>
      </c>
      <c r="N3936" s="3" t="n">
        <v>31.72</v>
      </c>
      <c r="O3936">
        <f>TEXT(A3936,"yyyy-mm")</f>
        <v/>
      </c>
    </row>
    <row r="3937">
      <c r="A3937" s="2" t="n">
        <v>46143</v>
      </c>
      <c r="B3937" t="n">
        <v>2026</v>
      </c>
      <c r="C3937" t="inlineStr">
        <is>
          <t>May</t>
        </is>
      </c>
      <c r="D3937" t="inlineStr">
        <is>
          <t>Portable Toolset</t>
        </is>
      </c>
      <c r="E3937" t="inlineStr">
        <is>
          <t>Home &amp; Garden</t>
        </is>
      </c>
      <c r="F3937" t="inlineStr">
        <is>
          <t>Laura Wojcik</t>
        </is>
      </c>
      <c r="G3937" t="inlineStr">
        <is>
          <t>Italy</t>
        </is>
      </c>
      <c r="H3937" t="inlineStr">
        <is>
          <t>Marketplace</t>
        </is>
      </c>
      <c r="I3937" t="n">
        <v>4</v>
      </c>
      <c r="J3937" s="3" t="n">
        <v>374.2</v>
      </c>
      <c r="K3937" s="3" t="n">
        <v>0</v>
      </c>
      <c r="L3937" s="3" t="n">
        <v>374.2</v>
      </c>
      <c r="M3937" s="3" t="n">
        <v>202.16</v>
      </c>
      <c r="N3937" s="3" t="n">
        <v>172.04</v>
      </c>
      <c r="O3937">
        <f>TEXT(A3937,"yyyy-mm")</f>
        <v/>
      </c>
    </row>
    <row r="3938">
      <c r="A3938" s="2" t="n">
        <v>46144</v>
      </c>
      <c r="B3938" t="n">
        <v>2026</v>
      </c>
      <c r="C3938" t="inlineStr">
        <is>
          <t>May</t>
        </is>
      </c>
      <c r="D3938" t="inlineStr">
        <is>
          <t>Compact Jacket</t>
        </is>
      </c>
      <c r="E3938" t="inlineStr">
        <is>
          <t>Clothing</t>
        </is>
      </c>
      <c r="F3938" t="inlineStr">
        <is>
          <t>Peter Schmidt</t>
        </is>
      </c>
      <c r="G3938" t="inlineStr">
        <is>
          <t>France</t>
        </is>
      </c>
      <c r="H3938" t="inlineStr">
        <is>
          <t>Web Store</t>
        </is>
      </c>
      <c r="I3938" t="n">
        <v>2</v>
      </c>
      <c r="J3938" s="3" t="n">
        <v>73.02</v>
      </c>
      <c r="K3938" s="3" t="n">
        <v>7.3</v>
      </c>
      <c r="L3938" s="3" t="n">
        <v>65.72</v>
      </c>
      <c r="M3938" s="3" t="n">
        <v>40.8</v>
      </c>
      <c r="N3938" s="3" t="n">
        <v>24.92</v>
      </c>
      <c r="O3938">
        <f>TEXT(A3938,"yyyy-mm")</f>
        <v/>
      </c>
    </row>
    <row r="3939">
      <c r="A3939" s="2" t="n">
        <v>46144</v>
      </c>
      <c r="B3939" t="n">
        <v>2026</v>
      </c>
      <c r="C3939" t="inlineStr">
        <is>
          <t>May</t>
        </is>
      </c>
      <c r="D3939" t="inlineStr">
        <is>
          <t>Essential Pasta</t>
        </is>
      </c>
      <c r="E3939" t="inlineStr">
        <is>
          <t>Grocery</t>
        </is>
      </c>
      <c r="F3939" t="inlineStr">
        <is>
          <t>Paul Nowak</t>
        </is>
      </c>
      <c r="G3939" t="inlineStr">
        <is>
          <t>France</t>
        </is>
      </c>
      <c r="H3939" t="inlineStr">
        <is>
          <t>Mobile App</t>
        </is>
      </c>
      <c r="I3939" t="n">
        <v>1</v>
      </c>
      <c r="J3939" s="3" t="n">
        <v>57.65</v>
      </c>
      <c r="K3939" s="3" t="n">
        <v>2.88</v>
      </c>
      <c r="L3939" s="3" t="n">
        <v>54.77</v>
      </c>
      <c r="M3939" s="3" t="n">
        <v>35.81</v>
      </c>
      <c r="N3939" s="3" t="n">
        <v>18.96</v>
      </c>
      <c r="O3939">
        <f>TEXT(A3939,"yyyy-mm")</f>
        <v/>
      </c>
    </row>
    <row r="3940">
      <c r="A3940" s="2" t="n">
        <v>46144</v>
      </c>
      <c r="B3940" t="n">
        <v>2026</v>
      </c>
      <c r="C3940" t="inlineStr">
        <is>
          <t>May</t>
        </is>
      </c>
      <c r="D3940" t="inlineStr">
        <is>
          <t>Compact Sunscreen</t>
        </is>
      </c>
      <c r="E3940" t="inlineStr">
        <is>
          <t>Beauty &amp; Health</t>
        </is>
      </c>
      <c r="F3940" t="inlineStr">
        <is>
          <t>Paul Nowak</t>
        </is>
      </c>
      <c r="G3940" t="inlineStr">
        <is>
          <t>France</t>
        </is>
      </c>
      <c r="H3940" t="inlineStr">
        <is>
          <t>Mobile App</t>
        </is>
      </c>
      <c r="I3940" t="n">
        <v>2</v>
      </c>
      <c r="J3940" s="3" t="n">
        <v>612.34</v>
      </c>
      <c r="K3940" s="3" t="n">
        <v>30.62</v>
      </c>
      <c r="L3940" s="3" t="n">
        <v>581.72</v>
      </c>
      <c r="M3940" s="3" t="n">
        <v>355.32</v>
      </c>
      <c r="N3940" s="3" t="n">
        <v>226.4</v>
      </c>
      <c r="O3940">
        <f>TEXT(A3940,"yyyy-mm")</f>
        <v/>
      </c>
    </row>
    <row r="3941">
      <c r="A3941" s="2" t="n">
        <v>46144</v>
      </c>
      <c r="B3941" t="n">
        <v>2026</v>
      </c>
      <c r="C3941" t="inlineStr">
        <is>
          <t>May</t>
        </is>
      </c>
      <c r="D3941" t="inlineStr">
        <is>
          <t>Premium Water Bottle</t>
        </is>
      </c>
      <c r="E3941" t="inlineStr">
        <is>
          <t>Sports &amp; Outdoors</t>
        </is>
      </c>
      <c r="F3941" t="inlineStr">
        <is>
          <t>Peter Schmidt</t>
        </is>
      </c>
      <c r="G3941" t="inlineStr">
        <is>
          <t>France</t>
        </is>
      </c>
      <c r="H3941" t="inlineStr">
        <is>
          <t>Web Store</t>
        </is>
      </c>
      <c r="I3941" t="n">
        <v>1</v>
      </c>
      <c r="J3941" s="3" t="n">
        <v>30.83</v>
      </c>
      <c r="K3941" s="3" t="n">
        <v>6.17</v>
      </c>
      <c r="L3941" s="3" t="n">
        <v>24.66</v>
      </c>
      <c r="M3941" s="3" t="n">
        <v>16.63</v>
      </c>
      <c r="N3941" s="3" t="n">
        <v>8.029999999999999</v>
      </c>
      <c r="O3941">
        <f>TEXT(A3941,"yyyy-mm")</f>
        <v/>
      </c>
    </row>
    <row r="3942">
      <c r="A3942" s="2" t="n">
        <v>46145</v>
      </c>
      <c r="B3942" t="n">
        <v>2026</v>
      </c>
      <c r="C3942" t="inlineStr">
        <is>
          <t>May</t>
        </is>
      </c>
      <c r="D3942" t="inlineStr">
        <is>
          <t>Portable Speaker</t>
        </is>
      </c>
      <c r="E3942" t="inlineStr">
        <is>
          <t>Electronics</t>
        </is>
      </c>
      <c r="F3942" t="inlineStr">
        <is>
          <t>Emily Moreau</t>
        </is>
      </c>
      <c r="G3942" t="inlineStr">
        <is>
          <t>Germany</t>
        </is>
      </c>
      <c r="H3942" t="inlineStr">
        <is>
          <t>Marketplace</t>
        </is>
      </c>
      <c r="I3942" t="n">
        <v>2</v>
      </c>
      <c r="J3942" s="3" t="n">
        <v>690.16</v>
      </c>
      <c r="K3942" s="3" t="n">
        <v>69.02</v>
      </c>
      <c r="L3942" s="3" t="n">
        <v>621.14</v>
      </c>
      <c r="M3942" s="3" t="n">
        <v>349.66</v>
      </c>
      <c r="N3942" s="3" t="n">
        <v>271.48</v>
      </c>
      <c r="O3942">
        <f>TEXT(A3942,"yyyy-mm")</f>
        <v/>
      </c>
    </row>
    <row r="3943">
      <c r="A3943" s="2" t="n">
        <v>46145</v>
      </c>
      <c r="B3943" t="n">
        <v>2026</v>
      </c>
      <c r="C3943" t="inlineStr">
        <is>
          <t>May</t>
        </is>
      </c>
      <c r="D3943" t="inlineStr">
        <is>
          <t>Classic Tea Set</t>
        </is>
      </c>
      <c r="E3943" t="inlineStr">
        <is>
          <t>Grocery</t>
        </is>
      </c>
      <c r="F3943" t="inlineStr">
        <is>
          <t>Thomas Bianchi</t>
        </is>
      </c>
      <c r="G3943" t="inlineStr">
        <is>
          <t>Germany</t>
        </is>
      </c>
      <c r="H3943" t="inlineStr">
        <is>
          <t>Retail Store</t>
        </is>
      </c>
      <c r="I3943" t="n">
        <v>1</v>
      </c>
      <c r="J3943" s="3" t="n">
        <v>183.5</v>
      </c>
      <c r="K3943" s="3" t="n">
        <v>9.18</v>
      </c>
      <c r="L3943" s="3" t="n">
        <v>174.32</v>
      </c>
      <c r="M3943" s="3" t="n">
        <v>125.4</v>
      </c>
      <c r="N3943" s="3" t="n">
        <v>48.92</v>
      </c>
      <c r="O3943">
        <f>TEXT(A3943,"yyyy-mm")</f>
        <v/>
      </c>
    </row>
    <row r="3944">
      <c r="A3944" s="2" t="n">
        <v>46145</v>
      </c>
      <c r="B3944" t="n">
        <v>2026</v>
      </c>
      <c r="C3944" t="inlineStr">
        <is>
          <t>May</t>
        </is>
      </c>
      <c r="D3944" t="inlineStr">
        <is>
          <t>Deluxe Notebook</t>
        </is>
      </c>
      <c r="E3944" t="inlineStr">
        <is>
          <t>Books</t>
        </is>
      </c>
      <c r="F3944" t="inlineStr">
        <is>
          <t>Mark Wojcik</t>
        </is>
      </c>
      <c r="G3944" t="inlineStr">
        <is>
          <t>United States</t>
        </is>
      </c>
      <c r="H3944" t="inlineStr">
        <is>
          <t>Mobile App</t>
        </is>
      </c>
      <c r="I3944" t="n">
        <v>4</v>
      </c>
      <c r="J3944" s="3" t="n">
        <v>879.16</v>
      </c>
      <c r="K3944" s="3" t="n">
        <v>43.96</v>
      </c>
      <c r="L3944" s="3" t="n">
        <v>835.2</v>
      </c>
      <c r="M3944" s="3" t="n">
        <v>603.04</v>
      </c>
      <c r="N3944" s="3" t="n">
        <v>232.16</v>
      </c>
      <c r="O3944">
        <f>TEXT(A3944,"yyyy-mm")</f>
        <v/>
      </c>
    </row>
    <row r="3945">
      <c r="A3945" s="2" t="n">
        <v>46145</v>
      </c>
      <c r="B3945" t="n">
        <v>2026</v>
      </c>
      <c r="C3945" t="inlineStr">
        <is>
          <t>May</t>
        </is>
      </c>
      <c r="D3945" t="inlineStr">
        <is>
          <t>Smart Board Game</t>
        </is>
      </c>
      <c r="E3945" t="inlineStr">
        <is>
          <t>Toys &amp; Games</t>
        </is>
      </c>
      <c r="F3945" t="inlineStr">
        <is>
          <t>Mark Wojcik</t>
        </is>
      </c>
      <c r="G3945" t="inlineStr">
        <is>
          <t>United States</t>
        </is>
      </c>
      <c r="H3945" t="inlineStr">
        <is>
          <t>Mobile App</t>
        </is>
      </c>
      <c r="I3945" t="n">
        <v>1</v>
      </c>
      <c r="J3945" s="3" t="n">
        <v>126.22</v>
      </c>
      <c r="K3945" s="3" t="n">
        <v>0</v>
      </c>
      <c r="L3945" s="3" t="n">
        <v>126.22</v>
      </c>
      <c r="M3945" s="3" t="n">
        <v>91.72</v>
      </c>
      <c r="N3945" s="3" t="n">
        <v>34.5</v>
      </c>
      <c r="O3945">
        <f>TEXT(A3945,"yyyy-mm")</f>
        <v/>
      </c>
    </row>
    <row r="3946">
      <c r="A3946" s="2" t="n">
        <v>46145</v>
      </c>
      <c r="B3946" t="n">
        <v>2026</v>
      </c>
      <c r="C3946" t="inlineStr">
        <is>
          <t>May</t>
        </is>
      </c>
      <c r="D3946" t="inlineStr">
        <is>
          <t>Smart Honey</t>
        </is>
      </c>
      <c r="E3946" t="inlineStr">
        <is>
          <t>Grocery</t>
        </is>
      </c>
      <c r="F3946" t="inlineStr">
        <is>
          <t>Mark Wojcik</t>
        </is>
      </c>
      <c r="G3946" t="inlineStr">
        <is>
          <t>United States</t>
        </is>
      </c>
      <c r="H3946" t="inlineStr">
        <is>
          <t>Mobile App</t>
        </is>
      </c>
      <c r="I3946" t="n">
        <v>5</v>
      </c>
      <c r="J3946" s="3" t="n">
        <v>683.4</v>
      </c>
      <c r="K3946" s="3" t="n">
        <v>0</v>
      </c>
      <c r="L3946" s="3" t="n">
        <v>683.4</v>
      </c>
      <c r="M3946" s="3" t="n">
        <v>357.2</v>
      </c>
      <c r="N3946" s="3" t="n">
        <v>326.2</v>
      </c>
      <c r="O3946">
        <f>TEXT(A3946,"yyyy-mm")</f>
        <v/>
      </c>
    </row>
    <row r="3947">
      <c r="A3947" s="2" t="n">
        <v>46145</v>
      </c>
      <c r="B3947" t="n">
        <v>2026</v>
      </c>
      <c r="C3947" t="inlineStr">
        <is>
          <t>May</t>
        </is>
      </c>
      <c r="D3947" t="inlineStr">
        <is>
          <t>Smart Honey</t>
        </is>
      </c>
      <c r="E3947" t="inlineStr">
        <is>
          <t>Grocery</t>
        </is>
      </c>
      <c r="F3947" t="inlineStr">
        <is>
          <t>Emily Johnson</t>
        </is>
      </c>
      <c r="G3947" t="inlineStr">
        <is>
          <t>Italy</t>
        </is>
      </c>
      <c r="H3947" t="inlineStr">
        <is>
          <t>Mobile App</t>
        </is>
      </c>
      <c r="I3947" t="n">
        <v>4</v>
      </c>
      <c r="J3947" s="3" t="n">
        <v>551.2</v>
      </c>
      <c r="K3947" s="3" t="n">
        <v>0</v>
      </c>
      <c r="L3947" s="3" t="n">
        <v>551.2</v>
      </c>
      <c r="M3947" s="3" t="n">
        <v>285.76</v>
      </c>
      <c r="N3947" s="3" t="n">
        <v>265.44</v>
      </c>
      <c r="O3947">
        <f>TEXT(A3947,"yyyy-mm")</f>
        <v/>
      </c>
    </row>
    <row r="3948">
      <c r="A3948" s="2" t="n">
        <v>46145</v>
      </c>
      <c r="B3948" t="n">
        <v>2026</v>
      </c>
      <c r="C3948" t="inlineStr">
        <is>
          <t>May</t>
        </is>
      </c>
      <c r="D3948" t="inlineStr">
        <is>
          <t>Smart Cookbook</t>
        </is>
      </c>
      <c r="E3948" t="inlineStr">
        <is>
          <t>Books</t>
        </is>
      </c>
      <c r="F3948" t="inlineStr">
        <is>
          <t>Emily Johnson</t>
        </is>
      </c>
      <c r="G3948" t="inlineStr">
        <is>
          <t>Italy</t>
        </is>
      </c>
      <c r="H3948" t="inlineStr">
        <is>
          <t>Mobile App</t>
        </is>
      </c>
      <c r="I3948" t="n">
        <v>4</v>
      </c>
      <c r="J3948" s="3" t="n">
        <v>72.40000000000001</v>
      </c>
      <c r="K3948" s="3" t="n">
        <v>14.48</v>
      </c>
      <c r="L3948" s="3" t="n">
        <v>57.92</v>
      </c>
      <c r="M3948" s="3" t="n">
        <v>39.52</v>
      </c>
      <c r="N3948" s="3" t="n">
        <v>18.4</v>
      </c>
      <c r="O3948">
        <f>TEXT(A3948,"yyyy-mm")</f>
        <v/>
      </c>
    </row>
    <row r="3949">
      <c r="A3949" s="2" t="n">
        <v>46145</v>
      </c>
      <c r="B3949" t="n">
        <v>2026</v>
      </c>
      <c r="C3949" t="inlineStr">
        <is>
          <t>May</t>
        </is>
      </c>
      <c r="D3949" t="inlineStr">
        <is>
          <t>Smart Jeans</t>
        </is>
      </c>
      <c r="E3949" t="inlineStr">
        <is>
          <t>Clothing</t>
        </is>
      </c>
      <c r="F3949" t="inlineStr">
        <is>
          <t>Emily Johnson</t>
        </is>
      </c>
      <c r="G3949" t="inlineStr">
        <is>
          <t>Italy</t>
        </is>
      </c>
      <c r="H3949" t="inlineStr">
        <is>
          <t>Mobile App</t>
        </is>
      </c>
      <c r="I3949" t="n">
        <v>5</v>
      </c>
      <c r="J3949" s="3" t="n">
        <v>1379.5</v>
      </c>
      <c r="K3949" s="3" t="n">
        <v>206.92</v>
      </c>
      <c r="L3949" s="3" t="n">
        <v>1172.58</v>
      </c>
      <c r="M3949" s="3" t="n">
        <v>968.2</v>
      </c>
      <c r="N3949" s="3" t="n">
        <v>204.38</v>
      </c>
      <c r="O3949">
        <f>TEXT(A3949,"yyyy-mm")</f>
        <v/>
      </c>
    </row>
    <row r="3950">
      <c r="A3950" s="2" t="n">
        <v>46145</v>
      </c>
      <c r="B3950" t="n">
        <v>2026</v>
      </c>
      <c r="C3950" t="inlineStr">
        <is>
          <t>May</t>
        </is>
      </c>
      <c r="D3950" t="inlineStr">
        <is>
          <t>Smart Sweater</t>
        </is>
      </c>
      <c r="E3950" t="inlineStr">
        <is>
          <t>Clothing</t>
        </is>
      </c>
      <c r="F3950" t="inlineStr">
        <is>
          <t>Emily Johnson</t>
        </is>
      </c>
      <c r="G3950" t="inlineStr">
        <is>
          <t>Italy</t>
        </is>
      </c>
      <c r="H3950" t="inlineStr">
        <is>
          <t>Mobile App</t>
        </is>
      </c>
      <c r="I3950" t="n">
        <v>4</v>
      </c>
      <c r="J3950" s="3" t="n">
        <v>606.48</v>
      </c>
      <c r="K3950" s="3" t="n">
        <v>30.32</v>
      </c>
      <c r="L3950" s="3" t="n">
        <v>576.16</v>
      </c>
      <c r="M3950" s="3" t="n">
        <v>309.4</v>
      </c>
      <c r="N3950" s="3" t="n">
        <v>266.76</v>
      </c>
      <c r="O3950">
        <f>TEXT(A3950,"yyyy-mm")</f>
        <v/>
      </c>
    </row>
    <row r="3951">
      <c r="A3951" s="2" t="n">
        <v>46146</v>
      </c>
      <c r="B3951" t="n">
        <v>2026</v>
      </c>
      <c r="C3951" t="inlineStr">
        <is>
          <t>May</t>
        </is>
      </c>
      <c r="D3951" t="inlineStr">
        <is>
          <t>Classic Atlas</t>
        </is>
      </c>
      <c r="E3951" t="inlineStr">
        <is>
          <t>Books</t>
        </is>
      </c>
      <c r="F3951" t="inlineStr">
        <is>
          <t>Michael Moreau</t>
        </is>
      </c>
      <c r="G3951" t="inlineStr">
        <is>
          <t>Poland</t>
        </is>
      </c>
      <c r="H3951" t="inlineStr">
        <is>
          <t>Web Store</t>
        </is>
      </c>
      <c r="I3951" t="n">
        <v>4</v>
      </c>
      <c r="J3951" s="3" t="n">
        <v>257.84</v>
      </c>
      <c r="K3951" s="3" t="n">
        <v>38.68</v>
      </c>
      <c r="L3951" s="3" t="n">
        <v>219.16</v>
      </c>
      <c r="M3951" s="3" t="n">
        <v>138.36</v>
      </c>
      <c r="N3951" s="3" t="n">
        <v>80.8</v>
      </c>
      <c r="O3951">
        <f>TEXT(A3951,"yyyy-mm")</f>
        <v/>
      </c>
    </row>
    <row r="3952">
      <c r="A3952" s="2" t="n">
        <v>46146</v>
      </c>
      <c r="B3952" t="n">
        <v>2026</v>
      </c>
      <c r="C3952" t="inlineStr">
        <is>
          <t>May</t>
        </is>
      </c>
      <c r="D3952" t="inlineStr">
        <is>
          <t>Wireless Coffee Beans</t>
        </is>
      </c>
      <c r="E3952" t="inlineStr">
        <is>
          <t>Grocery</t>
        </is>
      </c>
      <c r="F3952" t="inlineStr">
        <is>
          <t>Michael Moreau</t>
        </is>
      </c>
      <c r="G3952" t="inlineStr">
        <is>
          <t>Poland</t>
        </is>
      </c>
      <c r="H3952" t="inlineStr">
        <is>
          <t>Web Store</t>
        </is>
      </c>
      <c r="I3952" t="n">
        <v>2</v>
      </c>
      <c r="J3952" s="3" t="n">
        <v>423.48</v>
      </c>
      <c r="K3952" s="3" t="n">
        <v>0</v>
      </c>
      <c r="L3952" s="3" t="n">
        <v>423.48</v>
      </c>
      <c r="M3952" s="3" t="n">
        <v>260.26</v>
      </c>
      <c r="N3952" s="3" t="n">
        <v>163.22</v>
      </c>
      <c r="O3952">
        <f>TEXT(A3952,"yyyy-mm")</f>
        <v/>
      </c>
    </row>
    <row r="3953">
      <c r="A3953" s="2" t="n">
        <v>46146</v>
      </c>
      <c r="B3953" t="n">
        <v>2026</v>
      </c>
      <c r="C3953" t="inlineStr">
        <is>
          <t>May</t>
        </is>
      </c>
      <c r="D3953" t="inlineStr">
        <is>
          <t>Classic Sunscreen</t>
        </is>
      </c>
      <c r="E3953" t="inlineStr">
        <is>
          <t>Beauty &amp; Health</t>
        </is>
      </c>
      <c r="F3953" t="inlineStr">
        <is>
          <t>Julia Zielinski</t>
        </is>
      </c>
      <c r="G3953" t="inlineStr">
        <is>
          <t>Netherlands</t>
        </is>
      </c>
      <c r="H3953" t="inlineStr">
        <is>
          <t>Marketplace</t>
        </is>
      </c>
      <c r="I3953" t="n">
        <v>3</v>
      </c>
      <c r="J3953" s="3" t="n">
        <v>399.57</v>
      </c>
      <c r="K3953" s="3" t="n">
        <v>0</v>
      </c>
      <c r="L3953" s="3" t="n">
        <v>399.57</v>
      </c>
      <c r="M3953" s="3" t="n">
        <v>281.07</v>
      </c>
      <c r="N3953" s="3" t="n">
        <v>118.5</v>
      </c>
      <c r="O3953">
        <f>TEXT(A3953,"yyyy-mm")</f>
        <v/>
      </c>
    </row>
    <row r="3954">
      <c r="A3954" s="2" t="n">
        <v>46146</v>
      </c>
      <c r="B3954" t="n">
        <v>2026</v>
      </c>
      <c r="C3954" t="inlineStr">
        <is>
          <t>May</t>
        </is>
      </c>
      <c r="D3954" t="inlineStr">
        <is>
          <t>Essential Vitamins</t>
        </is>
      </c>
      <c r="E3954" t="inlineStr">
        <is>
          <t>Beauty &amp; Health</t>
        </is>
      </c>
      <c r="F3954" t="inlineStr">
        <is>
          <t>Mark Brown</t>
        </is>
      </c>
      <c r="G3954" t="inlineStr">
        <is>
          <t>Spain</t>
        </is>
      </c>
      <c r="H3954" t="inlineStr">
        <is>
          <t>Web Store</t>
        </is>
      </c>
      <c r="I3954" t="n">
        <v>3</v>
      </c>
      <c r="J3954" s="3" t="n">
        <v>508.77</v>
      </c>
      <c r="K3954" s="3" t="n">
        <v>0</v>
      </c>
      <c r="L3954" s="3" t="n">
        <v>508.77</v>
      </c>
      <c r="M3954" s="3" t="n">
        <v>330.9</v>
      </c>
      <c r="N3954" s="3" t="n">
        <v>177.87</v>
      </c>
      <c r="O3954">
        <f>TEXT(A3954,"yyyy-mm")</f>
        <v/>
      </c>
    </row>
    <row r="3955">
      <c r="A3955" s="2" t="n">
        <v>46146</v>
      </c>
      <c r="B3955" t="n">
        <v>2026</v>
      </c>
      <c r="C3955" t="inlineStr">
        <is>
          <t>May</t>
        </is>
      </c>
      <c r="D3955" t="inlineStr">
        <is>
          <t>Deluxe Toothbrush</t>
        </is>
      </c>
      <c r="E3955" t="inlineStr">
        <is>
          <t>Beauty &amp; Health</t>
        </is>
      </c>
      <c r="F3955" t="inlineStr">
        <is>
          <t>Sophie Conti</t>
        </is>
      </c>
      <c r="G3955" t="inlineStr">
        <is>
          <t>Netherlands</t>
        </is>
      </c>
      <c r="H3955" t="inlineStr">
        <is>
          <t>Retail Store</t>
        </is>
      </c>
      <c r="I3955" t="n">
        <v>3</v>
      </c>
      <c r="J3955" s="3" t="n">
        <v>1033.47</v>
      </c>
      <c r="K3955" s="3" t="n">
        <v>51.67</v>
      </c>
      <c r="L3955" s="3" t="n">
        <v>981.8</v>
      </c>
      <c r="M3955" s="3" t="n">
        <v>523.71</v>
      </c>
      <c r="N3955" s="3" t="n">
        <v>458.09</v>
      </c>
      <c r="O3955">
        <f>TEXT(A3955,"yyyy-mm")</f>
        <v/>
      </c>
    </row>
    <row r="3956">
      <c r="A3956" s="2" t="n">
        <v>46146</v>
      </c>
      <c r="B3956" t="n">
        <v>2026</v>
      </c>
      <c r="C3956" t="inlineStr">
        <is>
          <t>May</t>
        </is>
      </c>
      <c r="D3956" t="inlineStr">
        <is>
          <t>Smart Tea Set</t>
        </is>
      </c>
      <c r="E3956" t="inlineStr">
        <is>
          <t>Grocery</t>
        </is>
      </c>
      <c r="F3956" t="inlineStr">
        <is>
          <t>Julia Zielinski</t>
        </is>
      </c>
      <c r="G3956" t="inlineStr">
        <is>
          <t>Netherlands</t>
        </is>
      </c>
      <c r="H3956" t="inlineStr">
        <is>
          <t>Marketplace</t>
        </is>
      </c>
      <c r="I3956" t="n">
        <v>1</v>
      </c>
      <c r="J3956" s="3" t="n">
        <v>85.73</v>
      </c>
      <c r="K3956" s="3" t="n">
        <v>0</v>
      </c>
      <c r="L3956" s="3" t="n">
        <v>85.73</v>
      </c>
      <c r="M3956" s="3" t="n">
        <v>61.8</v>
      </c>
      <c r="N3956" s="3" t="n">
        <v>23.93</v>
      </c>
      <c r="O3956">
        <f>TEXT(A3956,"yyyy-mm")</f>
        <v/>
      </c>
    </row>
    <row r="3957">
      <c r="A3957" s="2" t="n">
        <v>46146</v>
      </c>
      <c r="B3957" t="n">
        <v>2026</v>
      </c>
      <c r="C3957" t="inlineStr">
        <is>
          <t>May</t>
        </is>
      </c>
      <c r="D3957" t="inlineStr">
        <is>
          <t>Portable Toolset</t>
        </is>
      </c>
      <c r="E3957" t="inlineStr">
        <is>
          <t>Home &amp; Garden</t>
        </is>
      </c>
      <c r="F3957" t="inlineStr">
        <is>
          <t>Julia Zielinski</t>
        </is>
      </c>
      <c r="G3957" t="inlineStr">
        <is>
          <t>Netherlands</t>
        </is>
      </c>
      <c r="H3957" t="inlineStr">
        <is>
          <t>Marketplace</t>
        </is>
      </c>
      <c r="I3957" t="n">
        <v>5</v>
      </c>
      <c r="J3957" s="3" t="n">
        <v>437.05</v>
      </c>
      <c r="K3957" s="3" t="n">
        <v>87.41</v>
      </c>
      <c r="L3957" s="3" t="n">
        <v>349.64</v>
      </c>
      <c r="M3957" s="3" t="n">
        <v>252.7</v>
      </c>
      <c r="N3957" s="3" t="n">
        <v>96.94</v>
      </c>
      <c r="O3957">
        <f>TEXT(A3957,"yyyy-mm")</f>
        <v/>
      </c>
    </row>
    <row r="3958">
      <c r="A3958" s="2" t="n">
        <v>46146</v>
      </c>
      <c r="B3958" t="n">
        <v>2026</v>
      </c>
      <c r="C3958" t="inlineStr">
        <is>
          <t>May</t>
        </is>
      </c>
      <c r="D3958" t="inlineStr">
        <is>
          <t>Classic Yoga Mat</t>
        </is>
      </c>
      <c r="E3958" t="inlineStr">
        <is>
          <t>Sports &amp; Outdoors</t>
        </is>
      </c>
      <c r="F3958" t="inlineStr">
        <is>
          <t>Michael Moreau</t>
        </is>
      </c>
      <c r="G3958" t="inlineStr">
        <is>
          <t>Poland</t>
        </is>
      </c>
      <c r="H3958" t="inlineStr">
        <is>
          <t>Web Store</t>
        </is>
      </c>
      <c r="I3958" t="n">
        <v>2</v>
      </c>
      <c r="J3958" s="3" t="n">
        <v>684</v>
      </c>
      <c r="K3958" s="3" t="n">
        <v>136.8</v>
      </c>
      <c r="L3958" s="3" t="n">
        <v>547.2</v>
      </c>
      <c r="M3958" s="3" t="n">
        <v>391.4</v>
      </c>
      <c r="N3958" s="3" t="n">
        <v>155.8</v>
      </c>
      <c r="O3958">
        <f>TEXT(A3958,"yyyy-mm")</f>
        <v/>
      </c>
    </row>
    <row r="3959">
      <c r="A3959" s="2" t="n">
        <v>46146</v>
      </c>
      <c r="B3959" t="n">
        <v>2026</v>
      </c>
      <c r="C3959" t="inlineStr">
        <is>
          <t>May</t>
        </is>
      </c>
      <c r="D3959" t="inlineStr">
        <is>
          <t>Compact Pasta</t>
        </is>
      </c>
      <c r="E3959" t="inlineStr">
        <is>
          <t>Grocery</t>
        </is>
      </c>
      <c r="F3959" t="inlineStr">
        <is>
          <t>Michael Moreau</t>
        </is>
      </c>
      <c r="G3959" t="inlineStr">
        <is>
          <t>Poland</t>
        </is>
      </c>
      <c r="H3959" t="inlineStr">
        <is>
          <t>Web Store</t>
        </is>
      </c>
      <c r="I3959" t="n">
        <v>2</v>
      </c>
      <c r="J3959" s="3" t="n">
        <v>619.26</v>
      </c>
      <c r="K3959" s="3" t="n">
        <v>61.93</v>
      </c>
      <c r="L3959" s="3" t="n">
        <v>557.33</v>
      </c>
      <c r="M3959" s="3" t="n">
        <v>398.8</v>
      </c>
      <c r="N3959" s="3" t="n">
        <v>158.53</v>
      </c>
      <c r="O3959">
        <f>TEXT(A3959,"yyyy-mm")</f>
        <v/>
      </c>
    </row>
    <row r="3960">
      <c r="A3960" s="2" t="n">
        <v>46146</v>
      </c>
      <c r="B3960" t="n">
        <v>2026</v>
      </c>
      <c r="C3960" t="inlineStr">
        <is>
          <t>May</t>
        </is>
      </c>
      <c r="D3960" t="inlineStr">
        <is>
          <t>Compact Pasta</t>
        </is>
      </c>
      <c r="E3960" t="inlineStr">
        <is>
          <t>Grocery</t>
        </is>
      </c>
      <c r="F3960" t="inlineStr">
        <is>
          <t>Mark Brown</t>
        </is>
      </c>
      <c r="G3960" t="inlineStr">
        <is>
          <t>Spain</t>
        </is>
      </c>
      <c r="H3960" t="inlineStr">
        <is>
          <t>Web Store</t>
        </is>
      </c>
      <c r="I3960" t="n">
        <v>4</v>
      </c>
      <c r="J3960" s="3" t="n">
        <v>1251.68</v>
      </c>
      <c r="K3960" s="3" t="n">
        <v>62.58</v>
      </c>
      <c r="L3960" s="3" t="n">
        <v>1189.1</v>
      </c>
      <c r="M3960" s="3" t="n">
        <v>797.6</v>
      </c>
      <c r="N3960" s="3" t="n">
        <v>391.5</v>
      </c>
      <c r="O3960">
        <f>TEXT(A3960,"yyyy-mm")</f>
        <v/>
      </c>
    </row>
    <row r="3961">
      <c r="A3961" s="2" t="n">
        <v>46147</v>
      </c>
      <c r="B3961" t="n">
        <v>2026</v>
      </c>
      <c r="C3961" t="inlineStr">
        <is>
          <t>May</t>
        </is>
      </c>
      <c r="D3961" t="inlineStr">
        <is>
          <t>Portable Toolset</t>
        </is>
      </c>
      <c r="E3961" t="inlineStr">
        <is>
          <t>Home &amp; Garden</t>
        </is>
      </c>
      <c r="F3961" t="inlineStr">
        <is>
          <t>Michael Smith</t>
        </is>
      </c>
      <c r="G3961" t="inlineStr">
        <is>
          <t>Spain</t>
        </is>
      </c>
      <c r="H3961" t="inlineStr">
        <is>
          <t>Marketplace</t>
        </is>
      </c>
      <c r="I3961" t="n">
        <v>2</v>
      </c>
      <c r="J3961" s="3" t="n">
        <v>187.14</v>
      </c>
      <c r="K3961" s="3" t="n">
        <v>18.71</v>
      </c>
      <c r="L3961" s="3" t="n">
        <v>168.43</v>
      </c>
      <c r="M3961" s="3" t="n">
        <v>101.08</v>
      </c>
      <c r="N3961" s="3" t="n">
        <v>67.34999999999999</v>
      </c>
      <c r="O3961">
        <f>TEXT(A3961,"yyyy-mm")</f>
        <v/>
      </c>
    </row>
    <row r="3962">
      <c r="A3962" s="2" t="n">
        <v>46147</v>
      </c>
      <c r="B3962" t="n">
        <v>2026</v>
      </c>
      <c r="C3962" t="inlineStr">
        <is>
          <t>May</t>
        </is>
      </c>
      <c r="D3962" t="inlineStr">
        <is>
          <t>Classic Yoga Mat</t>
        </is>
      </c>
      <c r="E3962" t="inlineStr">
        <is>
          <t>Sports &amp; Outdoors</t>
        </is>
      </c>
      <c r="F3962" t="inlineStr">
        <is>
          <t>Olivia Wojcik</t>
        </is>
      </c>
      <c r="G3962" t="inlineStr">
        <is>
          <t>France</t>
        </is>
      </c>
      <c r="H3962" t="inlineStr">
        <is>
          <t>Web Store</t>
        </is>
      </c>
      <c r="I3962" t="n">
        <v>2</v>
      </c>
      <c r="J3962" s="3" t="n">
        <v>675.46</v>
      </c>
      <c r="K3962" s="3" t="n">
        <v>101.32</v>
      </c>
      <c r="L3962" s="3" t="n">
        <v>574.14</v>
      </c>
      <c r="M3962" s="3" t="n">
        <v>391.4</v>
      </c>
      <c r="N3962" s="3" t="n">
        <v>182.74</v>
      </c>
      <c r="O3962">
        <f>TEXT(A3962,"yyyy-mm")</f>
        <v/>
      </c>
    </row>
    <row r="3963">
      <c r="A3963" s="2" t="n">
        <v>46147</v>
      </c>
      <c r="B3963" t="n">
        <v>2026</v>
      </c>
      <c r="C3963" t="inlineStr">
        <is>
          <t>May</t>
        </is>
      </c>
      <c r="D3963" t="inlineStr">
        <is>
          <t>Eco Backpack</t>
        </is>
      </c>
      <c r="E3963" t="inlineStr">
        <is>
          <t>Sports &amp; Outdoors</t>
        </is>
      </c>
      <c r="F3963" t="inlineStr">
        <is>
          <t>Olivia Wojcik</t>
        </is>
      </c>
      <c r="G3963" t="inlineStr">
        <is>
          <t>France</t>
        </is>
      </c>
      <c r="H3963" t="inlineStr">
        <is>
          <t>Web Store</t>
        </is>
      </c>
      <c r="I3963" t="n">
        <v>3</v>
      </c>
      <c r="J3963" s="3" t="n">
        <v>785.61</v>
      </c>
      <c r="K3963" s="3" t="n">
        <v>0</v>
      </c>
      <c r="L3963" s="3" t="n">
        <v>785.61</v>
      </c>
      <c r="M3963" s="3" t="n">
        <v>439.74</v>
      </c>
      <c r="N3963" s="3" t="n">
        <v>345.87</v>
      </c>
      <c r="O3963">
        <f>TEXT(A3963,"yyyy-mm")</f>
        <v/>
      </c>
    </row>
    <row r="3964">
      <c r="A3964" s="2" t="n">
        <v>46147</v>
      </c>
      <c r="B3964" t="n">
        <v>2026</v>
      </c>
      <c r="C3964" t="inlineStr">
        <is>
          <t>May</t>
        </is>
      </c>
      <c r="D3964" t="inlineStr">
        <is>
          <t>Premium Tent</t>
        </is>
      </c>
      <c r="E3964" t="inlineStr">
        <is>
          <t>Sports &amp; Outdoors</t>
        </is>
      </c>
      <c r="F3964" t="inlineStr">
        <is>
          <t>Olivia Wojcik</t>
        </is>
      </c>
      <c r="G3964" t="inlineStr">
        <is>
          <t>France</t>
        </is>
      </c>
      <c r="H3964" t="inlineStr">
        <is>
          <t>Web Store</t>
        </is>
      </c>
      <c r="I3964" t="n">
        <v>4</v>
      </c>
      <c r="J3964" s="3" t="n">
        <v>1018.6</v>
      </c>
      <c r="K3964" s="3" t="n">
        <v>50.93</v>
      </c>
      <c r="L3964" s="3" t="n">
        <v>967.67</v>
      </c>
      <c r="M3964" s="3" t="n">
        <v>661.24</v>
      </c>
      <c r="N3964" s="3" t="n">
        <v>306.43</v>
      </c>
      <c r="O3964">
        <f>TEXT(A3964,"yyyy-mm")</f>
        <v/>
      </c>
    </row>
    <row r="3965">
      <c r="A3965" s="2" t="n">
        <v>46147</v>
      </c>
      <c r="B3965" t="n">
        <v>2026</v>
      </c>
      <c r="C3965" t="inlineStr">
        <is>
          <t>May</t>
        </is>
      </c>
      <c r="D3965" t="inlineStr">
        <is>
          <t>Eco Biography</t>
        </is>
      </c>
      <c r="E3965" t="inlineStr">
        <is>
          <t>Books</t>
        </is>
      </c>
      <c r="F3965" t="inlineStr">
        <is>
          <t>Olivia Wojcik</t>
        </is>
      </c>
      <c r="G3965" t="inlineStr">
        <is>
          <t>France</t>
        </is>
      </c>
      <c r="H3965" t="inlineStr">
        <is>
          <t>Web Store</t>
        </is>
      </c>
      <c r="I3965" t="n">
        <v>4</v>
      </c>
      <c r="J3965" s="3" t="n">
        <v>497.64</v>
      </c>
      <c r="K3965" s="3" t="n">
        <v>0</v>
      </c>
      <c r="L3965" s="3" t="n">
        <v>497.64</v>
      </c>
      <c r="M3965" s="3" t="n">
        <v>284.08</v>
      </c>
      <c r="N3965" s="3" t="n">
        <v>213.56</v>
      </c>
      <c r="O3965">
        <f>TEXT(A3965,"yyyy-mm")</f>
        <v/>
      </c>
    </row>
    <row r="3966">
      <c r="A3966" s="2" t="n">
        <v>46147</v>
      </c>
      <c r="B3966" t="n">
        <v>2026</v>
      </c>
      <c r="C3966" t="inlineStr">
        <is>
          <t>May</t>
        </is>
      </c>
      <c r="D3966" t="inlineStr">
        <is>
          <t>Classic Charger</t>
        </is>
      </c>
      <c r="E3966" t="inlineStr">
        <is>
          <t>Electronics</t>
        </is>
      </c>
      <c r="F3966" t="inlineStr">
        <is>
          <t>Julia Johnson</t>
        </is>
      </c>
      <c r="G3966" t="inlineStr">
        <is>
          <t>Spain</t>
        </is>
      </c>
      <c r="H3966" t="inlineStr">
        <is>
          <t>Marketplace</t>
        </is>
      </c>
      <c r="I3966" t="n">
        <v>3</v>
      </c>
      <c r="J3966" s="3" t="n">
        <v>293.73</v>
      </c>
      <c r="K3966" s="3" t="n">
        <v>0</v>
      </c>
      <c r="L3966" s="3" t="n">
        <v>293.73</v>
      </c>
      <c r="M3966" s="3" t="n">
        <v>186.63</v>
      </c>
      <c r="N3966" s="3" t="n">
        <v>107.1</v>
      </c>
      <c r="O3966">
        <f>TEXT(A3966,"yyyy-mm")</f>
        <v/>
      </c>
    </row>
    <row r="3967">
      <c r="A3967" s="2" t="n">
        <v>46147</v>
      </c>
      <c r="B3967" t="n">
        <v>2026</v>
      </c>
      <c r="C3967" t="inlineStr">
        <is>
          <t>May</t>
        </is>
      </c>
      <c r="D3967" t="inlineStr">
        <is>
          <t>Deluxe Cookbook</t>
        </is>
      </c>
      <c r="E3967" t="inlineStr">
        <is>
          <t>Books</t>
        </is>
      </c>
      <c r="F3967" t="inlineStr">
        <is>
          <t>Julia Johnson</t>
        </is>
      </c>
      <c r="G3967" t="inlineStr">
        <is>
          <t>Spain</t>
        </is>
      </c>
      <c r="H3967" t="inlineStr">
        <is>
          <t>Marketplace</t>
        </is>
      </c>
      <c r="I3967" t="n">
        <v>5</v>
      </c>
      <c r="J3967" s="3" t="n">
        <v>648.25</v>
      </c>
      <c r="K3967" s="3" t="n">
        <v>0</v>
      </c>
      <c r="L3967" s="3" t="n">
        <v>648.25</v>
      </c>
      <c r="M3967" s="3" t="n">
        <v>426.35</v>
      </c>
      <c r="N3967" s="3" t="n">
        <v>221.9</v>
      </c>
      <c r="O3967">
        <f>TEXT(A3967,"yyyy-mm")</f>
        <v/>
      </c>
    </row>
    <row r="3968">
      <c r="A3968" s="2" t="n">
        <v>46147</v>
      </c>
      <c r="B3968" t="n">
        <v>2026</v>
      </c>
      <c r="C3968" t="inlineStr">
        <is>
          <t>May</t>
        </is>
      </c>
      <c r="D3968" t="inlineStr">
        <is>
          <t>Smart Sweater</t>
        </is>
      </c>
      <c r="E3968" t="inlineStr">
        <is>
          <t>Clothing</t>
        </is>
      </c>
      <c r="F3968" t="inlineStr">
        <is>
          <t>Julia Johnson</t>
        </is>
      </c>
      <c r="G3968" t="inlineStr">
        <is>
          <t>Spain</t>
        </is>
      </c>
      <c r="H3968" t="inlineStr">
        <is>
          <t>Marketplace</t>
        </is>
      </c>
      <c r="I3968" t="n">
        <v>1</v>
      </c>
      <c r="J3968" s="3" t="n">
        <v>144.95</v>
      </c>
      <c r="K3968" s="3" t="n">
        <v>21.74</v>
      </c>
      <c r="L3968" s="3" t="n">
        <v>123.21</v>
      </c>
      <c r="M3968" s="3" t="n">
        <v>77.34999999999999</v>
      </c>
      <c r="N3968" s="3" t="n">
        <v>45.86</v>
      </c>
      <c r="O3968">
        <f>TEXT(A3968,"yyyy-mm")</f>
        <v/>
      </c>
    </row>
    <row r="3969">
      <c r="A3969" s="2" t="n">
        <v>46148</v>
      </c>
      <c r="B3969" t="n">
        <v>2026</v>
      </c>
      <c r="C3969" t="inlineStr">
        <is>
          <t>May</t>
        </is>
      </c>
      <c r="D3969" t="inlineStr">
        <is>
          <t>Smart Coffee Beans</t>
        </is>
      </c>
      <c r="E3969" t="inlineStr">
        <is>
          <t>Grocery</t>
        </is>
      </c>
      <c r="F3969" t="inlineStr">
        <is>
          <t>Michael Weber</t>
        </is>
      </c>
      <c r="G3969" t="inlineStr">
        <is>
          <t>France</t>
        </is>
      </c>
      <c r="H3969" t="inlineStr">
        <is>
          <t>Web Store</t>
        </is>
      </c>
      <c r="I3969" t="n">
        <v>4</v>
      </c>
      <c r="J3969" s="3" t="n">
        <v>428.2</v>
      </c>
      <c r="K3969" s="3" t="n">
        <v>0</v>
      </c>
      <c r="L3969" s="3" t="n">
        <v>428.2</v>
      </c>
      <c r="M3969" s="3" t="n">
        <v>291.4</v>
      </c>
      <c r="N3969" s="3" t="n">
        <v>136.8</v>
      </c>
      <c r="O3969">
        <f>TEXT(A3969,"yyyy-mm")</f>
        <v/>
      </c>
    </row>
    <row r="3970">
      <c r="A3970" s="2" t="n">
        <v>46148</v>
      </c>
      <c r="B3970" t="n">
        <v>2026</v>
      </c>
      <c r="C3970" t="inlineStr">
        <is>
          <t>May</t>
        </is>
      </c>
      <c r="D3970" t="inlineStr">
        <is>
          <t>Wireless Coffee Beans</t>
        </is>
      </c>
      <c r="E3970" t="inlineStr">
        <is>
          <t>Grocery</t>
        </is>
      </c>
      <c r="F3970" t="inlineStr">
        <is>
          <t>Michael Weber</t>
        </is>
      </c>
      <c r="G3970" t="inlineStr">
        <is>
          <t>France</t>
        </is>
      </c>
      <c r="H3970" t="inlineStr">
        <is>
          <t>Web Store</t>
        </is>
      </c>
      <c r="I3970" t="n">
        <v>2</v>
      </c>
      <c r="J3970" s="3" t="n">
        <v>246.46</v>
      </c>
      <c r="K3970" s="3" t="n">
        <v>24.65</v>
      </c>
      <c r="L3970" s="3" t="n">
        <v>221.81</v>
      </c>
      <c r="M3970" s="3" t="n">
        <v>158.74</v>
      </c>
      <c r="N3970" s="3" t="n">
        <v>63.07</v>
      </c>
      <c r="O3970">
        <f>TEXT(A3970,"yyyy-mm")</f>
        <v/>
      </c>
    </row>
    <row r="3971">
      <c r="A3971" s="2" t="n">
        <v>46148</v>
      </c>
      <c r="B3971" t="n">
        <v>2026</v>
      </c>
      <c r="C3971" t="inlineStr">
        <is>
          <t>May</t>
        </is>
      </c>
      <c r="D3971" t="inlineStr">
        <is>
          <t>Smart Camera</t>
        </is>
      </c>
      <c r="E3971" t="inlineStr">
        <is>
          <t>Electronics</t>
        </is>
      </c>
      <c r="F3971" t="inlineStr">
        <is>
          <t>David Bianchi</t>
        </is>
      </c>
      <c r="G3971" t="inlineStr">
        <is>
          <t>Netherlands</t>
        </is>
      </c>
      <c r="H3971" t="inlineStr">
        <is>
          <t>Mobile App</t>
        </is>
      </c>
      <c r="I3971" t="n">
        <v>4</v>
      </c>
      <c r="J3971" s="3" t="n">
        <v>462.48</v>
      </c>
      <c r="K3971" s="3" t="n">
        <v>23.12</v>
      </c>
      <c r="L3971" s="3" t="n">
        <v>439.36</v>
      </c>
      <c r="M3971" s="3" t="n">
        <v>342.32</v>
      </c>
      <c r="N3971" s="3" t="n">
        <v>97.04000000000001</v>
      </c>
      <c r="O3971">
        <f>TEXT(A3971,"yyyy-mm")</f>
        <v/>
      </c>
    </row>
    <row r="3972">
      <c r="A3972" s="2" t="n">
        <v>46148</v>
      </c>
      <c r="B3972" t="n">
        <v>2026</v>
      </c>
      <c r="C3972" t="inlineStr">
        <is>
          <t>May</t>
        </is>
      </c>
      <c r="D3972" t="inlineStr">
        <is>
          <t>Ultra Rug</t>
        </is>
      </c>
      <c r="E3972" t="inlineStr">
        <is>
          <t>Home &amp; Garden</t>
        </is>
      </c>
      <c r="F3972" t="inlineStr">
        <is>
          <t>David Bianchi</t>
        </is>
      </c>
      <c r="G3972" t="inlineStr">
        <is>
          <t>Netherlands</t>
        </is>
      </c>
      <c r="H3972" t="inlineStr">
        <is>
          <t>Mobile App</t>
        </is>
      </c>
      <c r="I3972" t="n">
        <v>3</v>
      </c>
      <c r="J3972" s="3" t="n">
        <v>156.87</v>
      </c>
      <c r="K3972" s="3" t="n">
        <v>7.84</v>
      </c>
      <c r="L3972" s="3" t="n">
        <v>149.03</v>
      </c>
      <c r="M3972" s="3" t="n">
        <v>98.73</v>
      </c>
      <c r="N3972" s="3" t="n">
        <v>50.3</v>
      </c>
      <c r="O3972">
        <f>TEXT(A3972,"yyyy-mm")</f>
        <v/>
      </c>
    </row>
    <row r="3973">
      <c r="A3973" s="2" t="n">
        <v>46148</v>
      </c>
      <c r="B3973" t="n">
        <v>2026</v>
      </c>
      <c r="C3973" t="inlineStr">
        <is>
          <t>May</t>
        </is>
      </c>
      <c r="D3973" t="inlineStr">
        <is>
          <t>Premium Water Bottle</t>
        </is>
      </c>
      <c r="E3973" t="inlineStr">
        <is>
          <t>Sports &amp; Outdoors</t>
        </is>
      </c>
      <c r="F3973" t="inlineStr">
        <is>
          <t>David Bianchi</t>
        </is>
      </c>
      <c r="G3973" t="inlineStr">
        <is>
          <t>Netherlands</t>
        </is>
      </c>
      <c r="H3973" t="inlineStr">
        <is>
          <t>Mobile App</t>
        </is>
      </c>
      <c r="I3973" t="n">
        <v>3</v>
      </c>
      <c r="J3973" s="3" t="n">
        <v>350.58</v>
      </c>
      <c r="K3973" s="3" t="n">
        <v>52.59</v>
      </c>
      <c r="L3973" s="3" t="n">
        <v>297.99</v>
      </c>
      <c r="M3973" s="3" t="n">
        <v>268.86</v>
      </c>
      <c r="N3973" s="3" t="n">
        <v>29.13</v>
      </c>
      <c r="O3973">
        <f>TEXT(A3973,"yyyy-mm")</f>
        <v/>
      </c>
    </row>
    <row r="3974">
      <c r="A3974" s="2" t="n">
        <v>46148</v>
      </c>
      <c r="B3974" t="n">
        <v>2026</v>
      </c>
      <c r="C3974" t="inlineStr">
        <is>
          <t>May</t>
        </is>
      </c>
      <c r="D3974" t="inlineStr">
        <is>
          <t>Essential Notebook</t>
        </is>
      </c>
      <c r="E3974" t="inlineStr">
        <is>
          <t>Books</t>
        </is>
      </c>
      <c r="F3974" t="inlineStr">
        <is>
          <t>David Bianchi</t>
        </is>
      </c>
      <c r="G3974" t="inlineStr">
        <is>
          <t>Netherlands</t>
        </is>
      </c>
      <c r="H3974" t="inlineStr">
        <is>
          <t>Mobile App</t>
        </is>
      </c>
      <c r="I3974" t="n">
        <v>4</v>
      </c>
      <c r="J3974" s="3" t="n">
        <v>492.56</v>
      </c>
      <c r="K3974" s="3" t="n">
        <v>73.88</v>
      </c>
      <c r="L3974" s="3" t="n">
        <v>418.68</v>
      </c>
      <c r="M3974" s="3" t="n">
        <v>316.4</v>
      </c>
      <c r="N3974" s="3" t="n">
        <v>102.28</v>
      </c>
      <c r="O3974">
        <f>TEXT(A3974,"yyyy-mm")</f>
        <v/>
      </c>
    </row>
    <row r="3975">
      <c r="A3975" s="2" t="n">
        <v>46149</v>
      </c>
      <c r="B3975" t="n">
        <v>2026</v>
      </c>
      <c r="C3975" t="inlineStr">
        <is>
          <t>May</t>
        </is>
      </c>
      <c r="D3975" t="inlineStr">
        <is>
          <t>Classic Tea Set</t>
        </is>
      </c>
      <c r="E3975" t="inlineStr">
        <is>
          <t>Grocery</t>
        </is>
      </c>
      <c r="F3975" t="inlineStr">
        <is>
          <t>Laura Muller</t>
        </is>
      </c>
      <c r="G3975" t="inlineStr">
        <is>
          <t>Italy</t>
        </is>
      </c>
      <c r="H3975" t="inlineStr">
        <is>
          <t>Mobile App</t>
        </is>
      </c>
      <c r="I3975" t="n">
        <v>3</v>
      </c>
      <c r="J3975" s="3" t="n">
        <v>521.79</v>
      </c>
      <c r="K3975" s="3" t="n">
        <v>0</v>
      </c>
      <c r="L3975" s="3" t="n">
        <v>521.79</v>
      </c>
      <c r="M3975" s="3" t="n">
        <v>376.2</v>
      </c>
      <c r="N3975" s="3" t="n">
        <v>145.59</v>
      </c>
      <c r="O3975">
        <f>TEXT(A3975,"yyyy-mm")</f>
        <v/>
      </c>
    </row>
    <row r="3976">
      <c r="A3976" s="2" t="n">
        <v>46149</v>
      </c>
      <c r="B3976" t="n">
        <v>2026</v>
      </c>
      <c r="C3976" t="inlineStr">
        <is>
          <t>May</t>
        </is>
      </c>
      <c r="D3976" t="inlineStr">
        <is>
          <t>Eco Tent</t>
        </is>
      </c>
      <c r="E3976" t="inlineStr">
        <is>
          <t>Sports &amp; Outdoors</t>
        </is>
      </c>
      <c r="F3976" t="inlineStr">
        <is>
          <t>Laura Muller</t>
        </is>
      </c>
      <c r="G3976" t="inlineStr">
        <is>
          <t>Italy</t>
        </is>
      </c>
      <c r="H3976" t="inlineStr">
        <is>
          <t>Mobile App</t>
        </is>
      </c>
      <c r="I3976" t="n">
        <v>2</v>
      </c>
      <c r="J3976" s="3" t="n">
        <v>134.26</v>
      </c>
      <c r="K3976" s="3" t="n">
        <v>0</v>
      </c>
      <c r="L3976" s="3" t="n">
        <v>134.26</v>
      </c>
      <c r="M3976" s="3" t="n">
        <v>87.7</v>
      </c>
      <c r="N3976" s="3" t="n">
        <v>46.56</v>
      </c>
      <c r="O3976">
        <f>TEXT(A3976,"yyyy-mm")</f>
        <v/>
      </c>
    </row>
    <row r="3977">
      <c r="A3977" s="2" t="n">
        <v>46149</v>
      </c>
      <c r="B3977" t="n">
        <v>2026</v>
      </c>
      <c r="C3977" t="inlineStr">
        <is>
          <t>May</t>
        </is>
      </c>
      <c r="D3977" t="inlineStr">
        <is>
          <t>Portable Pasta</t>
        </is>
      </c>
      <c r="E3977" t="inlineStr">
        <is>
          <t>Grocery</t>
        </is>
      </c>
      <c r="F3977" t="inlineStr">
        <is>
          <t>Emily Schmidt</t>
        </is>
      </c>
      <c r="G3977" t="inlineStr">
        <is>
          <t>Netherlands</t>
        </is>
      </c>
      <c r="H3977" t="inlineStr">
        <is>
          <t>Marketplace</t>
        </is>
      </c>
      <c r="I3977" t="n">
        <v>2</v>
      </c>
      <c r="J3977" s="3" t="n">
        <v>73.23999999999999</v>
      </c>
      <c r="K3977" s="3" t="n">
        <v>0</v>
      </c>
      <c r="L3977" s="3" t="n">
        <v>73.23999999999999</v>
      </c>
      <c r="M3977" s="3" t="n">
        <v>55.5</v>
      </c>
      <c r="N3977" s="3" t="n">
        <v>17.74</v>
      </c>
      <c r="O3977">
        <f>TEXT(A3977,"yyyy-mm")</f>
        <v/>
      </c>
    </row>
    <row r="3978">
      <c r="A3978" s="2" t="n">
        <v>46149</v>
      </c>
      <c r="B3978" t="n">
        <v>2026</v>
      </c>
      <c r="C3978" t="inlineStr">
        <is>
          <t>May</t>
        </is>
      </c>
      <c r="D3978" t="inlineStr">
        <is>
          <t>Smart Honey</t>
        </is>
      </c>
      <c r="E3978" t="inlineStr">
        <is>
          <t>Grocery</t>
        </is>
      </c>
      <c r="F3978" t="inlineStr">
        <is>
          <t>Emily Schmidt</t>
        </is>
      </c>
      <c r="G3978" t="inlineStr">
        <is>
          <t>Netherlands</t>
        </is>
      </c>
      <c r="H3978" t="inlineStr">
        <is>
          <t>Marketplace</t>
        </is>
      </c>
      <c r="I3978" t="n">
        <v>4</v>
      </c>
      <c r="J3978" s="3" t="n">
        <v>557.88</v>
      </c>
      <c r="K3978" s="3" t="n">
        <v>111.58</v>
      </c>
      <c r="L3978" s="3" t="n">
        <v>446.3</v>
      </c>
      <c r="M3978" s="3" t="n">
        <v>285.76</v>
      </c>
      <c r="N3978" s="3" t="n">
        <v>160.54</v>
      </c>
      <c r="O3978">
        <f>TEXT(A3978,"yyyy-mm")</f>
        <v/>
      </c>
    </row>
    <row r="3979">
      <c r="A3979" s="2" t="n">
        <v>46149</v>
      </c>
      <c r="B3979" t="n">
        <v>2026</v>
      </c>
      <c r="C3979" t="inlineStr">
        <is>
          <t>May</t>
        </is>
      </c>
      <c r="D3979" t="inlineStr">
        <is>
          <t>Smart Charger</t>
        </is>
      </c>
      <c r="E3979" t="inlineStr">
        <is>
          <t>Electronics</t>
        </is>
      </c>
      <c r="F3979" t="inlineStr">
        <is>
          <t>Laura Muller</t>
        </is>
      </c>
      <c r="G3979" t="inlineStr">
        <is>
          <t>Italy</t>
        </is>
      </c>
      <c r="H3979" t="inlineStr">
        <is>
          <t>Mobile App</t>
        </is>
      </c>
      <c r="I3979" t="n">
        <v>3</v>
      </c>
      <c r="J3979" s="3" t="n">
        <v>772.35</v>
      </c>
      <c r="K3979" s="3" t="n">
        <v>38.62</v>
      </c>
      <c r="L3979" s="3" t="n">
        <v>733.73</v>
      </c>
      <c r="M3979" s="3" t="n">
        <v>427.56</v>
      </c>
      <c r="N3979" s="3" t="n">
        <v>306.17</v>
      </c>
      <c r="O3979">
        <f>TEXT(A3979,"yyyy-mm")</f>
        <v/>
      </c>
    </row>
    <row r="3980">
      <c r="A3980" s="2" t="n">
        <v>46150</v>
      </c>
      <c r="B3980" t="n">
        <v>2026</v>
      </c>
      <c r="C3980" t="inlineStr">
        <is>
          <t>May</t>
        </is>
      </c>
      <c r="D3980" t="inlineStr">
        <is>
          <t>Smart Board Game</t>
        </is>
      </c>
      <c r="E3980" t="inlineStr">
        <is>
          <t>Toys &amp; Games</t>
        </is>
      </c>
      <c r="F3980" t="inlineStr">
        <is>
          <t>Sophie Muller</t>
        </is>
      </c>
      <c r="G3980" t="inlineStr">
        <is>
          <t>United States</t>
        </is>
      </c>
      <c r="H3980" t="inlineStr">
        <is>
          <t>Retail Store</t>
        </is>
      </c>
      <c r="I3980" t="n">
        <v>4</v>
      </c>
      <c r="J3980" s="3" t="n">
        <v>548.4</v>
      </c>
      <c r="K3980" s="3" t="n">
        <v>82.26000000000001</v>
      </c>
      <c r="L3980" s="3" t="n">
        <v>466.14</v>
      </c>
      <c r="M3980" s="3" t="n">
        <v>366.88</v>
      </c>
      <c r="N3980" s="3" t="n">
        <v>99.26000000000001</v>
      </c>
      <c r="O3980">
        <f>TEXT(A3980,"yyyy-mm")</f>
        <v/>
      </c>
    </row>
    <row r="3981">
      <c r="A3981" s="2" t="n">
        <v>46150</v>
      </c>
      <c r="B3981" t="n">
        <v>2026</v>
      </c>
      <c r="C3981" t="inlineStr">
        <is>
          <t>May</t>
        </is>
      </c>
      <c r="D3981" t="inlineStr">
        <is>
          <t>Deluxe Scarf</t>
        </is>
      </c>
      <c r="E3981" t="inlineStr">
        <is>
          <t>Clothing</t>
        </is>
      </c>
      <c r="F3981" t="inlineStr">
        <is>
          <t>Sophie Muller</t>
        </is>
      </c>
      <c r="G3981" t="inlineStr">
        <is>
          <t>United States</t>
        </is>
      </c>
      <c r="H3981" t="inlineStr">
        <is>
          <t>Retail Store</t>
        </is>
      </c>
      <c r="I3981" t="n">
        <v>4</v>
      </c>
      <c r="J3981" s="3" t="n">
        <v>840.24</v>
      </c>
      <c r="K3981" s="3" t="n">
        <v>168.05</v>
      </c>
      <c r="L3981" s="3" t="n">
        <v>672.1900000000001</v>
      </c>
      <c r="M3981" s="3" t="n">
        <v>434.08</v>
      </c>
      <c r="N3981" s="3" t="n">
        <v>238.11</v>
      </c>
      <c r="O3981">
        <f>TEXT(A3981,"yyyy-mm")</f>
        <v/>
      </c>
    </row>
    <row r="3982">
      <c r="A3982" s="2" t="n">
        <v>46150</v>
      </c>
      <c r="B3982" t="n">
        <v>2026</v>
      </c>
      <c r="C3982" t="inlineStr">
        <is>
          <t>May</t>
        </is>
      </c>
      <c r="D3982" t="inlineStr">
        <is>
          <t>Compact Sunscreen</t>
        </is>
      </c>
      <c r="E3982" t="inlineStr">
        <is>
          <t>Beauty &amp; Health</t>
        </is>
      </c>
      <c r="F3982" t="inlineStr">
        <is>
          <t>Sophie Muller</t>
        </is>
      </c>
      <c r="G3982" t="inlineStr">
        <is>
          <t>United States</t>
        </is>
      </c>
      <c r="H3982" t="inlineStr">
        <is>
          <t>Retail Store</t>
        </is>
      </c>
      <c r="I3982" t="n">
        <v>1</v>
      </c>
      <c r="J3982" s="3" t="n">
        <v>296.96</v>
      </c>
      <c r="K3982" s="3" t="n">
        <v>44.54</v>
      </c>
      <c r="L3982" s="3" t="n">
        <v>252.42</v>
      </c>
      <c r="M3982" s="3" t="n">
        <v>177.66</v>
      </c>
      <c r="N3982" s="3" t="n">
        <v>74.76000000000001</v>
      </c>
      <c r="O3982">
        <f>TEXT(A3982,"yyyy-mm")</f>
        <v/>
      </c>
    </row>
    <row r="3983">
      <c r="A3983" s="2" t="n">
        <v>46150</v>
      </c>
      <c r="B3983" t="n">
        <v>2026</v>
      </c>
      <c r="C3983" t="inlineStr">
        <is>
          <t>May</t>
        </is>
      </c>
      <c r="D3983" t="inlineStr">
        <is>
          <t>Classic Bike Helmet</t>
        </is>
      </c>
      <c r="E3983" t="inlineStr">
        <is>
          <t>Sports &amp; Outdoors</t>
        </is>
      </c>
      <c r="F3983" t="inlineStr">
        <is>
          <t>Paul Fischer</t>
        </is>
      </c>
      <c r="G3983" t="inlineStr">
        <is>
          <t>Poland</t>
        </is>
      </c>
      <c r="H3983" t="inlineStr">
        <is>
          <t>Web Store</t>
        </is>
      </c>
      <c r="I3983" t="n">
        <v>5</v>
      </c>
      <c r="J3983" s="3" t="n">
        <v>1033.15</v>
      </c>
      <c r="K3983" s="3" t="n">
        <v>154.97</v>
      </c>
      <c r="L3983" s="3" t="n">
        <v>878.1799999999999</v>
      </c>
      <c r="M3983" s="3" t="n">
        <v>769.05</v>
      </c>
      <c r="N3983" s="3" t="n">
        <v>109.13</v>
      </c>
      <c r="O3983">
        <f>TEXT(A3983,"yyyy-mm")</f>
        <v/>
      </c>
    </row>
    <row r="3984">
      <c r="A3984" s="2" t="n">
        <v>46150</v>
      </c>
      <c r="B3984" t="n">
        <v>2026</v>
      </c>
      <c r="C3984" t="inlineStr">
        <is>
          <t>May</t>
        </is>
      </c>
      <c r="D3984" t="inlineStr">
        <is>
          <t>Smart Face Cream</t>
        </is>
      </c>
      <c r="E3984" t="inlineStr">
        <is>
          <t>Beauty &amp; Health</t>
        </is>
      </c>
      <c r="F3984" t="inlineStr">
        <is>
          <t>Paul Fischer</t>
        </is>
      </c>
      <c r="G3984" t="inlineStr">
        <is>
          <t>Poland</t>
        </is>
      </c>
      <c r="H3984" t="inlineStr">
        <is>
          <t>Web Store</t>
        </is>
      </c>
      <c r="I3984" t="n">
        <v>2</v>
      </c>
      <c r="J3984" s="3" t="n">
        <v>544.22</v>
      </c>
      <c r="K3984" s="3" t="n">
        <v>27.21</v>
      </c>
      <c r="L3984" s="3" t="n">
        <v>517.01</v>
      </c>
      <c r="M3984" s="3" t="n">
        <v>386.28</v>
      </c>
      <c r="N3984" s="3" t="n">
        <v>130.73</v>
      </c>
      <c r="O3984">
        <f>TEXT(A3984,"yyyy-mm")</f>
        <v/>
      </c>
    </row>
    <row r="3985">
      <c r="A3985" s="2" t="n">
        <v>46150</v>
      </c>
      <c r="B3985" t="n">
        <v>2026</v>
      </c>
      <c r="C3985" t="inlineStr">
        <is>
          <t>May</t>
        </is>
      </c>
      <c r="D3985" t="inlineStr">
        <is>
          <t>Ultra Vitamins</t>
        </is>
      </c>
      <c r="E3985" t="inlineStr">
        <is>
          <t>Beauty &amp; Health</t>
        </is>
      </c>
      <c r="F3985" t="inlineStr">
        <is>
          <t>Paul Fischer</t>
        </is>
      </c>
      <c r="G3985" t="inlineStr">
        <is>
          <t>Poland</t>
        </is>
      </c>
      <c r="H3985" t="inlineStr">
        <is>
          <t>Web Store</t>
        </is>
      </c>
      <c r="I3985" t="n">
        <v>4</v>
      </c>
      <c r="J3985" s="3" t="n">
        <v>855.72</v>
      </c>
      <c r="K3985" s="3" t="n">
        <v>171.14</v>
      </c>
      <c r="L3985" s="3" t="n">
        <v>684.58</v>
      </c>
      <c r="M3985" s="3" t="n">
        <v>504.4</v>
      </c>
      <c r="N3985" s="3" t="n">
        <v>180.18</v>
      </c>
      <c r="O3985">
        <f>TEXT(A3985,"yyyy-mm")</f>
        <v/>
      </c>
    </row>
    <row r="3986">
      <c r="A3986" s="2" t="n">
        <v>46150</v>
      </c>
      <c r="B3986" t="n">
        <v>2026</v>
      </c>
      <c r="C3986" t="inlineStr">
        <is>
          <t>May</t>
        </is>
      </c>
      <c r="D3986" t="inlineStr">
        <is>
          <t>Portable Pasta</t>
        </is>
      </c>
      <c r="E3986" t="inlineStr">
        <is>
          <t>Grocery</t>
        </is>
      </c>
      <c r="F3986" t="inlineStr">
        <is>
          <t>Olivia Schmidt</t>
        </is>
      </c>
      <c r="G3986" t="inlineStr">
        <is>
          <t>United States</t>
        </is>
      </c>
      <c r="H3986" t="inlineStr">
        <is>
          <t>Web Store</t>
        </is>
      </c>
      <c r="I3986" t="n">
        <v>3</v>
      </c>
      <c r="J3986" s="3" t="n">
        <v>114.54</v>
      </c>
      <c r="K3986" s="3" t="n">
        <v>0</v>
      </c>
      <c r="L3986" s="3" t="n">
        <v>114.54</v>
      </c>
      <c r="M3986" s="3" t="n">
        <v>83.25</v>
      </c>
      <c r="N3986" s="3" t="n">
        <v>31.29</v>
      </c>
      <c r="O3986">
        <f>TEXT(A3986,"yyyy-mm")</f>
        <v/>
      </c>
    </row>
    <row r="3987">
      <c r="A3987" s="2" t="n">
        <v>46150</v>
      </c>
      <c r="B3987" t="n">
        <v>2026</v>
      </c>
      <c r="C3987" t="inlineStr">
        <is>
          <t>May</t>
        </is>
      </c>
      <c r="D3987" t="inlineStr">
        <is>
          <t>Smart Cookbook</t>
        </is>
      </c>
      <c r="E3987" t="inlineStr">
        <is>
          <t>Books</t>
        </is>
      </c>
      <c r="F3987" t="inlineStr">
        <is>
          <t>Maria Weber</t>
        </is>
      </c>
      <c r="G3987" t="inlineStr">
        <is>
          <t>Germany</t>
        </is>
      </c>
      <c r="H3987" t="inlineStr">
        <is>
          <t>Web Store</t>
        </is>
      </c>
      <c r="I3987" t="n">
        <v>4</v>
      </c>
      <c r="J3987" s="3" t="n">
        <v>71.95999999999999</v>
      </c>
      <c r="K3987" s="3" t="n">
        <v>10.79</v>
      </c>
      <c r="L3987" s="3" t="n">
        <v>61.17</v>
      </c>
      <c r="M3987" s="3" t="n">
        <v>39.52</v>
      </c>
      <c r="N3987" s="3" t="n">
        <v>21.65</v>
      </c>
      <c r="O3987">
        <f>TEXT(A3987,"yyyy-mm")</f>
        <v/>
      </c>
    </row>
    <row r="3988">
      <c r="A3988" s="2" t="n">
        <v>46150</v>
      </c>
      <c r="B3988" t="n">
        <v>2026</v>
      </c>
      <c r="C3988" t="inlineStr">
        <is>
          <t>May</t>
        </is>
      </c>
      <c r="D3988" t="inlineStr">
        <is>
          <t>Compact Biography</t>
        </is>
      </c>
      <c r="E3988" t="inlineStr">
        <is>
          <t>Books</t>
        </is>
      </c>
      <c r="F3988" t="inlineStr">
        <is>
          <t>Maria Weber</t>
        </is>
      </c>
      <c r="G3988" t="inlineStr">
        <is>
          <t>Germany</t>
        </is>
      </c>
      <c r="H3988" t="inlineStr">
        <is>
          <t>Web Store</t>
        </is>
      </c>
      <c r="I3988" t="n">
        <v>2</v>
      </c>
      <c r="J3988" s="3" t="n">
        <v>532.66</v>
      </c>
      <c r="K3988" s="3" t="n">
        <v>0</v>
      </c>
      <c r="L3988" s="3" t="n">
        <v>532.66</v>
      </c>
      <c r="M3988" s="3" t="n">
        <v>280.66</v>
      </c>
      <c r="N3988" s="3" t="n">
        <v>252</v>
      </c>
      <c r="O3988">
        <f>TEXT(A3988,"yyyy-mm")</f>
        <v/>
      </c>
    </row>
    <row r="3989">
      <c r="A3989" s="2" t="n">
        <v>46151</v>
      </c>
      <c r="B3989" t="n">
        <v>2026</v>
      </c>
      <c r="C3989" t="inlineStr">
        <is>
          <t>May</t>
        </is>
      </c>
      <c r="D3989" t="inlineStr">
        <is>
          <t>Classic Charger</t>
        </is>
      </c>
      <c r="E3989" t="inlineStr">
        <is>
          <t>Electronics</t>
        </is>
      </c>
      <c r="F3989" t="inlineStr">
        <is>
          <t>Anna Johnson</t>
        </is>
      </c>
      <c r="G3989" t="inlineStr">
        <is>
          <t>United States</t>
        </is>
      </c>
      <c r="H3989" t="inlineStr">
        <is>
          <t>Web Store</t>
        </is>
      </c>
      <c r="I3989" t="n">
        <v>5</v>
      </c>
      <c r="J3989" s="3" t="n">
        <v>460.7</v>
      </c>
      <c r="K3989" s="3" t="n">
        <v>69.09999999999999</v>
      </c>
      <c r="L3989" s="3" t="n">
        <v>391.6</v>
      </c>
      <c r="M3989" s="3" t="n">
        <v>311.05</v>
      </c>
      <c r="N3989" s="3" t="n">
        <v>80.55</v>
      </c>
      <c r="O3989">
        <f>TEXT(A3989,"yyyy-mm")</f>
        <v/>
      </c>
    </row>
    <row r="3990">
      <c r="A3990" s="2" t="n">
        <v>46151</v>
      </c>
      <c r="B3990" t="n">
        <v>2026</v>
      </c>
      <c r="C3990" t="inlineStr">
        <is>
          <t>May</t>
        </is>
      </c>
      <c r="D3990" t="inlineStr">
        <is>
          <t>Essential Vitamins</t>
        </is>
      </c>
      <c r="E3990" t="inlineStr">
        <is>
          <t>Beauty &amp; Health</t>
        </is>
      </c>
      <c r="F3990" t="inlineStr">
        <is>
          <t>Anna Johnson</t>
        </is>
      </c>
      <c r="G3990" t="inlineStr">
        <is>
          <t>United States</t>
        </is>
      </c>
      <c r="H3990" t="inlineStr">
        <is>
          <t>Web Store</t>
        </is>
      </c>
      <c r="I3990" t="n">
        <v>4</v>
      </c>
      <c r="J3990" s="3" t="n">
        <v>670.4400000000001</v>
      </c>
      <c r="K3990" s="3" t="n">
        <v>0</v>
      </c>
      <c r="L3990" s="3" t="n">
        <v>670.4400000000001</v>
      </c>
      <c r="M3990" s="3" t="n">
        <v>441.2</v>
      </c>
      <c r="N3990" s="3" t="n">
        <v>229.24</v>
      </c>
      <c r="O3990">
        <f>TEXT(A3990,"yyyy-mm")</f>
        <v/>
      </c>
    </row>
    <row r="3991">
      <c r="A3991" s="2" t="n">
        <v>46151</v>
      </c>
      <c r="B3991" t="n">
        <v>2026</v>
      </c>
      <c r="C3991" t="inlineStr">
        <is>
          <t>May</t>
        </is>
      </c>
      <c r="D3991" t="inlineStr">
        <is>
          <t>Portable Tea Set</t>
        </is>
      </c>
      <c r="E3991" t="inlineStr">
        <is>
          <t>Grocery</t>
        </is>
      </c>
      <c r="F3991" t="inlineStr">
        <is>
          <t>Anna Johnson</t>
        </is>
      </c>
      <c r="G3991" t="inlineStr">
        <is>
          <t>United States</t>
        </is>
      </c>
      <c r="H3991" t="inlineStr">
        <is>
          <t>Web Store</t>
        </is>
      </c>
      <c r="I3991" t="n">
        <v>3</v>
      </c>
      <c r="J3991" s="3" t="n">
        <v>857.01</v>
      </c>
      <c r="K3991" s="3" t="n">
        <v>0</v>
      </c>
      <c r="L3991" s="3" t="n">
        <v>857.01</v>
      </c>
      <c r="M3991" s="3" t="n">
        <v>564.36</v>
      </c>
      <c r="N3991" s="3" t="n">
        <v>292.65</v>
      </c>
      <c r="O3991">
        <f>TEXT(A3991,"yyyy-mm")</f>
        <v/>
      </c>
    </row>
    <row r="3992">
      <c r="A3992" s="2" t="n">
        <v>46151</v>
      </c>
      <c r="B3992" t="n">
        <v>2026</v>
      </c>
      <c r="C3992" t="inlineStr">
        <is>
          <t>May</t>
        </is>
      </c>
      <c r="D3992" t="inlineStr">
        <is>
          <t>Essential Pasta</t>
        </is>
      </c>
      <c r="E3992" t="inlineStr">
        <is>
          <t>Grocery</t>
        </is>
      </c>
      <c r="F3992" t="inlineStr">
        <is>
          <t>David Johnson</t>
        </is>
      </c>
      <c r="G3992" t="inlineStr">
        <is>
          <t>Netherlands</t>
        </is>
      </c>
      <c r="H3992" t="inlineStr">
        <is>
          <t>Mobile App</t>
        </is>
      </c>
      <c r="I3992" t="n">
        <v>4</v>
      </c>
      <c r="J3992" s="3" t="n">
        <v>221.64</v>
      </c>
      <c r="K3992" s="3" t="n">
        <v>11.08</v>
      </c>
      <c r="L3992" s="3" t="n">
        <v>210.56</v>
      </c>
      <c r="M3992" s="3" t="n">
        <v>143.24</v>
      </c>
      <c r="N3992" s="3" t="n">
        <v>67.31999999999999</v>
      </c>
      <c r="O3992">
        <f>TEXT(A3992,"yyyy-mm")</f>
        <v/>
      </c>
    </row>
    <row r="3993">
      <c r="A3993" s="2" t="n">
        <v>46151</v>
      </c>
      <c r="B3993" t="n">
        <v>2026</v>
      </c>
      <c r="C3993" t="inlineStr">
        <is>
          <t>May</t>
        </is>
      </c>
      <c r="D3993" t="inlineStr">
        <is>
          <t>Classic Bike Helmet</t>
        </is>
      </c>
      <c r="E3993" t="inlineStr">
        <is>
          <t>Sports &amp; Outdoors</t>
        </is>
      </c>
      <c r="F3993" t="inlineStr">
        <is>
          <t>David Johnson</t>
        </is>
      </c>
      <c r="G3993" t="inlineStr">
        <is>
          <t>Netherlands</t>
        </is>
      </c>
      <c r="H3993" t="inlineStr">
        <is>
          <t>Mobile App</t>
        </is>
      </c>
      <c r="I3993" t="n">
        <v>4</v>
      </c>
      <c r="J3993" s="3" t="n">
        <v>900.64</v>
      </c>
      <c r="K3993" s="3" t="n">
        <v>0</v>
      </c>
      <c r="L3993" s="3" t="n">
        <v>900.64</v>
      </c>
      <c r="M3993" s="3" t="n">
        <v>615.24</v>
      </c>
      <c r="N3993" s="3" t="n">
        <v>285.4</v>
      </c>
      <c r="O3993">
        <f>TEXT(A3993,"yyyy-mm")</f>
        <v/>
      </c>
    </row>
    <row r="3994">
      <c r="A3994" s="2" t="n">
        <v>46152</v>
      </c>
      <c r="B3994" t="n">
        <v>2026</v>
      </c>
      <c r="C3994" t="inlineStr">
        <is>
          <t>May</t>
        </is>
      </c>
      <c r="D3994" t="inlineStr">
        <is>
          <t>Eco Sweater</t>
        </is>
      </c>
      <c r="E3994" t="inlineStr">
        <is>
          <t>Clothing</t>
        </is>
      </c>
      <c r="F3994" t="inlineStr">
        <is>
          <t>Anna Bianchi</t>
        </is>
      </c>
      <c r="G3994" t="inlineStr">
        <is>
          <t>Italy</t>
        </is>
      </c>
      <c r="H3994" t="inlineStr">
        <is>
          <t>Mobile App</t>
        </is>
      </c>
      <c r="I3994" t="n">
        <v>1</v>
      </c>
      <c r="J3994" s="3" t="n">
        <v>158.28</v>
      </c>
      <c r="K3994" s="3" t="n">
        <v>0</v>
      </c>
      <c r="L3994" s="3" t="n">
        <v>158.28</v>
      </c>
      <c r="M3994" s="3" t="n">
        <v>104.23</v>
      </c>
      <c r="N3994" s="3" t="n">
        <v>54.05</v>
      </c>
      <c r="O3994">
        <f>TEXT(A3994,"yyyy-mm")</f>
        <v/>
      </c>
    </row>
    <row r="3995">
      <c r="A3995" s="2" t="n">
        <v>46152</v>
      </c>
      <c r="B3995" t="n">
        <v>2026</v>
      </c>
      <c r="C3995" t="inlineStr">
        <is>
          <t>May</t>
        </is>
      </c>
      <c r="D3995" t="inlineStr">
        <is>
          <t>Smart Face Cream</t>
        </is>
      </c>
      <c r="E3995" t="inlineStr">
        <is>
          <t>Beauty &amp; Health</t>
        </is>
      </c>
      <c r="F3995" t="inlineStr">
        <is>
          <t>Anna Bianchi</t>
        </is>
      </c>
      <c r="G3995" t="inlineStr">
        <is>
          <t>Italy</t>
        </is>
      </c>
      <c r="H3995" t="inlineStr">
        <is>
          <t>Mobile App</t>
        </is>
      </c>
      <c r="I3995" t="n">
        <v>3</v>
      </c>
      <c r="J3995" s="3" t="n">
        <v>763.23</v>
      </c>
      <c r="K3995" s="3" t="n">
        <v>76.31999999999999</v>
      </c>
      <c r="L3995" s="3" t="n">
        <v>686.91</v>
      </c>
      <c r="M3995" s="3" t="n">
        <v>579.42</v>
      </c>
      <c r="N3995" s="3" t="n">
        <v>107.49</v>
      </c>
      <c r="O3995">
        <f>TEXT(A3995,"yyyy-mm")</f>
        <v/>
      </c>
    </row>
    <row r="3996">
      <c r="A3996" s="2" t="n">
        <v>46152</v>
      </c>
      <c r="B3996" t="n">
        <v>2026</v>
      </c>
      <c r="C3996" t="inlineStr">
        <is>
          <t>May</t>
        </is>
      </c>
      <c r="D3996" t="inlineStr">
        <is>
          <t>Smart Drone</t>
        </is>
      </c>
      <c r="E3996" t="inlineStr">
        <is>
          <t>Toys &amp; Games</t>
        </is>
      </c>
      <c r="F3996" t="inlineStr">
        <is>
          <t>Emily Nowak</t>
        </is>
      </c>
      <c r="G3996" t="inlineStr">
        <is>
          <t>Netherlands</t>
        </is>
      </c>
      <c r="H3996" t="inlineStr">
        <is>
          <t>Mobile App</t>
        </is>
      </c>
      <c r="I3996" t="n">
        <v>4</v>
      </c>
      <c r="J3996" s="3" t="n">
        <v>912.08</v>
      </c>
      <c r="K3996" s="3" t="n">
        <v>0</v>
      </c>
      <c r="L3996" s="3" t="n">
        <v>912.08</v>
      </c>
      <c r="M3996" s="3" t="n">
        <v>507.8</v>
      </c>
      <c r="N3996" s="3" t="n">
        <v>404.28</v>
      </c>
      <c r="O3996">
        <f>TEXT(A3996,"yyyy-mm")</f>
        <v/>
      </c>
    </row>
    <row r="3997">
      <c r="A3997" s="2" t="n">
        <v>46152</v>
      </c>
      <c r="B3997" t="n">
        <v>2026</v>
      </c>
      <c r="C3997" t="inlineStr">
        <is>
          <t>May</t>
        </is>
      </c>
      <c r="D3997" t="inlineStr">
        <is>
          <t>Wireless Backpack</t>
        </is>
      </c>
      <c r="E3997" t="inlineStr">
        <is>
          <t>Sports &amp; Outdoors</t>
        </is>
      </c>
      <c r="F3997" t="inlineStr">
        <is>
          <t>Emily Nowak</t>
        </is>
      </c>
      <c r="G3997" t="inlineStr">
        <is>
          <t>Netherlands</t>
        </is>
      </c>
      <c r="H3997" t="inlineStr">
        <is>
          <t>Mobile App</t>
        </is>
      </c>
      <c r="I3997" t="n">
        <v>1</v>
      </c>
      <c r="J3997" s="3" t="n">
        <v>47.41</v>
      </c>
      <c r="K3997" s="3" t="n">
        <v>2.37</v>
      </c>
      <c r="L3997" s="3" t="n">
        <v>45.04</v>
      </c>
      <c r="M3997" s="3" t="n">
        <v>28.1</v>
      </c>
      <c r="N3997" s="3" t="n">
        <v>16.94</v>
      </c>
      <c r="O3997">
        <f>TEXT(A3997,"yyyy-mm")</f>
        <v/>
      </c>
    </row>
    <row r="3998">
      <c r="A3998" s="2" t="n">
        <v>46152</v>
      </c>
      <c r="B3998" t="n">
        <v>2026</v>
      </c>
      <c r="C3998" t="inlineStr">
        <is>
          <t>May</t>
        </is>
      </c>
      <c r="D3998" t="inlineStr">
        <is>
          <t>Premium Tent</t>
        </is>
      </c>
      <c r="E3998" t="inlineStr">
        <is>
          <t>Sports &amp; Outdoors</t>
        </is>
      </c>
      <c r="F3998" t="inlineStr">
        <is>
          <t>Maria Martin</t>
        </is>
      </c>
      <c r="G3998" t="inlineStr">
        <is>
          <t>Poland</t>
        </is>
      </c>
      <c r="H3998" t="inlineStr">
        <is>
          <t>Mobile App</t>
        </is>
      </c>
      <c r="I3998" t="n">
        <v>2</v>
      </c>
      <c r="J3998" s="3" t="n">
        <v>517.54</v>
      </c>
      <c r="K3998" s="3" t="n">
        <v>0</v>
      </c>
      <c r="L3998" s="3" t="n">
        <v>517.54</v>
      </c>
      <c r="M3998" s="3" t="n">
        <v>330.62</v>
      </c>
      <c r="N3998" s="3" t="n">
        <v>186.92</v>
      </c>
      <c r="O3998">
        <f>TEXT(A3998,"yyyy-mm")</f>
        <v/>
      </c>
    </row>
    <row r="3999">
      <c r="A3999" s="2" t="n">
        <v>46152</v>
      </c>
      <c r="B3999" t="n">
        <v>2026</v>
      </c>
      <c r="C3999" t="inlineStr">
        <is>
          <t>May</t>
        </is>
      </c>
      <c r="D3999" t="inlineStr">
        <is>
          <t>Portable Tea Set</t>
        </is>
      </c>
      <c r="E3999" t="inlineStr">
        <is>
          <t>Grocery</t>
        </is>
      </c>
      <c r="F3999" t="inlineStr">
        <is>
          <t>Maria Martin</t>
        </is>
      </c>
      <c r="G3999" t="inlineStr">
        <is>
          <t>Poland</t>
        </is>
      </c>
      <c r="H3999" t="inlineStr">
        <is>
          <t>Mobile App</t>
        </is>
      </c>
      <c r="I3999" t="n">
        <v>1</v>
      </c>
      <c r="J3999" s="3" t="n">
        <v>285.12</v>
      </c>
      <c r="K3999" s="3" t="n">
        <v>0</v>
      </c>
      <c r="L3999" s="3" t="n">
        <v>285.12</v>
      </c>
      <c r="M3999" s="3" t="n">
        <v>188.12</v>
      </c>
      <c r="N3999" s="3" t="n">
        <v>97</v>
      </c>
      <c r="O3999">
        <f>TEXT(A3999,"yyyy-mm")</f>
        <v/>
      </c>
    </row>
    <row r="4000">
      <c r="A4000" s="2" t="n">
        <v>46152</v>
      </c>
      <c r="B4000" t="n">
        <v>2026</v>
      </c>
      <c r="C4000" t="inlineStr">
        <is>
          <t>May</t>
        </is>
      </c>
      <c r="D4000" t="inlineStr">
        <is>
          <t>Smart Face Cream</t>
        </is>
      </c>
      <c r="E4000" t="inlineStr">
        <is>
          <t>Beauty &amp; Health</t>
        </is>
      </c>
      <c r="F4000" t="inlineStr">
        <is>
          <t>Maria Martin</t>
        </is>
      </c>
      <c r="G4000" t="inlineStr">
        <is>
          <t>Poland</t>
        </is>
      </c>
      <c r="H4000" t="inlineStr">
        <is>
          <t>Mobile App</t>
        </is>
      </c>
      <c r="I4000" t="n">
        <v>5</v>
      </c>
      <c r="J4000" s="3" t="n">
        <v>1321.7</v>
      </c>
      <c r="K4000" s="3" t="n">
        <v>132.17</v>
      </c>
      <c r="L4000" s="3" t="n">
        <v>1189.53</v>
      </c>
      <c r="M4000" s="3" t="n">
        <v>965.7</v>
      </c>
      <c r="N4000" s="3" t="n">
        <v>223.83</v>
      </c>
      <c r="O4000">
        <f>TEXT(A4000,"yyyy-mm")</f>
        <v/>
      </c>
    </row>
    <row r="4001">
      <c r="A4001" s="2" t="n">
        <v>46152</v>
      </c>
      <c r="B4001" t="n">
        <v>2026</v>
      </c>
      <c r="C4001" t="inlineStr">
        <is>
          <t>May</t>
        </is>
      </c>
      <c r="D4001" t="inlineStr">
        <is>
          <t>Classic Atlas</t>
        </is>
      </c>
      <c r="E4001" t="inlineStr">
        <is>
          <t>Books</t>
        </is>
      </c>
      <c r="F4001" t="inlineStr">
        <is>
          <t>Anna Bianchi</t>
        </is>
      </c>
      <c r="G4001" t="inlineStr">
        <is>
          <t>Italy</t>
        </is>
      </c>
      <c r="H4001" t="inlineStr">
        <is>
          <t>Mobile App</t>
        </is>
      </c>
      <c r="I4001" t="n">
        <v>3</v>
      </c>
      <c r="J4001" s="3" t="n">
        <v>183.36</v>
      </c>
      <c r="K4001" s="3" t="n">
        <v>0</v>
      </c>
      <c r="L4001" s="3" t="n">
        <v>183.36</v>
      </c>
      <c r="M4001" s="3" t="n">
        <v>103.77</v>
      </c>
      <c r="N4001" s="3" t="n">
        <v>79.59</v>
      </c>
      <c r="O4001">
        <f>TEXT(A4001,"yyyy-mm")</f>
        <v/>
      </c>
    </row>
    <row r="4002">
      <c r="A4002" s="2" t="n">
        <v>46152</v>
      </c>
      <c r="B4002" t="n">
        <v>2026</v>
      </c>
      <c r="C4002" t="inlineStr">
        <is>
          <t>May</t>
        </is>
      </c>
      <c r="D4002" t="inlineStr">
        <is>
          <t>Premium Tent</t>
        </is>
      </c>
      <c r="E4002" t="inlineStr">
        <is>
          <t>Sports &amp; Outdoors</t>
        </is>
      </c>
      <c r="F4002" t="inlineStr">
        <is>
          <t>Daniel Lopez</t>
        </is>
      </c>
      <c r="G4002" t="inlineStr">
        <is>
          <t>Italy</t>
        </is>
      </c>
      <c r="H4002" t="inlineStr">
        <is>
          <t>Retail Store</t>
        </is>
      </c>
      <c r="I4002" t="n">
        <v>3</v>
      </c>
      <c r="J4002" s="3" t="n">
        <v>790.95</v>
      </c>
      <c r="K4002" s="3" t="n">
        <v>0</v>
      </c>
      <c r="L4002" s="3" t="n">
        <v>790.95</v>
      </c>
      <c r="M4002" s="3" t="n">
        <v>417.12</v>
      </c>
      <c r="N4002" s="3" t="n">
        <v>373.83</v>
      </c>
      <c r="O4002">
        <f>TEXT(A4002,"yyyy-mm")</f>
        <v/>
      </c>
    </row>
    <row r="4003">
      <c r="A4003" s="2" t="n">
        <v>46152</v>
      </c>
      <c r="B4003" t="n">
        <v>2026</v>
      </c>
      <c r="C4003" t="inlineStr">
        <is>
          <t>May</t>
        </is>
      </c>
      <c r="D4003" t="inlineStr">
        <is>
          <t>Premium Cookbook</t>
        </is>
      </c>
      <c r="E4003" t="inlineStr">
        <is>
          <t>Books</t>
        </is>
      </c>
      <c r="F4003" t="inlineStr">
        <is>
          <t>Anna Johnson</t>
        </is>
      </c>
      <c r="G4003" t="inlineStr">
        <is>
          <t>United States</t>
        </is>
      </c>
      <c r="H4003" t="inlineStr">
        <is>
          <t>Retail Store</t>
        </is>
      </c>
      <c r="I4003" t="n">
        <v>1</v>
      </c>
      <c r="J4003" s="3" t="n">
        <v>127.06</v>
      </c>
      <c r="K4003" s="3" t="n">
        <v>0</v>
      </c>
      <c r="L4003" s="3" t="n">
        <v>127.06</v>
      </c>
      <c r="M4003" s="3" t="n">
        <v>94.98</v>
      </c>
      <c r="N4003" s="3" t="n">
        <v>32.08</v>
      </c>
      <c r="O4003">
        <f>TEXT(A4003,"yyyy-mm")</f>
        <v/>
      </c>
    </row>
    <row r="4004">
      <c r="A4004" s="2" t="n">
        <v>46152</v>
      </c>
      <c r="B4004" t="n">
        <v>2026</v>
      </c>
      <c r="C4004" t="inlineStr">
        <is>
          <t>May</t>
        </is>
      </c>
      <c r="D4004" t="inlineStr">
        <is>
          <t>Essential Pasta</t>
        </is>
      </c>
      <c r="E4004" t="inlineStr">
        <is>
          <t>Grocery</t>
        </is>
      </c>
      <c r="F4004" t="inlineStr">
        <is>
          <t>Daniel Lopez</t>
        </is>
      </c>
      <c r="G4004" t="inlineStr">
        <is>
          <t>Italy</t>
        </is>
      </c>
      <c r="H4004" t="inlineStr">
        <is>
          <t>Retail Store</t>
        </is>
      </c>
      <c r="I4004" t="n">
        <v>5</v>
      </c>
      <c r="J4004" s="3" t="n">
        <v>292.7</v>
      </c>
      <c r="K4004" s="3" t="n">
        <v>0</v>
      </c>
      <c r="L4004" s="3" t="n">
        <v>292.7</v>
      </c>
      <c r="M4004" s="3" t="n">
        <v>179.05</v>
      </c>
      <c r="N4004" s="3" t="n">
        <v>113.65</v>
      </c>
      <c r="O4004">
        <f>TEXT(A4004,"yyyy-mm")</f>
        <v/>
      </c>
    </row>
    <row r="4005">
      <c r="A4005" s="2" t="n">
        <v>46154</v>
      </c>
      <c r="B4005" t="n">
        <v>2026</v>
      </c>
      <c r="C4005" t="inlineStr">
        <is>
          <t>May</t>
        </is>
      </c>
      <c r="D4005" t="inlineStr">
        <is>
          <t>Smart Olive Oil</t>
        </is>
      </c>
      <c r="E4005" t="inlineStr">
        <is>
          <t>Grocery</t>
        </is>
      </c>
      <c r="F4005" t="inlineStr">
        <is>
          <t>Daniel Johnson</t>
        </is>
      </c>
      <c r="G4005" t="inlineStr">
        <is>
          <t>Italy</t>
        </is>
      </c>
      <c r="H4005" t="inlineStr">
        <is>
          <t>Web Store</t>
        </is>
      </c>
      <c r="I4005" t="n">
        <v>5</v>
      </c>
      <c r="J4005" s="3" t="n">
        <v>845.95</v>
      </c>
      <c r="K4005" s="3" t="n">
        <v>0</v>
      </c>
      <c r="L4005" s="3" t="n">
        <v>845.95</v>
      </c>
      <c r="M4005" s="3" t="n">
        <v>550.1</v>
      </c>
      <c r="N4005" s="3" t="n">
        <v>295.85</v>
      </c>
      <c r="O4005">
        <f>TEXT(A4005,"yyyy-mm")</f>
        <v/>
      </c>
    </row>
    <row r="4006">
      <c r="A4006" s="2" t="n">
        <v>46154</v>
      </c>
      <c r="B4006" t="n">
        <v>2026</v>
      </c>
      <c r="C4006" t="inlineStr">
        <is>
          <t>May</t>
        </is>
      </c>
      <c r="D4006" t="inlineStr">
        <is>
          <t>Deluxe Toothbrush</t>
        </is>
      </c>
      <c r="E4006" t="inlineStr">
        <is>
          <t>Beauty &amp; Health</t>
        </is>
      </c>
      <c r="F4006" t="inlineStr">
        <is>
          <t>Daniel Johnson</t>
        </is>
      </c>
      <c r="G4006" t="inlineStr">
        <is>
          <t>Italy</t>
        </is>
      </c>
      <c r="H4006" t="inlineStr">
        <is>
          <t>Web Store</t>
        </is>
      </c>
      <c r="I4006" t="n">
        <v>5</v>
      </c>
      <c r="J4006" s="3" t="n">
        <v>1722.2</v>
      </c>
      <c r="K4006" s="3" t="n">
        <v>172.22</v>
      </c>
      <c r="L4006" s="3" t="n">
        <v>1549.98</v>
      </c>
      <c r="M4006" s="3" t="n">
        <v>872.85</v>
      </c>
      <c r="N4006" s="3" t="n">
        <v>677.13</v>
      </c>
      <c r="O4006">
        <f>TEXT(A4006,"yyyy-mm")</f>
        <v/>
      </c>
    </row>
    <row r="4007">
      <c r="A4007" s="2" t="n">
        <v>46154</v>
      </c>
      <c r="B4007" t="n">
        <v>2026</v>
      </c>
      <c r="C4007" t="inlineStr">
        <is>
          <t>May</t>
        </is>
      </c>
      <c r="D4007" t="inlineStr">
        <is>
          <t>Essential Toolset</t>
        </is>
      </c>
      <c r="E4007" t="inlineStr">
        <is>
          <t>Home &amp; Garden</t>
        </is>
      </c>
      <c r="F4007" t="inlineStr">
        <is>
          <t>Julia Dubois</t>
        </is>
      </c>
      <c r="G4007" t="inlineStr">
        <is>
          <t>United States</t>
        </is>
      </c>
      <c r="H4007" t="inlineStr">
        <is>
          <t>Mobile App</t>
        </is>
      </c>
      <c r="I4007" t="n">
        <v>3</v>
      </c>
      <c r="J4007" s="3" t="n">
        <v>652.14</v>
      </c>
      <c r="K4007" s="3" t="n">
        <v>32.61</v>
      </c>
      <c r="L4007" s="3" t="n">
        <v>619.53</v>
      </c>
      <c r="M4007" s="3" t="n">
        <v>451.59</v>
      </c>
      <c r="N4007" s="3" t="n">
        <v>167.94</v>
      </c>
      <c r="O4007">
        <f>TEXT(A4007,"yyyy-mm")</f>
        <v/>
      </c>
    </row>
    <row r="4008">
      <c r="A4008" s="2" t="n">
        <v>46154</v>
      </c>
      <c r="B4008" t="n">
        <v>2026</v>
      </c>
      <c r="C4008" t="inlineStr">
        <is>
          <t>May</t>
        </is>
      </c>
      <c r="D4008" t="inlineStr">
        <is>
          <t>Classic Atlas</t>
        </is>
      </c>
      <c r="E4008" t="inlineStr">
        <is>
          <t>Books</t>
        </is>
      </c>
      <c r="F4008" t="inlineStr">
        <is>
          <t>Julia Dubois</t>
        </is>
      </c>
      <c r="G4008" t="inlineStr">
        <is>
          <t>United States</t>
        </is>
      </c>
      <c r="H4008" t="inlineStr">
        <is>
          <t>Mobile App</t>
        </is>
      </c>
      <c r="I4008" t="n">
        <v>4</v>
      </c>
      <c r="J4008" s="3" t="n">
        <v>258.12</v>
      </c>
      <c r="K4008" s="3" t="n">
        <v>0</v>
      </c>
      <c r="L4008" s="3" t="n">
        <v>258.12</v>
      </c>
      <c r="M4008" s="3" t="n">
        <v>138.36</v>
      </c>
      <c r="N4008" s="3" t="n">
        <v>119.76</v>
      </c>
      <c r="O4008">
        <f>TEXT(A4008,"yyyy-mm")</f>
        <v/>
      </c>
    </row>
    <row r="4009">
      <c r="A4009" s="2" t="n">
        <v>46154</v>
      </c>
      <c r="B4009" t="n">
        <v>2026</v>
      </c>
      <c r="C4009" t="inlineStr">
        <is>
          <t>May</t>
        </is>
      </c>
      <c r="D4009" t="inlineStr">
        <is>
          <t>Ultra Rug</t>
        </is>
      </c>
      <c r="E4009" t="inlineStr">
        <is>
          <t>Home &amp; Garden</t>
        </is>
      </c>
      <c r="F4009" t="inlineStr">
        <is>
          <t>John Johnson</t>
        </is>
      </c>
      <c r="G4009" t="inlineStr">
        <is>
          <t>Spain</t>
        </is>
      </c>
      <c r="H4009" t="inlineStr">
        <is>
          <t>Mobile App</t>
        </is>
      </c>
      <c r="I4009" t="n">
        <v>3</v>
      </c>
      <c r="J4009" s="3" t="n">
        <v>152.7</v>
      </c>
      <c r="K4009" s="3" t="n">
        <v>0</v>
      </c>
      <c r="L4009" s="3" t="n">
        <v>152.7</v>
      </c>
      <c r="M4009" s="3" t="n">
        <v>98.73</v>
      </c>
      <c r="N4009" s="3" t="n">
        <v>53.97</v>
      </c>
      <c r="O4009">
        <f>TEXT(A4009,"yyyy-mm")</f>
        <v/>
      </c>
    </row>
    <row r="4010">
      <c r="A4010" s="2" t="n">
        <v>46154</v>
      </c>
      <c r="B4010" t="n">
        <v>2026</v>
      </c>
      <c r="C4010" t="inlineStr">
        <is>
          <t>May</t>
        </is>
      </c>
      <c r="D4010" t="inlineStr">
        <is>
          <t>Portable Puzzle</t>
        </is>
      </c>
      <c r="E4010" t="inlineStr">
        <is>
          <t>Toys &amp; Games</t>
        </is>
      </c>
      <c r="F4010" t="inlineStr">
        <is>
          <t>Julia Dubois</t>
        </is>
      </c>
      <c r="G4010" t="inlineStr">
        <is>
          <t>United States</t>
        </is>
      </c>
      <c r="H4010" t="inlineStr">
        <is>
          <t>Mobile App</t>
        </is>
      </c>
      <c r="I4010" t="n">
        <v>5</v>
      </c>
      <c r="J4010" s="3" t="n">
        <v>570.8</v>
      </c>
      <c r="K4010" s="3" t="n">
        <v>57.08</v>
      </c>
      <c r="L4010" s="3" t="n">
        <v>513.72</v>
      </c>
      <c r="M4010" s="3" t="n">
        <v>294</v>
      </c>
      <c r="N4010" s="3" t="n">
        <v>219.72</v>
      </c>
      <c r="O4010">
        <f>TEXT(A4010,"yyyy-mm")</f>
        <v/>
      </c>
    </row>
    <row r="4011">
      <c r="A4011" s="2" t="n">
        <v>46154</v>
      </c>
      <c r="B4011" t="n">
        <v>2026</v>
      </c>
      <c r="C4011" t="inlineStr">
        <is>
          <t>May</t>
        </is>
      </c>
      <c r="D4011" t="inlineStr">
        <is>
          <t>Essential Lamp</t>
        </is>
      </c>
      <c r="E4011" t="inlineStr">
        <is>
          <t>Home &amp; Garden</t>
        </is>
      </c>
      <c r="F4011" t="inlineStr">
        <is>
          <t>Julia Dubois</t>
        </is>
      </c>
      <c r="G4011" t="inlineStr">
        <is>
          <t>United States</t>
        </is>
      </c>
      <c r="H4011" t="inlineStr">
        <is>
          <t>Mobile App</t>
        </is>
      </c>
      <c r="I4011" t="n">
        <v>3</v>
      </c>
      <c r="J4011" s="3" t="n">
        <v>185.61</v>
      </c>
      <c r="K4011" s="3" t="n">
        <v>0</v>
      </c>
      <c r="L4011" s="3" t="n">
        <v>185.61</v>
      </c>
      <c r="M4011" s="3" t="n">
        <v>136.2</v>
      </c>
      <c r="N4011" s="3" t="n">
        <v>49.41</v>
      </c>
      <c r="O4011">
        <f>TEXT(A4011,"yyyy-mm")</f>
        <v/>
      </c>
    </row>
    <row r="4012">
      <c r="A4012" s="2" t="n">
        <v>46155</v>
      </c>
      <c r="B4012" t="n">
        <v>2026</v>
      </c>
      <c r="C4012" t="inlineStr">
        <is>
          <t>May</t>
        </is>
      </c>
      <c r="D4012" t="inlineStr">
        <is>
          <t>Deluxe Notebook</t>
        </is>
      </c>
      <c r="E4012" t="inlineStr">
        <is>
          <t>Books</t>
        </is>
      </c>
      <c r="F4012" t="inlineStr">
        <is>
          <t>James Nowak</t>
        </is>
      </c>
      <c r="G4012" t="inlineStr">
        <is>
          <t>United States</t>
        </is>
      </c>
      <c r="H4012" t="inlineStr">
        <is>
          <t>Retail Store</t>
        </is>
      </c>
      <c r="I4012" t="n">
        <v>3</v>
      </c>
      <c r="J4012" s="3" t="n">
        <v>618.03</v>
      </c>
      <c r="K4012" s="3" t="n">
        <v>61.8</v>
      </c>
      <c r="L4012" s="3" t="n">
        <v>556.23</v>
      </c>
      <c r="M4012" s="3" t="n">
        <v>452.28</v>
      </c>
      <c r="N4012" s="3" t="n">
        <v>103.95</v>
      </c>
      <c r="O4012">
        <f>TEXT(A4012,"yyyy-mm")</f>
        <v/>
      </c>
    </row>
    <row r="4013">
      <c r="A4013" s="2" t="n">
        <v>46155</v>
      </c>
      <c r="B4013" t="n">
        <v>2026</v>
      </c>
      <c r="C4013" t="inlineStr">
        <is>
          <t>May</t>
        </is>
      </c>
      <c r="D4013" t="inlineStr">
        <is>
          <t>Essential Jacket</t>
        </is>
      </c>
      <c r="E4013" t="inlineStr">
        <is>
          <t>Clothing</t>
        </is>
      </c>
      <c r="F4013" t="inlineStr">
        <is>
          <t>James Nowak</t>
        </is>
      </c>
      <c r="G4013" t="inlineStr">
        <is>
          <t>United States</t>
        </is>
      </c>
      <c r="H4013" t="inlineStr">
        <is>
          <t>Retail Store</t>
        </is>
      </c>
      <c r="I4013" t="n">
        <v>4</v>
      </c>
      <c r="J4013" s="3" t="n">
        <v>598.24</v>
      </c>
      <c r="K4013" s="3" t="n">
        <v>119.65</v>
      </c>
      <c r="L4013" s="3" t="n">
        <v>478.59</v>
      </c>
      <c r="M4013" s="3" t="n">
        <v>341.4</v>
      </c>
      <c r="N4013" s="3" t="n">
        <v>137.19</v>
      </c>
      <c r="O4013">
        <f>TEXT(A4013,"yyyy-mm")</f>
        <v/>
      </c>
    </row>
    <row r="4014">
      <c r="A4014" s="2" t="n">
        <v>46155</v>
      </c>
      <c r="B4014" t="n">
        <v>2026</v>
      </c>
      <c r="C4014" t="inlineStr">
        <is>
          <t>May</t>
        </is>
      </c>
      <c r="D4014" t="inlineStr">
        <is>
          <t>Deluxe Smartwatch</t>
        </is>
      </c>
      <c r="E4014" t="inlineStr">
        <is>
          <t>Electronics</t>
        </is>
      </c>
      <c r="F4014" t="inlineStr">
        <is>
          <t>James Nowak</t>
        </is>
      </c>
      <c r="G4014" t="inlineStr">
        <is>
          <t>United States</t>
        </is>
      </c>
      <c r="H4014" t="inlineStr">
        <is>
          <t>Retail Store</t>
        </is>
      </c>
      <c r="I4014" t="n">
        <v>1</v>
      </c>
      <c r="J4014" s="3" t="n">
        <v>166.85</v>
      </c>
      <c r="K4014" s="3" t="n">
        <v>16.68</v>
      </c>
      <c r="L4014" s="3" t="n">
        <v>150.16</v>
      </c>
      <c r="M4014" s="3" t="n">
        <v>122.72</v>
      </c>
      <c r="N4014" s="3" t="n">
        <v>27.44</v>
      </c>
      <c r="O4014">
        <f>TEXT(A4014,"yyyy-mm")</f>
        <v/>
      </c>
    </row>
    <row r="4015">
      <c r="A4015" s="2" t="n">
        <v>46155</v>
      </c>
      <c r="B4015" t="n">
        <v>2026</v>
      </c>
      <c r="C4015" t="inlineStr">
        <is>
          <t>May</t>
        </is>
      </c>
      <c r="D4015" t="inlineStr">
        <is>
          <t>Premium Water Bottle</t>
        </is>
      </c>
      <c r="E4015" t="inlineStr">
        <is>
          <t>Sports &amp; Outdoors</t>
        </is>
      </c>
      <c r="F4015" t="inlineStr">
        <is>
          <t>James Nowak</t>
        </is>
      </c>
      <c r="G4015" t="inlineStr">
        <is>
          <t>United States</t>
        </is>
      </c>
      <c r="H4015" t="inlineStr">
        <is>
          <t>Retail Store</t>
        </is>
      </c>
      <c r="I4015" t="n">
        <v>5</v>
      </c>
      <c r="J4015" s="3" t="n">
        <v>581.4</v>
      </c>
      <c r="K4015" s="3" t="n">
        <v>116.28</v>
      </c>
      <c r="L4015" s="3" t="n">
        <v>465.12</v>
      </c>
      <c r="M4015" s="3" t="n">
        <v>448.1</v>
      </c>
      <c r="N4015" s="3" t="n">
        <v>17.02</v>
      </c>
      <c r="O4015">
        <f>TEXT(A4015,"yyyy-mm")</f>
        <v/>
      </c>
    </row>
    <row r="4016">
      <c r="A4016" s="2" t="n">
        <v>46156</v>
      </c>
      <c r="B4016" t="n">
        <v>2026</v>
      </c>
      <c r="C4016" t="inlineStr">
        <is>
          <t>May</t>
        </is>
      </c>
      <c r="D4016" t="inlineStr">
        <is>
          <t>Portable Tea Set</t>
        </is>
      </c>
      <c r="E4016" t="inlineStr">
        <is>
          <t>Grocery</t>
        </is>
      </c>
      <c r="F4016" t="inlineStr">
        <is>
          <t>Maria Martin</t>
        </is>
      </c>
      <c r="G4016" t="inlineStr">
        <is>
          <t>Poland</t>
        </is>
      </c>
      <c r="H4016" t="inlineStr">
        <is>
          <t>Mobile App</t>
        </is>
      </c>
      <c r="I4016" t="n">
        <v>1</v>
      </c>
      <c r="J4016" s="3" t="n">
        <v>281.74</v>
      </c>
      <c r="K4016" s="3" t="n">
        <v>42.26</v>
      </c>
      <c r="L4016" s="3" t="n">
        <v>239.48</v>
      </c>
      <c r="M4016" s="3" t="n">
        <v>188.12</v>
      </c>
      <c r="N4016" s="3" t="n">
        <v>51.36</v>
      </c>
      <c r="O4016">
        <f>TEXT(A4016,"yyyy-mm")</f>
        <v/>
      </c>
    </row>
    <row r="4017">
      <c r="A4017" s="2" t="n">
        <v>46156</v>
      </c>
      <c r="B4017" t="n">
        <v>2026</v>
      </c>
      <c r="C4017" t="inlineStr">
        <is>
          <t>May</t>
        </is>
      </c>
      <c r="D4017" t="inlineStr">
        <is>
          <t>Portable Pasta</t>
        </is>
      </c>
      <c r="E4017" t="inlineStr">
        <is>
          <t>Grocery</t>
        </is>
      </c>
      <c r="F4017" t="inlineStr">
        <is>
          <t>Nina Bianchi</t>
        </is>
      </c>
      <c r="G4017" t="inlineStr">
        <is>
          <t>Italy</t>
        </is>
      </c>
      <c r="H4017" t="inlineStr">
        <is>
          <t>Marketplace</t>
        </is>
      </c>
      <c r="I4017" t="n">
        <v>5</v>
      </c>
      <c r="J4017" s="3" t="n">
        <v>188.15</v>
      </c>
      <c r="K4017" s="3" t="n">
        <v>0</v>
      </c>
      <c r="L4017" s="3" t="n">
        <v>188.15</v>
      </c>
      <c r="M4017" s="3" t="n">
        <v>138.75</v>
      </c>
      <c r="N4017" s="3" t="n">
        <v>49.4</v>
      </c>
      <c r="O4017">
        <f>TEXT(A4017,"yyyy-mm")</f>
        <v/>
      </c>
    </row>
    <row r="4018">
      <c r="A4018" s="2" t="n">
        <v>46156</v>
      </c>
      <c r="B4018" t="n">
        <v>2026</v>
      </c>
      <c r="C4018" t="inlineStr">
        <is>
          <t>May</t>
        </is>
      </c>
      <c r="D4018" t="inlineStr">
        <is>
          <t>Ultra Backpack</t>
        </is>
      </c>
      <c r="E4018" t="inlineStr">
        <is>
          <t>Sports &amp; Outdoors</t>
        </is>
      </c>
      <c r="F4018" t="inlineStr">
        <is>
          <t>Nina Bianchi</t>
        </is>
      </c>
      <c r="G4018" t="inlineStr">
        <is>
          <t>Italy</t>
        </is>
      </c>
      <c r="H4018" t="inlineStr">
        <is>
          <t>Marketplace</t>
        </is>
      </c>
      <c r="I4018" t="n">
        <v>5</v>
      </c>
      <c r="J4018" s="3" t="n">
        <v>1606.55</v>
      </c>
      <c r="K4018" s="3" t="n">
        <v>240.98</v>
      </c>
      <c r="L4018" s="3" t="n">
        <v>1365.57</v>
      </c>
      <c r="M4018" s="3" t="n">
        <v>868.45</v>
      </c>
      <c r="N4018" s="3" t="n">
        <v>497.12</v>
      </c>
      <c r="O4018">
        <f>TEXT(A4018,"yyyy-mm")</f>
        <v/>
      </c>
    </row>
    <row r="4019">
      <c r="A4019" s="2" t="n">
        <v>46157</v>
      </c>
      <c r="B4019" t="n">
        <v>2026</v>
      </c>
      <c r="C4019" t="inlineStr">
        <is>
          <t>May</t>
        </is>
      </c>
      <c r="D4019" t="inlineStr">
        <is>
          <t>Essential Notebook</t>
        </is>
      </c>
      <c r="E4019" t="inlineStr">
        <is>
          <t>Books</t>
        </is>
      </c>
      <c r="F4019" t="inlineStr">
        <is>
          <t>David Nowak</t>
        </is>
      </c>
      <c r="G4019" t="inlineStr">
        <is>
          <t>Germany</t>
        </is>
      </c>
      <c r="H4019" t="inlineStr">
        <is>
          <t>Retail Store</t>
        </is>
      </c>
      <c r="I4019" t="n">
        <v>3</v>
      </c>
      <c r="J4019" s="3" t="n">
        <v>341.64</v>
      </c>
      <c r="K4019" s="3" t="n">
        <v>34.16</v>
      </c>
      <c r="L4019" s="3" t="n">
        <v>307.48</v>
      </c>
      <c r="M4019" s="3" t="n">
        <v>237.3</v>
      </c>
      <c r="N4019" s="3" t="n">
        <v>70.18000000000001</v>
      </c>
      <c r="O4019">
        <f>TEXT(A4019,"yyyy-mm")</f>
        <v/>
      </c>
    </row>
    <row r="4020">
      <c r="A4020" s="2" t="n">
        <v>46157</v>
      </c>
      <c r="B4020" t="n">
        <v>2026</v>
      </c>
      <c r="C4020" t="inlineStr">
        <is>
          <t>May</t>
        </is>
      </c>
      <c r="D4020" t="inlineStr">
        <is>
          <t>Deluxe Headphones</t>
        </is>
      </c>
      <c r="E4020" t="inlineStr">
        <is>
          <t>Electronics</t>
        </is>
      </c>
      <c r="F4020" t="inlineStr">
        <is>
          <t>David Nowak</t>
        </is>
      </c>
      <c r="G4020" t="inlineStr">
        <is>
          <t>Germany</t>
        </is>
      </c>
      <c r="H4020" t="inlineStr">
        <is>
          <t>Retail Store</t>
        </is>
      </c>
      <c r="I4020" t="n">
        <v>3</v>
      </c>
      <c r="J4020" s="3" t="n">
        <v>218.7</v>
      </c>
      <c r="K4020" s="3" t="n">
        <v>21.87</v>
      </c>
      <c r="L4020" s="3" t="n">
        <v>196.83</v>
      </c>
      <c r="M4020" s="3" t="n">
        <v>157.5</v>
      </c>
      <c r="N4020" s="3" t="n">
        <v>39.33</v>
      </c>
      <c r="O4020">
        <f>TEXT(A4020,"yyyy-mm")</f>
        <v/>
      </c>
    </row>
    <row r="4021">
      <c r="A4021" s="2" t="n">
        <v>46157</v>
      </c>
      <c r="B4021" t="n">
        <v>2026</v>
      </c>
      <c r="C4021" t="inlineStr">
        <is>
          <t>May</t>
        </is>
      </c>
      <c r="D4021" t="inlineStr">
        <is>
          <t>Smart Camera</t>
        </is>
      </c>
      <c r="E4021" t="inlineStr">
        <is>
          <t>Electronics</t>
        </is>
      </c>
      <c r="F4021" t="inlineStr">
        <is>
          <t>Olivia Moreau</t>
        </is>
      </c>
      <c r="G4021" t="inlineStr">
        <is>
          <t>Poland</t>
        </is>
      </c>
      <c r="H4021" t="inlineStr">
        <is>
          <t>Retail Store</t>
        </is>
      </c>
      <c r="I4021" t="n">
        <v>4</v>
      </c>
      <c r="J4021" s="3" t="n">
        <v>503</v>
      </c>
      <c r="K4021" s="3" t="n">
        <v>50.3</v>
      </c>
      <c r="L4021" s="3" t="n">
        <v>452.7</v>
      </c>
      <c r="M4021" s="3" t="n">
        <v>342.32</v>
      </c>
      <c r="N4021" s="3" t="n">
        <v>110.38</v>
      </c>
      <c r="O4021">
        <f>TEXT(A4021,"yyyy-mm")</f>
        <v/>
      </c>
    </row>
    <row r="4022">
      <c r="A4022" s="2" t="n">
        <v>46157</v>
      </c>
      <c r="B4022" t="n">
        <v>2026</v>
      </c>
      <c r="C4022" t="inlineStr">
        <is>
          <t>May</t>
        </is>
      </c>
      <c r="D4022" t="inlineStr">
        <is>
          <t>Smart Puzzle</t>
        </is>
      </c>
      <c r="E4022" t="inlineStr">
        <is>
          <t>Toys &amp; Games</t>
        </is>
      </c>
      <c r="F4022" t="inlineStr">
        <is>
          <t>Laura Schmidt</t>
        </is>
      </c>
      <c r="G4022" t="inlineStr">
        <is>
          <t>United States</t>
        </is>
      </c>
      <c r="H4022" t="inlineStr">
        <is>
          <t>Retail Store</t>
        </is>
      </c>
      <c r="I4022" t="n">
        <v>5</v>
      </c>
      <c r="J4022" s="3" t="n">
        <v>224.45</v>
      </c>
      <c r="K4022" s="3" t="n">
        <v>33.67</v>
      </c>
      <c r="L4022" s="3" t="n">
        <v>190.78</v>
      </c>
      <c r="M4022" s="3" t="n">
        <v>122.2</v>
      </c>
      <c r="N4022" s="3" t="n">
        <v>68.58</v>
      </c>
      <c r="O4022">
        <f>TEXT(A4022,"yyyy-mm")</f>
        <v/>
      </c>
    </row>
    <row r="4023">
      <c r="A4023" s="2" t="n">
        <v>46157</v>
      </c>
      <c r="B4023" t="n">
        <v>2026</v>
      </c>
      <c r="C4023" t="inlineStr">
        <is>
          <t>May</t>
        </is>
      </c>
      <c r="D4023" t="inlineStr">
        <is>
          <t>Smart Charger</t>
        </is>
      </c>
      <c r="E4023" t="inlineStr">
        <is>
          <t>Electronics</t>
        </is>
      </c>
      <c r="F4023" t="inlineStr">
        <is>
          <t>Laura Schmidt</t>
        </is>
      </c>
      <c r="G4023" t="inlineStr">
        <is>
          <t>United States</t>
        </is>
      </c>
      <c r="H4023" t="inlineStr">
        <is>
          <t>Retail Store</t>
        </is>
      </c>
      <c r="I4023" t="n">
        <v>2</v>
      </c>
      <c r="J4023" s="3" t="n">
        <v>497.7</v>
      </c>
      <c r="K4023" s="3" t="n">
        <v>99.54000000000001</v>
      </c>
      <c r="L4023" s="3" t="n">
        <v>398.16</v>
      </c>
      <c r="M4023" s="3" t="n">
        <v>285.04</v>
      </c>
      <c r="N4023" s="3" t="n">
        <v>113.12</v>
      </c>
      <c r="O4023">
        <f>TEXT(A4023,"yyyy-mm")</f>
        <v/>
      </c>
    </row>
    <row r="4024">
      <c r="A4024" s="2" t="n">
        <v>46158</v>
      </c>
      <c r="B4024" t="n">
        <v>2026</v>
      </c>
      <c r="C4024" t="inlineStr">
        <is>
          <t>May</t>
        </is>
      </c>
      <c r="D4024" t="inlineStr">
        <is>
          <t>Essential Cushion</t>
        </is>
      </c>
      <c r="E4024" t="inlineStr">
        <is>
          <t>Home &amp; Garden</t>
        </is>
      </c>
      <c r="F4024" t="inlineStr">
        <is>
          <t>Maria Weber</t>
        </is>
      </c>
      <c r="G4024" t="inlineStr">
        <is>
          <t>Spain</t>
        </is>
      </c>
      <c r="H4024" t="inlineStr">
        <is>
          <t>Marketplace</t>
        </is>
      </c>
      <c r="I4024" t="n">
        <v>3</v>
      </c>
      <c r="J4024" s="3" t="n">
        <v>140.97</v>
      </c>
      <c r="K4024" s="3" t="n">
        <v>21.15</v>
      </c>
      <c r="L4024" s="3" t="n">
        <v>119.82</v>
      </c>
      <c r="M4024" s="3" t="n">
        <v>91.65000000000001</v>
      </c>
      <c r="N4024" s="3" t="n">
        <v>28.17</v>
      </c>
      <c r="O4024">
        <f>TEXT(A4024,"yyyy-mm")</f>
        <v/>
      </c>
    </row>
    <row r="4025">
      <c r="A4025" s="2" t="n">
        <v>46158</v>
      </c>
      <c r="B4025" t="n">
        <v>2026</v>
      </c>
      <c r="C4025" t="inlineStr">
        <is>
          <t>May</t>
        </is>
      </c>
      <c r="D4025" t="inlineStr">
        <is>
          <t>Smart Charger</t>
        </is>
      </c>
      <c r="E4025" t="inlineStr">
        <is>
          <t>Electronics</t>
        </is>
      </c>
      <c r="F4025" t="inlineStr">
        <is>
          <t>Maria Weber</t>
        </is>
      </c>
      <c r="G4025" t="inlineStr">
        <is>
          <t>Spain</t>
        </is>
      </c>
      <c r="H4025" t="inlineStr">
        <is>
          <t>Marketplace</t>
        </is>
      </c>
      <c r="I4025" t="n">
        <v>4</v>
      </c>
      <c r="J4025" s="3" t="n">
        <v>1037.2</v>
      </c>
      <c r="K4025" s="3" t="n">
        <v>0</v>
      </c>
      <c r="L4025" s="3" t="n">
        <v>1037.2</v>
      </c>
      <c r="M4025" s="3" t="n">
        <v>570.08</v>
      </c>
      <c r="N4025" s="3" t="n">
        <v>467.12</v>
      </c>
      <c r="O4025">
        <f>TEXT(A4025,"yyyy-mm")</f>
        <v/>
      </c>
    </row>
    <row r="4026">
      <c r="A4026" s="2" t="n">
        <v>46158</v>
      </c>
      <c r="B4026" t="n">
        <v>2026</v>
      </c>
      <c r="C4026" t="inlineStr">
        <is>
          <t>May</t>
        </is>
      </c>
      <c r="D4026" t="inlineStr">
        <is>
          <t>Essential Toolset</t>
        </is>
      </c>
      <c r="E4026" t="inlineStr">
        <is>
          <t>Home &amp; Garden</t>
        </is>
      </c>
      <c r="F4026" t="inlineStr">
        <is>
          <t>Maria Weber</t>
        </is>
      </c>
      <c r="G4026" t="inlineStr">
        <is>
          <t>Spain</t>
        </is>
      </c>
      <c r="H4026" t="inlineStr">
        <is>
          <t>Marketplace</t>
        </is>
      </c>
      <c r="I4026" t="n">
        <v>3</v>
      </c>
      <c r="J4026" s="3" t="n">
        <v>602.37</v>
      </c>
      <c r="K4026" s="3" t="n">
        <v>120.47</v>
      </c>
      <c r="L4026" s="3" t="n">
        <v>481.9</v>
      </c>
      <c r="M4026" s="3" t="n">
        <v>451.59</v>
      </c>
      <c r="N4026" s="3" t="n">
        <v>30.31</v>
      </c>
      <c r="O4026">
        <f>TEXT(A4026,"yyyy-mm")</f>
        <v/>
      </c>
    </row>
    <row r="4027">
      <c r="A4027" s="2" t="n">
        <v>46158</v>
      </c>
      <c r="B4027" t="n">
        <v>2026</v>
      </c>
      <c r="C4027" t="inlineStr">
        <is>
          <t>May</t>
        </is>
      </c>
      <c r="D4027" t="inlineStr">
        <is>
          <t>Portable Toolset</t>
        </is>
      </c>
      <c r="E4027" t="inlineStr">
        <is>
          <t>Home &amp; Garden</t>
        </is>
      </c>
      <c r="F4027" t="inlineStr">
        <is>
          <t>Emily Moreau</t>
        </is>
      </c>
      <c r="G4027" t="inlineStr">
        <is>
          <t>Germany</t>
        </is>
      </c>
      <c r="H4027" t="inlineStr">
        <is>
          <t>Mobile App</t>
        </is>
      </c>
      <c r="I4027" t="n">
        <v>5</v>
      </c>
      <c r="J4027" s="3" t="n">
        <v>719.15</v>
      </c>
      <c r="K4027" s="3" t="n">
        <v>0</v>
      </c>
      <c r="L4027" s="3" t="n">
        <v>719.15</v>
      </c>
      <c r="M4027" s="3" t="n">
        <v>464.25</v>
      </c>
      <c r="N4027" s="3" t="n">
        <v>254.9</v>
      </c>
      <c r="O4027">
        <f>TEXT(A4027,"yyyy-mm")</f>
        <v/>
      </c>
    </row>
    <row r="4028">
      <c r="A4028" s="2" t="n">
        <v>46158</v>
      </c>
      <c r="B4028" t="n">
        <v>2026</v>
      </c>
      <c r="C4028" t="inlineStr">
        <is>
          <t>May</t>
        </is>
      </c>
      <c r="D4028" t="inlineStr">
        <is>
          <t>Premium Water Bottle</t>
        </is>
      </c>
      <c r="E4028" t="inlineStr">
        <is>
          <t>Sports &amp; Outdoors</t>
        </is>
      </c>
      <c r="F4028" t="inlineStr">
        <is>
          <t>Emily Moreau</t>
        </is>
      </c>
      <c r="G4028" t="inlineStr">
        <is>
          <t>Germany</t>
        </is>
      </c>
      <c r="H4028" t="inlineStr">
        <is>
          <t>Mobile App</t>
        </is>
      </c>
      <c r="I4028" t="n">
        <v>5</v>
      </c>
      <c r="J4028" s="3" t="n">
        <v>144.1</v>
      </c>
      <c r="K4028" s="3" t="n">
        <v>7.2</v>
      </c>
      <c r="L4028" s="3" t="n">
        <v>136.89</v>
      </c>
      <c r="M4028" s="3" t="n">
        <v>83.15000000000001</v>
      </c>
      <c r="N4028" s="3" t="n">
        <v>53.74</v>
      </c>
      <c r="O4028">
        <f>TEXT(A4028,"yyyy-mm")</f>
        <v/>
      </c>
    </row>
    <row r="4029">
      <c r="A4029" s="2" t="n">
        <v>46158</v>
      </c>
      <c r="B4029" t="n">
        <v>2026</v>
      </c>
      <c r="C4029" t="inlineStr">
        <is>
          <t>May</t>
        </is>
      </c>
      <c r="D4029" t="inlineStr">
        <is>
          <t>Portable Puzzle</t>
        </is>
      </c>
      <c r="E4029" t="inlineStr">
        <is>
          <t>Toys &amp; Games</t>
        </is>
      </c>
      <c r="F4029" t="inlineStr">
        <is>
          <t>Olivia Kowalski</t>
        </is>
      </c>
      <c r="G4029" t="inlineStr">
        <is>
          <t>Poland</t>
        </is>
      </c>
      <c r="H4029" t="inlineStr">
        <is>
          <t>Marketplace</t>
        </is>
      </c>
      <c r="I4029" t="n">
        <v>4</v>
      </c>
      <c r="J4029" s="3" t="n">
        <v>432.68</v>
      </c>
      <c r="K4029" s="3" t="n">
        <v>64.90000000000001</v>
      </c>
      <c r="L4029" s="3" t="n">
        <v>367.78</v>
      </c>
      <c r="M4029" s="3" t="n">
        <v>235.2</v>
      </c>
      <c r="N4029" s="3" t="n">
        <v>132.58</v>
      </c>
      <c r="O4029">
        <f>TEXT(A4029,"yyyy-mm")</f>
        <v/>
      </c>
    </row>
    <row r="4030">
      <c r="A4030" s="2" t="n">
        <v>46158</v>
      </c>
      <c r="B4030" t="n">
        <v>2026</v>
      </c>
      <c r="C4030" t="inlineStr">
        <is>
          <t>May</t>
        </is>
      </c>
      <c r="D4030" t="inlineStr">
        <is>
          <t>Compact Pasta</t>
        </is>
      </c>
      <c r="E4030" t="inlineStr">
        <is>
          <t>Grocery</t>
        </is>
      </c>
      <c r="F4030" t="inlineStr">
        <is>
          <t>Olivia Kowalski</t>
        </is>
      </c>
      <c r="G4030" t="inlineStr">
        <is>
          <t>Poland</t>
        </is>
      </c>
      <c r="H4030" t="inlineStr">
        <is>
          <t>Marketplace</t>
        </is>
      </c>
      <c r="I4030" t="n">
        <v>1</v>
      </c>
      <c r="J4030" s="3" t="n">
        <v>299.34</v>
      </c>
      <c r="K4030" s="3" t="n">
        <v>0</v>
      </c>
      <c r="L4030" s="3" t="n">
        <v>299.34</v>
      </c>
      <c r="M4030" s="3" t="n">
        <v>199.4</v>
      </c>
      <c r="N4030" s="3" t="n">
        <v>99.94</v>
      </c>
      <c r="O4030">
        <f>TEXT(A4030,"yyyy-mm")</f>
        <v/>
      </c>
    </row>
    <row r="4031">
      <c r="A4031" s="2" t="n">
        <v>46158</v>
      </c>
      <c r="B4031" t="n">
        <v>2026</v>
      </c>
      <c r="C4031" t="inlineStr">
        <is>
          <t>May</t>
        </is>
      </c>
      <c r="D4031" t="inlineStr">
        <is>
          <t>Ultra Backpack</t>
        </is>
      </c>
      <c r="E4031" t="inlineStr">
        <is>
          <t>Sports &amp; Outdoors</t>
        </is>
      </c>
      <c r="F4031" t="inlineStr">
        <is>
          <t>Olivia Kowalski</t>
        </is>
      </c>
      <c r="G4031" t="inlineStr">
        <is>
          <t>Poland</t>
        </is>
      </c>
      <c r="H4031" t="inlineStr">
        <is>
          <t>Marketplace</t>
        </is>
      </c>
      <c r="I4031" t="n">
        <v>1</v>
      </c>
      <c r="J4031" s="3" t="n">
        <v>308.82</v>
      </c>
      <c r="K4031" s="3" t="n">
        <v>0</v>
      </c>
      <c r="L4031" s="3" t="n">
        <v>308.82</v>
      </c>
      <c r="M4031" s="3" t="n">
        <v>173.69</v>
      </c>
      <c r="N4031" s="3" t="n">
        <v>135.13</v>
      </c>
      <c r="O4031">
        <f>TEXT(A4031,"yyyy-mm")</f>
        <v/>
      </c>
    </row>
    <row r="4032">
      <c r="A4032" s="2" t="n">
        <v>46158</v>
      </c>
      <c r="B4032" t="n">
        <v>2026</v>
      </c>
      <c r="C4032" t="inlineStr">
        <is>
          <t>May</t>
        </is>
      </c>
      <c r="D4032" t="inlineStr">
        <is>
          <t>Portable Speaker</t>
        </is>
      </c>
      <c r="E4032" t="inlineStr">
        <is>
          <t>Electronics</t>
        </is>
      </c>
      <c r="F4032" t="inlineStr">
        <is>
          <t>Emily Moreau</t>
        </is>
      </c>
      <c r="G4032" t="inlineStr">
        <is>
          <t>Germany</t>
        </is>
      </c>
      <c r="H4032" t="inlineStr">
        <is>
          <t>Mobile App</t>
        </is>
      </c>
      <c r="I4032" t="n">
        <v>4</v>
      </c>
      <c r="J4032" s="3" t="n">
        <v>1339.4</v>
      </c>
      <c r="K4032" s="3" t="n">
        <v>200.91</v>
      </c>
      <c r="L4032" s="3" t="n">
        <v>1138.49</v>
      </c>
      <c r="M4032" s="3" t="n">
        <v>699.3200000000001</v>
      </c>
      <c r="N4032" s="3" t="n">
        <v>439.17</v>
      </c>
      <c r="O4032">
        <f>TEXT(A4032,"yyyy-mm")</f>
        <v/>
      </c>
    </row>
    <row r="4033">
      <c r="A4033" s="2" t="n">
        <v>46158</v>
      </c>
      <c r="B4033" t="n">
        <v>2026</v>
      </c>
      <c r="C4033" t="inlineStr">
        <is>
          <t>May</t>
        </is>
      </c>
      <c r="D4033" t="inlineStr">
        <is>
          <t>Smart Cookbook</t>
        </is>
      </c>
      <c r="E4033" t="inlineStr">
        <is>
          <t>Books</t>
        </is>
      </c>
      <c r="F4033" t="inlineStr">
        <is>
          <t>Maria Weber</t>
        </is>
      </c>
      <c r="G4033" t="inlineStr">
        <is>
          <t>Spain</t>
        </is>
      </c>
      <c r="H4033" t="inlineStr">
        <is>
          <t>Marketplace</t>
        </is>
      </c>
      <c r="I4033" t="n">
        <v>3</v>
      </c>
      <c r="J4033" s="3" t="n">
        <v>51.63</v>
      </c>
      <c r="K4033" s="3" t="n">
        <v>5.16</v>
      </c>
      <c r="L4033" s="3" t="n">
        <v>46.47</v>
      </c>
      <c r="M4033" s="3" t="n">
        <v>29.64</v>
      </c>
      <c r="N4033" s="3" t="n">
        <v>16.83</v>
      </c>
      <c r="O4033">
        <f>TEXT(A4033,"yyyy-mm")</f>
        <v/>
      </c>
    </row>
    <row r="4034">
      <c r="A4034" s="2" t="n">
        <v>46159</v>
      </c>
      <c r="B4034" t="n">
        <v>2026</v>
      </c>
      <c r="C4034" t="inlineStr">
        <is>
          <t>May</t>
        </is>
      </c>
      <c r="D4034" t="inlineStr">
        <is>
          <t>Deluxe Notebook</t>
        </is>
      </c>
      <c r="E4034" t="inlineStr">
        <is>
          <t>Books</t>
        </is>
      </c>
      <c r="F4034" t="inlineStr">
        <is>
          <t>Emily Schmidt</t>
        </is>
      </c>
      <c r="G4034" t="inlineStr">
        <is>
          <t>Netherlands</t>
        </is>
      </c>
      <c r="H4034" t="inlineStr">
        <is>
          <t>Web Store</t>
        </is>
      </c>
      <c r="I4034" t="n">
        <v>2</v>
      </c>
      <c r="J4034" s="3" t="n">
        <v>409.9</v>
      </c>
      <c r="K4034" s="3" t="n">
        <v>40.99</v>
      </c>
      <c r="L4034" s="3" t="n">
        <v>368.91</v>
      </c>
      <c r="M4034" s="3" t="n">
        <v>301.52</v>
      </c>
      <c r="N4034" s="3" t="n">
        <v>67.39</v>
      </c>
      <c r="O4034">
        <f>TEXT(A4034,"yyyy-mm")</f>
        <v/>
      </c>
    </row>
    <row r="4035">
      <c r="A4035" s="2" t="n">
        <v>46160</v>
      </c>
      <c r="B4035" t="n">
        <v>2026</v>
      </c>
      <c r="C4035" t="inlineStr">
        <is>
          <t>May</t>
        </is>
      </c>
      <c r="D4035" t="inlineStr">
        <is>
          <t>Eco Tent</t>
        </is>
      </c>
      <c r="E4035" t="inlineStr">
        <is>
          <t>Sports &amp; Outdoors</t>
        </is>
      </c>
      <c r="F4035" t="inlineStr">
        <is>
          <t>Nina Muller</t>
        </is>
      </c>
      <c r="G4035" t="inlineStr">
        <is>
          <t>Spain</t>
        </is>
      </c>
      <c r="H4035" t="inlineStr">
        <is>
          <t>Marketplace</t>
        </is>
      </c>
      <c r="I4035" t="n">
        <v>4</v>
      </c>
      <c r="J4035" s="3" t="n">
        <v>1004.8</v>
      </c>
      <c r="K4035" s="3" t="n">
        <v>100.48</v>
      </c>
      <c r="L4035" s="3" t="n">
        <v>904.3200000000001</v>
      </c>
      <c r="M4035" s="3" t="n">
        <v>540.12</v>
      </c>
      <c r="N4035" s="3" t="n">
        <v>364.2</v>
      </c>
      <c r="O4035">
        <f>TEXT(A4035,"yyyy-mm")</f>
        <v/>
      </c>
    </row>
    <row r="4036">
      <c r="A4036" s="2" t="n">
        <v>46160</v>
      </c>
      <c r="B4036" t="n">
        <v>2026</v>
      </c>
      <c r="C4036" t="inlineStr">
        <is>
          <t>May</t>
        </is>
      </c>
      <c r="D4036" t="inlineStr">
        <is>
          <t>Smart Olive Oil</t>
        </is>
      </c>
      <c r="E4036" t="inlineStr">
        <is>
          <t>Grocery</t>
        </is>
      </c>
      <c r="F4036" t="inlineStr">
        <is>
          <t>Maria Moreau</t>
        </is>
      </c>
      <c r="G4036" t="inlineStr">
        <is>
          <t>United Kingdom</t>
        </is>
      </c>
      <c r="H4036" t="inlineStr">
        <is>
          <t>Marketplace</t>
        </is>
      </c>
      <c r="I4036" t="n">
        <v>1</v>
      </c>
      <c r="J4036" s="3" t="n">
        <v>163.17</v>
      </c>
      <c r="K4036" s="3" t="n">
        <v>32.63</v>
      </c>
      <c r="L4036" s="3" t="n">
        <v>130.54</v>
      </c>
      <c r="M4036" s="3" t="n">
        <v>110.02</v>
      </c>
      <c r="N4036" s="3" t="n">
        <v>20.52</v>
      </c>
      <c r="O4036">
        <f>TEXT(A4036,"yyyy-mm")</f>
        <v/>
      </c>
    </row>
    <row r="4037">
      <c r="A4037" s="2" t="n">
        <v>46160</v>
      </c>
      <c r="B4037" t="n">
        <v>2026</v>
      </c>
      <c r="C4037" t="inlineStr">
        <is>
          <t>May</t>
        </is>
      </c>
      <c r="D4037" t="inlineStr">
        <is>
          <t>Deluxe Puzzle</t>
        </is>
      </c>
      <c r="E4037" t="inlineStr">
        <is>
          <t>Toys &amp; Games</t>
        </is>
      </c>
      <c r="F4037" t="inlineStr">
        <is>
          <t>Maria Moreau</t>
        </is>
      </c>
      <c r="G4037" t="inlineStr">
        <is>
          <t>United Kingdom</t>
        </is>
      </c>
      <c r="H4037" t="inlineStr">
        <is>
          <t>Marketplace</t>
        </is>
      </c>
      <c r="I4037" t="n">
        <v>5</v>
      </c>
      <c r="J4037" s="3" t="n">
        <v>1041.85</v>
      </c>
      <c r="K4037" s="3" t="n">
        <v>52.09</v>
      </c>
      <c r="L4037" s="3" t="n">
        <v>989.76</v>
      </c>
      <c r="M4037" s="3" t="n">
        <v>555.85</v>
      </c>
      <c r="N4037" s="3" t="n">
        <v>433.91</v>
      </c>
      <c r="O4037">
        <f>TEXT(A4037,"yyyy-mm")</f>
        <v/>
      </c>
    </row>
    <row r="4038">
      <c r="A4038" s="2" t="n">
        <v>46160</v>
      </c>
      <c r="B4038" t="n">
        <v>2026</v>
      </c>
      <c r="C4038" t="inlineStr">
        <is>
          <t>May</t>
        </is>
      </c>
      <c r="D4038" t="inlineStr">
        <is>
          <t>Premium Cookbook</t>
        </is>
      </c>
      <c r="E4038" t="inlineStr">
        <is>
          <t>Books</t>
        </is>
      </c>
      <c r="F4038" t="inlineStr">
        <is>
          <t>Maria Moreau</t>
        </is>
      </c>
      <c r="G4038" t="inlineStr">
        <is>
          <t>United Kingdom</t>
        </is>
      </c>
      <c r="H4038" t="inlineStr">
        <is>
          <t>Marketplace</t>
        </is>
      </c>
      <c r="I4038" t="n">
        <v>1</v>
      </c>
      <c r="J4038" s="3" t="n">
        <v>134.17</v>
      </c>
      <c r="K4038" s="3" t="n">
        <v>13.42</v>
      </c>
      <c r="L4038" s="3" t="n">
        <v>120.75</v>
      </c>
      <c r="M4038" s="3" t="n">
        <v>94.98</v>
      </c>
      <c r="N4038" s="3" t="n">
        <v>25.77</v>
      </c>
      <c r="O4038">
        <f>TEXT(A4038,"yyyy-mm")</f>
        <v/>
      </c>
    </row>
    <row r="4039">
      <c r="A4039" s="2" t="n">
        <v>46160</v>
      </c>
      <c r="B4039" t="n">
        <v>2026</v>
      </c>
      <c r="C4039" t="inlineStr">
        <is>
          <t>May</t>
        </is>
      </c>
      <c r="D4039" t="inlineStr">
        <is>
          <t>Classic Coffee Beans</t>
        </is>
      </c>
      <c r="E4039" t="inlineStr">
        <is>
          <t>Grocery</t>
        </is>
      </c>
      <c r="F4039" t="inlineStr">
        <is>
          <t>Mark Wilson</t>
        </is>
      </c>
      <c r="G4039" t="inlineStr">
        <is>
          <t>Italy</t>
        </is>
      </c>
      <c r="H4039" t="inlineStr">
        <is>
          <t>Mobile App</t>
        </is>
      </c>
      <c r="I4039" t="n">
        <v>3</v>
      </c>
      <c r="J4039" s="3" t="n">
        <v>972.9</v>
      </c>
      <c r="K4039" s="3" t="n">
        <v>97.29000000000001</v>
      </c>
      <c r="L4039" s="3" t="n">
        <v>875.61</v>
      </c>
      <c r="M4039" s="3" t="n">
        <v>584.28</v>
      </c>
      <c r="N4039" s="3" t="n">
        <v>291.33</v>
      </c>
      <c r="O4039">
        <f>TEXT(A4039,"yyyy-mm")</f>
        <v/>
      </c>
    </row>
    <row r="4040">
      <c r="A4040" s="2" t="n">
        <v>46160</v>
      </c>
      <c r="B4040" t="n">
        <v>2026</v>
      </c>
      <c r="C4040" t="inlineStr">
        <is>
          <t>May</t>
        </is>
      </c>
      <c r="D4040" t="inlineStr">
        <is>
          <t>Smart Tea Set</t>
        </is>
      </c>
      <c r="E4040" t="inlineStr">
        <is>
          <t>Grocery</t>
        </is>
      </c>
      <c r="F4040" t="inlineStr">
        <is>
          <t>Nina Weber</t>
        </is>
      </c>
      <c r="G4040" t="inlineStr">
        <is>
          <t>Italy</t>
        </is>
      </c>
      <c r="H4040" t="inlineStr">
        <is>
          <t>Mobile App</t>
        </is>
      </c>
      <c r="I4040" t="n">
        <v>5</v>
      </c>
      <c r="J4040" s="3" t="n">
        <v>422.9</v>
      </c>
      <c r="K4040" s="3" t="n">
        <v>84.58</v>
      </c>
      <c r="L4040" s="3" t="n">
        <v>338.32</v>
      </c>
      <c r="M4040" s="3" t="n">
        <v>309</v>
      </c>
      <c r="N4040" s="3" t="n">
        <v>29.32</v>
      </c>
      <c r="O4040">
        <f>TEXT(A4040,"yyyy-mm")</f>
        <v/>
      </c>
    </row>
    <row r="4041">
      <c r="A4041" s="2" t="n">
        <v>46160</v>
      </c>
      <c r="B4041" t="n">
        <v>2026</v>
      </c>
      <c r="C4041" t="inlineStr">
        <is>
          <t>May</t>
        </is>
      </c>
      <c r="D4041" t="inlineStr">
        <is>
          <t>Premium Cookbook</t>
        </is>
      </c>
      <c r="E4041" t="inlineStr">
        <is>
          <t>Books</t>
        </is>
      </c>
      <c r="F4041" t="inlineStr">
        <is>
          <t>Nina Weber</t>
        </is>
      </c>
      <c r="G4041" t="inlineStr">
        <is>
          <t>Italy</t>
        </is>
      </c>
      <c r="H4041" t="inlineStr">
        <is>
          <t>Mobile App</t>
        </is>
      </c>
      <c r="I4041" t="n">
        <v>4</v>
      </c>
      <c r="J4041" s="3" t="n">
        <v>527.88</v>
      </c>
      <c r="K4041" s="3" t="n">
        <v>105.58</v>
      </c>
      <c r="L4041" s="3" t="n">
        <v>422.3</v>
      </c>
      <c r="M4041" s="3" t="n">
        <v>379.92</v>
      </c>
      <c r="N4041" s="3" t="n">
        <v>42.38</v>
      </c>
      <c r="O4041">
        <f>TEXT(A4041,"yyyy-mm")</f>
        <v/>
      </c>
    </row>
    <row r="4042">
      <c r="A4042" s="2" t="n">
        <v>46160</v>
      </c>
      <c r="B4042" t="n">
        <v>2026</v>
      </c>
      <c r="C4042" t="inlineStr">
        <is>
          <t>May</t>
        </is>
      </c>
      <c r="D4042" t="inlineStr">
        <is>
          <t>Deluxe Toothbrush</t>
        </is>
      </c>
      <c r="E4042" t="inlineStr">
        <is>
          <t>Beauty &amp; Health</t>
        </is>
      </c>
      <c r="F4042" t="inlineStr">
        <is>
          <t>Nina Weber</t>
        </is>
      </c>
      <c r="G4042" t="inlineStr">
        <is>
          <t>Italy</t>
        </is>
      </c>
      <c r="H4042" t="inlineStr">
        <is>
          <t>Mobile App</t>
        </is>
      </c>
      <c r="I4042" t="n">
        <v>5</v>
      </c>
      <c r="J4042" s="3" t="n">
        <v>1644.35</v>
      </c>
      <c r="K4042" s="3" t="n">
        <v>82.22</v>
      </c>
      <c r="L4042" s="3" t="n">
        <v>1562.13</v>
      </c>
      <c r="M4042" s="3" t="n">
        <v>872.85</v>
      </c>
      <c r="N4042" s="3" t="n">
        <v>689.28</v>
      </c>
      <c r="O4042">
        <f>TEXT(A4042,"yyyy-mm")</f>
        <v/>
      </c>
    </row>
    <row r="4043">
      <c r="A4043" s="2" t="n">
        <v>46160</v>
      </c>
      <c r="B4043" t="n">
        <v>2026</v>
      </c>
      <c r="C4043" t="inlineStr">
        <is>
          <t>May</t>
        </is>
      </c>
      <c r="D4043" t="inlineStr">
        <is>
          <t>Compact Jacket</t>
        </is>
      </c>
      <c r="E4043" t="inlineStr">
        <is>
          <t>Clothing</t>
        </is>
      </c>
      <c r="F4043" t="inlineStr">
        <is>
          <t>John Johnson</t>
        </is>
      </c>
      <c r="G4043" t="inlineStr">
        <is>
          <t>Spain</t>
        </is>
      </c>
      <c r="H4043" t="inlineStr">
        <is>
          <t>Mobile App</t>
        </is>
      </c>
      <c r="I4043" t="n">
        <v>3</v>
      </c>
      <c r="J4043" s="3" t="n">
        <v>113.34</v>
      </c>
      <c r="K4043" s="3" t="n">
        <v>0</v>
      </c>
      <c r="L4043" s="3" t="n">
        <v>113.34</v>
      </c>
      <c r="M4043" s="3" t="n">
        <v>61.2</v>
      </c>
      <c r="N4043" s="3" t="n">
        <v>52.14</v>
      </c>
      <c r="O4043">
        <f>TEXT(A4043,"yyyy-mm")</f>
        <v/>
      </c>
    </row>
    <row r="4044">
      <c r="A4044" s="2" t="n">
        <v>46160</v>
      </c>
      <c r="B4044" t="n">
        <v>2026</v>
      </c>
      <c r="C4044" t="inlineStr">
        <is>
          <t>May</t>
        </is>
      </c>
      <c r="D4044" t="inlineStr">
        <is>
          <t>Classic Tea Set</t>
        </is>
      </c>
      <c r="E4044" t="inlineStr">
        <is>
          <t>Grocery</t>
        </is>
      </c>
      <c r="F4044" t="inlineStr">
        <is>
          <t>John Johnson</t>
        </is>
      </c>
      <c r="G4044" t="inlineStr">
        <is>
          <t>Spain</t>
        </is>
      </c>
      <c r="H4044" t="inlineStr">
        <is>
          <t>Mobile App</t>
        </is>
      </c>
      <c r="I4044" t="n">
        <v>5</v>
      </c>
      <c r="J4044" s="3" t="n">
        <v>937.65</v>
      </c>
      <c r="K4044" s="3" t="n">
        <v>0</v>
      </c>
      <c r="L4044" s="3" t="n">
        <v>937.65</v>
      </c>
      <c r="M4044" s="3" t="n">
        <v>627</v>
      </c>
      <c r="N4044" s="3" t="n">
        <v>310.65</v>
      </c>
      <c r="O4044">
        <f>TEXT(A4044,"yyyy-mm")</f>
        <v/>
      </c>
    </row>
    <row r="4045">
      <c r="A4045" s="2" t="n">
        <v>46161</v>
      </c>
      <c r="B4045" t="n">
        <v>2026</v>
      </c>
      <c r="C4045" t="inlineStr">
        <is>
          <t>May</t>
        </is>
      </c>
      <c r="D4045" t="inlineStr">
        <is>
          <t>Portable Speaker</t>
        </is>
      </c>
      <c r="E4045" t="inlineStr">
        <is>
          <t>Electronics</t>
        </is>
      </c>
      <c r="F4045" t="inlineStr">
        <is>
          <t>Maria Moreau</t>
        </is>
      </c>
      <c r="G4045" t="inlineStr">
        <is>
          <t>Germany</t>
        </is>
      </c>
      <c r="H4045" t="inlineStr">
        <is>
          <t>Retail Store</t>
        </is>
      </c>
      <c r="I4045" t="n">
        <v>3</v>
      </c>
      <c r="J4045" s="3" t="n">
        <v>1035.81</v>
      </c>
      <c r="K4045" s="3" t="n">
        <v>155.37</v>
      </c>
      <c r="L4045" s="3" t="n">
        <v>880.4400000000001</v>
      </c>
      <c r="M4045" s="3" t="n">
        <v>524.49</v>
      </c>
      <c r="N4045" s="3" t="n">
        <v>355.95</v>
      </c>
      <c r="O4045">
        <f>TEXT(A4045,"yyyy-mm")</f>
        <v/>
      </c>
    </row>
    <row r="4046">
      <c r="A4046" s="2" t="n">
        <v>46161</v>
      </c>
      <c r="B4046" t="n">
        <v>2026</v>
      </c>
      <c r="C4046" t="inlineStr">
        <is>
          <t>May</t>
        </is>
      </c>
      <c r="D4046" t="inlineStr">
        <is>
          <t>Smart Tea Set</t>
        </is>
      </c>
      <c r="E4046" t="inlineStr">
        <is>
          <t>Grocery</t>
        </is>
      </c>
      <c r="F4046" t="inlineStr">
        <is>
          <t>Maria Moreau</t>
        </is>
      </c>
      <c r="G4046" t="inlineStr">
        <is>
          <t>Germany</t>
        </is>
      </c>
      <c r="H4046" t="inlineStr">
        <is>
          <t>Retail Store</t>
        </is>
      </c>
      <c r="I4046" t="n">
        <v>5</v>
      </c>
      <c r="J4046" s="3" t="n">
        <v>454.45</v>
      </c>
      <c r="K4046" s="3" t="n">
        <v>0</v>
      </c>
      <c r="L4046" s="3" t="n">
        <v>454.45</v>
      </c>
      <c r="M4046" s="3" t="n">
        <v>309</v>
      </c>
      <c r="N4046" s="3" t="n">
        <v>145.45</v>
      </c>
      <c r="O4046">
        <f>TEXT(A4046,"yyyy-mm")</f>
        <v/>
      </c>
    </row>
    <row r="4047">
      <c r="A4047" s="2" t="n">
        <v>46161</v>
      </c>
      <c r="B4047" t="n">
        <v>2026</v>
      </c>
      <c r="C4047" t="inlineStr">
        <is>
          <t>May</t>
        </is>
      </c>
      <c r="D4047" t="inlineStr">
        <is>
          <t>Classic Yoga Mat</t>
        </is>
      </c>
      <c r="E4047" t="inlineStr">
        <is>
          <t>Sports &amp; Outdoors</t>
        </is>
      </c>
      <c r="F4047" t="inlineStr">
        <is>
          <t>Emily Muller</t>
        </is>
      </c>
      <c r="G4047" t="inlineStr">
        <is>
          <t>Netherlands</t>
        </is>
      </c>
      <c r="H4047" t="inlineStr">
        <is>
          <t>Retail Store</t>
        </is>
      </c>
      <c r="I4047" t="n">
        <v>1</v>
      </c>
      <c r="J4047" s="3" t="n">
        <v>329.77</v>
      </c>
      <c r="K4047" s="3" t="n">
        <v>0</v>
      </c>
      <c r="L4047" s="3" t="n">
        <v>329.77</v>
      </c>
      <c r="M4047" s="3" t="n">
        <v>195.7</v>
      </c>
      <c r="N4047" s="3" t="n">
        <v>134.07</v>
      </c>
      <c r="O4047">
        <f>TEXT(A4047,"yyyy-mm")</f>
        <v/>
      </c>
    </row>
    <row r="4048">
      <c r="A4048" s="2" t="n">
        <v>46161</v>
      </c>
      <c r="B4048" t="n">
        <v>2026</v>
      </c>
      <c r="C4048" t="inlineStr">
        <is>
          <t>May</t>
        </is>
      </c>
      <c r="D4048" t="inlineStr">
        <is>
          <t>Deluxe Smartwatch</t>
        </is>
      </c>
      <c r="E4048" t="inlineStr">
        <is>
          <t>Electronics</t>
        </is>
      </c>
      <c r="F4048" t="inlineStr">
        <is>
          <t>Maria Moreau</t>
        </is>
      </c>
      <c r="G4048" t="inlineStr">
        <is>
          <t>Germany</t>
        </is>
      </c>
      <c r="H4048" t="inlineStr">
        <is>
          <t>Retail Store</t>
        </is>
      </c>
      <c r="I4048" t="n">
        <v>5</v>
      </c>
      <c r="J4048" s="3" t="n">
        <v>839.45</v>
      </c>
      <c r="K4048" s="3" t="n">
        <v>125.92</v>
      </c>
      <c r="L4048" s="3" t="n">
        <v>713.53</v>
      </c>
      <c r="M4048" s="3" t="n">
        <v>613.6</v>
      </c>
      <c r="N4048" s="3" t="n">
        <v>99.93000000000001</v>
      </c>
      <c r="O4048">
        <f>TEXT(A4048,"yyyy-mm")</f>
        <v/>
      </c>
    </row>
    <row r="4049">
      <c r="A4049" s="2" t="n">
        <v>46162</v>
      </c>
      <c r="B4049" t="n">
        <v>2026</v>
      </c>
      <c r="C4049" t="inlineStr">
        <is>
          <t>May</t>
        </is>
      </c>
      <c r="D4049" t="inlineStr">
        <is>
          <t>Classic Charger</t>
        </is>
      </c>
      <c r="E4049" t="inlineStr">
        <is>
          <t>Electronics</t>
        </is>
      </c>
      <c r="F4049" t="inlineStr">
        <is>
          <t>Sophie Rossi</t>
        </is>
      </c>
      <c r="G4049" t="inlineStr">
        <is>
          <t>France</t>
        </is>
      </c>
      <c r="H4049" t="inlineStr">
        <is>
          <t>Retail Store</t>
        </is>
      </c>
      <c r="I4049" t="n">
        <v>4</v>
      </c>
      <c r="J4049" s="3" t="n">
        <v>395.4</v>
      </c>
      <c r="K4049" s="3" t="n">
        <v>0</v>
      </c>
      <c r="L4049" s="3" t="n">
        <v>395.4</v>
      </c>
      <c r="M4049" s="3" t="n">
        <v>248.84</v>
      </c>
      <c r="N4049" s="3" t="n">
        <v>146.56</v>
      </c>
      <c r="O4049">
        <f>TEXT(A4049,"yyyy-mm")</f>
        <v/>
      </c>
    </row>
    <row r="4050">
      <c r="A4050" s="2" t="n">
        <v>46162</v>
      </c>
      <c r="B4050" t="n">
        <v>2026</v>
      </c>
      <c r="C4050" t="inlineStr">
        <is>
          <t>May</t>
        </is>
      </c>
      <c r="D4050" t="inlineStr">
        <is>
          <t>Deluxe Headphones</t>
        </is>
      </c>
      <c r="E4050" t="inlineStr">
        <is>
          <t>Electronics</t>
        </is>
      </c>
      <c r="F4050" t="inlineStr">
        <is>
          <t>Sophie Rossi</t>
        </is>
      </c>
      <c r="G4050" t="inlineStr">
        <is>
          <t>France</t>
        </is>
      </c>
      <c r="H4050" t="inlineStr">
        <is>
          <t>Retail Store</t>
        </is>
      </c>
      <c r="I4050" t="n">
        <v>4</v>
      </c>
      <c r="J4050" s="3" t="n">
        <v>287.16</v>
      </c>
      <c r="K4050" s="3" t="n">
        <v>0</v>
      </c>
      <c r="L4050" s="3" t="n">
        <v>287.16</v>
      </c>
      <c r="M4050" s="3" t="n">
        <v>210</v>
      </c>
      <c r="N4050" s="3" t="n">
        <v>77.16</v>
      </c>
      <c r="O4050">
        <f>TEXT(A4050,"yyyy-mm")</f>
        <v/>
      </c>
    </row>
    <row r="4051">
      <c r="A4051" s="2" t="n">
        <v>46162</v>
      </c>
      <c r="B4051" t="n">
        <v>2026</v>
      </c>
      <c r="C4051" t="inlineStr">
        <is>
          <t>May</t>
        </is>
      </c>
      <c r="D4051" t="inlineStr">
        <is>
          <t>Wireless Backpack</t>
        </is>
      </c>
      <c r="E4051" t="inlineStr">
        <is>
          <t>Sports &amp; Outdoors</t>
        </is>
      </c>
      <c r="F4051" t="inlineStr">
        <is>
          <t>Sophie Rossi</t>
        </is>
      </c>
      <c r="G4051" t="inlineStr">
        <is>
          <t>France</t>
        </is>
      </c>
      <c r="H4051" t="inlineStr">
        <is>
          <t>Retail Store</t>
        </is>
      </c>
      <c r="I4051" t="n">
        <v>3</v>
      </c>
      <c r="J4051" s="3" t="n">
        <v>150.57</v>
      </c>
      <c r="K4051" s="3" t="n">
        <v>0</v>
      </c>
      <c r="L4051" s="3" t="n">
        <v>150.57</v>
      </c>
      <c r="M4051" s="3" t="n">
        <v>84.3</v>
      </c>
      <c r="N4051" s="3" t="n">
        <v>66.27</v>
      </c>
      <c r="O4051">
        <f>TEXT(A4051,"yyyy-mm")</f>
        <v/>
      </c>
    </row>
    <row r="4052">
      <c r="A4052" s="2" t="n">
        <v>46162</v>
      </c>
      <c r="B4052" t="n">
        <v>2026</v>
      </c>
      <c r="C4052" t="inlineStr">
        <is>
          <t>May</t>
        </is>
      </c>
      <c r="D4052" t="inlineStr">
        <is>
          <t>Classic Bike Helmet</t>
        </is>
      </c>
      <c r="E4052" t="inlineStr">
        <is>
          <t>Sports &amp; Outdoors</t>
        </is>
      </c>
      <c r="F4052" t="inlineStr">
        <is>
          <t>Sophie Rossi</t>
        </is>
      </c>
      <c r="G4052" t="inlineStr">
        <is>
          <t>France</t>
        </is>
      </c>
      <c r="H4052" t="inlineStr">
        <is>
          <t>Retail Store</t>
        </is>
      </c>
      <c r="I4052" t="n">
        <v>5</v>
      </c>
      <c r="J4052" s="3" t="n">
        <v>1109.5</v>
      </c>
      <c r="K4052" s="3" t="n">
        <v>110.95</v>
      </c>
      <c r="L4052" s="3" t="n">
        <v>998.55</v>
      </c>
      <c r="M4052" s="3" t="n">
        <v>769.05</v>
      </c>
      <c r="N4052" s="3" t="n">
        <v>229.5</v>
      </c>
      <c r="O4052">
        <f>TEXT(A4052,"yyyy-mm")</f>
        <v/>
      </c>
    </row>
    <row r="4053">
      <c r="A4053" s="2" t="n">
        <v>46162</v>
      </c>
      <c r="B4053" t="n">
        <v>2026</v>
      </c>
      <c r="C4053" t="inlineStr">
        <is>
          <t>May</t>
        </is>
      </c>
      <c r="D4053" t="inlineStr">
        <is>
          <t>Classic Charger</t>
        </is>
      </c>
      <c r="E4053" t="inlineStr">
        <is>
          <t>Electronics</t>
        </is>
      </c>
      <c r="F4053" t="inlineStr">
        <is>
          <t>Anna Dubois</t>
        </is>
      </c>
      <c r="G4053" t="inlineStr">
        <is>
          <t>Poland</t>
        </is>
      </c>
      <c r="H4053" t="inlineStr">
        <is>
          <t>Mobile App</t>
        </is>
      </c>
      <c r="I4053" t="n">
        <v>4</v>
      </c>
      <c r="J4053" s="3" t="n">
        <v>378</v>
      </c>
      <c r="K4053" s="3" t="n">
        <v>0</v>
      </c>
      <c r="L4053" s="3" t="n">
        <v>378</v>
      </c>
      <c r="M4053" s="3" t="n">
        <v>248.84</v>
      </c>
      <c r="N4053" s="3" t="n">
        <v>129.16</v>
      </c>
      <c r="O4053">
        <f>TEXT(A4053,"yyyy-mm")</f>
        <v/>
      </c>
    </row>
    <row r="4054">
      <c r="A4054" s="2" t="n">
        <v>46163</v>
      </c>
      <c r="B4054" t="n">
        <v>2026</v>
      </c>
      <c r="C4054" t="inlineStr">
        <is>
          <t>May</t>
        </is>
      </c>
      <c r="D4054" t="inlineStr">
        <is>
          <t>Smart Camera</t>
        </is>
      </c>
      <c r="E4054" t="inlineStr">
        <is>
          <t>Electronics</t>
        </is>
      </c>
      <c r="F4054" t="inlineStr">
        <is>
          <t>Maria Moreau</t>
        </is>
      </c>
      <c r="G4054" t="inlineStr">
        <is>
          <t>Germany</t>
        </is>
      </c>
      <c r="H4054" t="inlineStr">
        <is>
          <t>Marketplace</t>
        </is>
      </c>
      <c r="I4054" t="n">
        <v>2</v>
      </c>
      <c r="J4054" s="3" t="n">
        <v>643.46</v>
      </c>
      <c r="K4054" s="3" t="n">
        <v>0</v>
      </c>
      <c r="L4054" s="3" t="n">
        <v>643.46</v>
      </c>
      <c r="M4054" s="3" t="n">
        <v>334.8</v>
      </c>
      <c r="N4054" s="3" t="n">
        <v>308.66</v>
      </c>
      <c r="O4054">
        <f>TEXT(A4054,"yyyy-mm")</f>
        <v/>
      </c>
    </row>
    <row r="4055">
      <c r="A4055" s="2" t="n">
        <v>46163</v>
      </c>
      <c r="B4055" t="n">
        <v>2026</v>
      </c>
      <c r="C4055" t="inlineStr">
        <is>
          <t>May</t>
        </is>
      </c>
      <c r="D4055" t="inlineStr">
        <is>
          <t>Smart Cookbook</t>
        </is>
      </c>
      <c r="E4055" t="inlineStr">
        <is>
          <t>Books</t>
        </is>
      </c>
      <c r="F4055" t="inlineStr">
        <is>
          <t>Maria Moreau</t>
        </is>
      </c>
      <c r="G4055" t="inlineStr">
        <is>
          <t>Germany</t>
        </is>
      </c>
      <c r="H4055" t="inlineStr">
        <is>
          <t>Marketplace</t>
        </is>
      </c>
      <c r="I4055" t="n">
        <v>1</v>
      </c>
      <c r="J4055" s="3" t="n">
        <v>18.21</v>
      </c>
      <c r="K4055" s="3" t="n">
        <v>0</v>
      </c>
      <c r="L4055" s="3" t="n">
        <v>18.21</v>
      </c>
      <c r="M4055" s="3" t="n">
        <v>9.880000000000001</v>
      </c>
      <c r="N4055" s="3" t="n">
        <v>8.33</v>
      </c>
      <c r="O4055">
        <f>TEXT(A4055,"yyyy-mm")</f>
        <v/>
      </c>
    </row>
    <row r="4056">
      <c r="A4056" s="2" t="n">
        <v>46163</v>
      </c>
      <c r="B4056" t="n">
        <v>2026</v>
      </c>
      <c r="C4056" t="inlineStr">
        <is>
          <t>May</t>
        </is>
      </c>
      <c r="D4056" t="inlineStr">
        <is>
          <t>Portable Puzzle</t>
        </is>
      </c>
      <c r="E4056" t="inlineStr">
        <is>
          <t>Toys &amp; Games</t>
        </is>
      </c>
      <c r="F4056" t="inlineStr">
        <is>
          <t>Maria Moreau</t>
        </is>
      </c>
      <c r="G4056" t="inlineStr">
        <is>
          <t>Germany</t>
        </is>
      </c>
      <c r="H4056" t="inlineStr">
        <is>
          <t>Marketplace</t>
        </is>
      </c>
      <c r="I4056" t="n">
        <v>3</v>
      </c>
      <c r="J4056" s="3" t="n">
        <v>339.63</v>
      </c>
      <c r="K4056" s="3" t="n">
        <v>67.93000000000001</v>
      </c>
      <c r="L4056" s="3" t="n">
        <v>271.7</v>
      </c>
      <c r="M4056" s="3" t="n">
        <v>176.4</v>
      </c>
      <c r="N4056" s="3" t="n">
        <v>95.3</v>
      </c>
      <c r="O4056">
        <f>TEXT(A4056,"yyyy-mm")</f>
        <v/>
      </c>
    </row>
    <row r="4057">
      <c r="A4057" s="2" t="n">
        <v>46163</v>
      </c>
      <c r="B4057" t="n">
        <v>2026</v>
      </c>
      <c r="C4057" t="inlineStr">
        <is>
          <t>May</t>
        </is>
      </c>
      <c r="D4057" t="inlineStr">
        <is>
          <t>Classic Yoga Mat</t>
        </is>
      </c>
      <c r="E4057" t="inlineStr">
        <is>
          <t>Sports &amp; Outdoors</t>
        </is>
      </c>
      <c r="F4057" t="inlineStr">
        <is>
          <t>Maria Moreau</t>
        </is>
      </c>
      <c r="G4057" t="inlineStr">
        <is>
          <t>Germany</t>
        </is>
      </c>
      <c r="H4057" t="inlineStr">
        <is>
          <t>Marketplace</t>
        </is>
      </c>
      <c r="I4057" t="n">
        <v>2</v>
      </c>
      <c r="J4057" s="3" t="n">
        <v>634.28</v>
      </c>
      <c r="K4057" s="3" t="n">
        <v>0</v>
      </c>
      <c r="L4057" s="3" t="n">
        <v>634.28</v>
      </c>
      <c r="M4057" s="3" t="n">
        <v>391.4</v>
      </c>
      <c r="N4057" s="3" t="n">
        <v>242.88</v>
      </c>
      <c r="O4057">
        <f>TEXT(A4057,"yyyy-mm")</f>
        <v/>
      </c>
    </row>
    <row r="4058">
      <c r="A4058" s="2" t="n">
        <v>46163</v>
      </c>
      <c r="B4058" t="n">
        <v>2026</v>
      </c>
      <c r="C4058" t="inlineStr">
        <is>
          <t>May</t>
        </is>
      </c>
      <c r="D4058" t="inlineStr">
        <is>
          <t>Premium Tent</t>
        </is>
      </c>
      <c r="E4058" t="inlineStr">
        <is>
          <t>Sports &amp; Outdoors</t>
        </is>
      </c>
      <c r="F4058" t="inlineStr">
        <is>
          <t>Clara Schmidt</t>
        </is>
      </c>
      <c r="G4058" t="inlineStr">
        <is>
          <t>United States</t>
        </is>
      </c>
      <c r="H4058" t="inlineStr">
        <is>
          <t>Retail Store</t>
        </is>
      </c>
      <c r="I4058" t="n">
        <v>5</v>
      </c>
      <c r="J4058" s="3" t="n">
        <v>715.05</v>
      </c>
      <c r="K4058" s="3" t="n">
        <v>71.5</v>
      </c>
      <c r="L4058" s="3" t="n">
        <v>643.54</v>
      </c>
      <c r="M4058" s="3" t="n">
        <v>482</v>
      </c>
      <c r="N4058" s="3" t="n">
        <v>161.54</v>
      </c>
      <c r="O4058">
        <f>TEXT(A4058,"yyyy-mm")</f>
        <v/>
      </c>
    </row>
    <row r="4059">
      <c r="A4059" s="2" t="n">
        <v>46163</v>
      </c>
      <c r="B4059" t="n">
        <v>2026</v>
      </c>
      <c r="C4059" t="inlineStr">
        <is>
          <t>May</t>
        </is>
      </c>
      <c r="D4059" t="inlineStr">
        <is>
          <t>Compact Pasta</t>
        </is>
      </c>
      <c r="E4059" t="inlineStr">
        <is>
          <t>Grocery</t>
        </is>
      </c>
      <c r="F4059" t="inlineStr">
        <is>
          <t>Clara Schmidt</t>
        </is>
      </c>
      <c r="G4059" t="inlineStr">
        <is>
          <t>United States</t>
        </is>
      </c>
      <c r="H4059" t="inlineStr">
        <is>
          <t>Retail Store</t>
        </is>
      </c>
      <c r="I4059" t="n">
        <v>2</v>
      </c>
      <c r="J4059" s="3" t="n">
        <v>612.98</v>
      </c>
      <c r="K4059" s="3" t="n">
        <v>0</v>
      </c>
      <c r="L4059" s="3" t="n">
        <v>612.98</v>
      </c>
      <c r="M4059" s="3" t="n">
        <v>398.8</v>
      </c>
      <c r="N4059" s="3" t="n">
        <v>214.18</v>
      </c>
      <c r="O4059">
        <f>TEXT(A4059,"yyyy-mm")</f>
        <v/>
      </c>
    </row>
    <row r="4060">
      <c r="A4060" s="2" t="n">
        <v>46163</v>
      </c>
      <c r="B4060" t="n">
        <v>2026</v>
      </c>
      <c r="C4060" t="inlineStr">
        <is>
          <t>May</t>
        </is>
      </c>
      <c r="D4060" t="inlineStr">
        <is>
          <t>Smart Honey</t>
        </is>
      </c>
      <c r="E4060" t="inlineStr">
        <is>
          <t>Grocery</t>
        </is>
      </c>
      <c r="F4060" t="inlineStr">
        <is>
          <t>Laura Lopez</t>
        </is>
      </c>
      <c r="G4060" t="inlineStr">
        <is>
          <t>United Kingdom</t>
        </is>
      </c>
      <c r="H4060" t="inlineStr">
        <is>
          <t>Mobile App</t>
        </is>
      </c>
      <c r="I4060" t="n">
        <v>4</v>
      </c>
      <c r="J4060" s="3" t="n">
        <v>563.48</v>
      </c>
      <c r="K4060" s="3" t="n">
        <v>0</v>
      </c>
      <c r="L4060" s="3" t="n">
        <v>563.48</v>
      </c>
      <c r="M4060" s="3" t="n">
        <v>285.76</v>
      </c>
      <c r="N4060" s="3" t="n">
        <v>277.72</v>
      </c>
      <c r="O4060">
        <f>TEXT(A4060,"yyyy-mm")</f>
        <v/>
      </c>
    </row>
    <row r="4061">
      <c r="A4061" s="2" t="n">
        <v>46163</v>
      </c>
      <c r="B4061" t="n">
        <v>2026</v>
      </c>
      <c r="C4061" t="inlineStr">
        <is>
          <t>May</t>
        </is>
      </c>
      <c r="D4061" t="inlineStr">
        <is>
          <t>Smart Drone</t>
        </is>
      </c>
      <c r="E4061" t="inlineStr">
        <is>
          <t>Toys &amp; Games</t>
        </is>
      </c>
      <c r="F4061" t="inlineStr">
        <is>
          <t>Thomas Schmidt</t>
        </is>
      </c>
      <c r="G4061" t="inlineStr">
        <is>
          <t>France</t>
        </is>
      </c>
      <c r="H4061" t="inlineStr">
        <is>
          <t>Mobile App</t>
        </is>
      </c>
      <c r="I4061" t="n">
        <v>5</v>
      </c>
      <c r="J4061" s="3" t="n">
        <v>1141.3</v>
      </c>
      <c r="K4061" s="3" t="n">
        <v>228.26</v>
      </c>
      <c r="L4061" s="3" t="n">
        <v>913.04</v>
      </c>
      <c r="M4061" s="3" t="n">
        <v>634.75</v>
      </c>
      <c r="N4061" s="3" t="n">
        <v>278.29</v>
      </c>
      <c r="O4061">
        <f>TEXT(A4061,"yyyy-mm")</f>
        <v/>
      </c>
    </row>
    <row r="4062">
      <c r="A4062" s="2" t="n">
        <v>46163</v>
      </c>
      <c r="B4062" t="n">
        <v>2026</v>
      </c>
      <c r="C4062" t="inlineStr">
        <is>
          <t>May</t>
        </is>
      </c>
      <c r="D4062" t="inlineStr">
        <is>
          <t>Portable Notebook</t>
        </is>
      </c>
      <c r="E4062" t="inlineStr">
        <is>
          <t>Books</t>
        </is>
      </c>
      <c r="F4062" t="inlineStr">
        <is>
          <t>Thomas Schmidt</t>
        </is>
      </c>
      <c r="G4062" t="inlineStr">
        <is>
          <t>France</t>
        </is>
      </c>
      <c r="H4062" t="inlineStr">
        <is>
          <t>Mobile App</t>
        </is>
      </c>
      <c r="I4062" t="n">
        <v>3</v>
      </c>
      <c r="J4062" s="3" t="n">
        <v>390.03</v>
      </c>
      <c r="K4062" s="3" t="n">
        <v>78.01000000000001</v>
      </c>
      <c r="L4062" s="3" t="n">
        <v>312.02</v>
      </c>
      <c r="M4062" s="3" t="n">
        <v>213.84</v>
      </c>
      <c r="N4062" s="3" t="n">
        <v>98.18000000000001</v>
      </c>
      <c r="O4062">
        <f>TEXT(A4062,"yyyy-mm")</f>
        <v/>
      </c>
    </row>
    <row r="4063">
      <c r="A4063" s="2" t="n">
        <v>46163</v>
      </c>
      <c r="B4063" t="n">
        <v>2026</v>
      </c>
      <c r="C4063" t="inlineStr">
        <is>
          <t>May</t>
        </is>
      </c>
      <c r="D4063" t="inlineStr">
        <is>
          <t>Compact Pasta</t>
        </is>
      </c>
      <c r="E4063" t="inlineStr">
        <is>
          <t>Grocery</t>
        </is>
      </c>
      <c r="F4063" t="inlineStr">
        <is>
          <t>Thomas Schmidt</t>
        </is>
      </c>
      <c r="G4063" t="inlineStr">
        <is>
          <t>France</t>
        </is>
      </c>
      <c r="H4063" t="inlineStr">
        <is>
          <t>Mobile App</t>
        </is>
      </c>
      <c r="I4063" t="n">
        <v>2</v>
      </c>
      <c r="J4063" s="3" t="n">
        <v>645.5599999999999</v>
      </c>
      <c r="K4063" s="3" t="n">
        <v>0</v>
      </c>
      <c r="L4063" s="3" t="n">
        <v>645.5599999999999</v>
      </c>
      <c r="M4063" s="3" t="n">
        <v>398.8</v>
      </c>
      <c r="N4063" s="3" t="n">
        <v>246.76</v>
      </c>
      <c r="O4063">
        <f>TEXT(A4063,"yyyy-mm")</f>
        <v/>
      </c>
    </row>
    <row r="4064">
      <c r="A4064" s="2" t="n">
        <v>46163</v>
      </c>
      <c r="B4064" t="n">
        <v>2026</v>
      </c>
      <c r="C4064" t="inlineStr">
        <is>
          <t>May</t>
        </is>
      </c>
      <c r="D4064" t="inlineStr">
        <is>
          <t>Portable Tea Set</t>
        </is>
      </c>
      <c r="E4064" t="inlineStr">
        <is>
          <t>Grocery</t>
        </is>
      </c>
      <c r="F4064" t="inlineStr">
        <is>
          <t>Laura Lopez</t>
        </is>
      </c>
      <c r="G4064" t="inlineStr">
        <is>
          <t>United Kingdom</t>
        </is>
      </c>
      <c r="H4064" t="inlineStr">
        <is>
          <t>Mobile App</t>
        </is>
      </c>
      <c r="I4064" t="n">
        <v>2</v>
      </c>
      <c r="J4064" s="3" t="n">
        <v>562.58</v>
      </c>
      <c r="K4064" s="3" t="n">
        <v>28.13</v>
      </c>
      <c r="L4064" s="3" t="n">
        <v>534.45</v>
      </c>
      <c r="M4064" s="3" t="n">
        <v>376.24</v>
      </c>
      <c r="N4064" s="3" t="n">
        <v>158.21</v>
      </c>
      <c r="O4064">
        <f>TEXT(A4064,"yyyy-mm")</f>
        <v/>
      </c>
    </row>
    <row r="4065">
      <c r="A4065" s="2" t="n">
        <v>46163</v>
      </c>
      <c r="B4065" t="n">
        <v>2026</v>
      </c>
      <c r="C4065" t="inlineStr">
        <is>
          <t>May</t>
        </is>
      </c>
      <c r="D4065" t="inlineStr">
        <is>
          <t>Portable Tea Set</t>
        </is>
      </c>
      <c r="E4065" t="inlineStr">
        <is>
          <t>Grocery</t>
        </is>
      </c>
      <c r="F4065" t="inlineStr">
        <is>
          <t>Clara Schmidt</t>
        </is>
      </c>
      <c r="G4065" t="inlineStr">
        <is>
          <t>United States</t>
        </is>
      </c>
      <c r="H4065" t="inlineStr">
        <is>
          <t>Retail Store</t>
        </is>
      </c>
      <c r="I4065" t="n">
        <v>3</v>
      </c>
      <c r="J4065" s="3" t="n">
        <v>824.1</v>
      </c>
      <c r="K4065" s="3" t="n">
        <v>0</v>
      </c>
      <c r="L4065" s="3" t="n">
        <v>824.1</v>
      </c>
      <c r="M4065" s="3" t="n">
        <v>564.36</v>
      </c>
      <c r="N4065" s="3" t="n">
        <v>259.74</v>
      </c>
      <c r="O4065">
        <f>TEXT(A4065,"yyyy-mm")</f>
        <v/>
      </c>
    </row>
    <row r="4066">
      <c r="A4066" s="2" t="n">
        <v>46164</v>
      </c>
      <c r="B4066" t="n">
        <v>2026</v>
      </c>
      <c r="C4066" t="inlineStr">
        <is>
          <t>May</t>
        </is>
      </c>
      <c r="D4066" t="inlineStr">
        <is>
          <t>Smart Face Cream</t>
        </is>
      </c>
      <c r="E4066" t="inlineStr">
        <is>
          <t>Beauty &amp; Health</t>
        </is>
      </c>
      <c r="F4066" t="inlineStr">
        <is>
          <t>Clara Nowak</t>
        </is>
      </c>
      <c r="G4066" t="inlineStr">
        <is>
          <t>United Kingdom</t>
        </is>
      </c>
      <c r="H4066" t="inlineStr">
        <is>
          <t>Retail Store</t>
        </is>
      </c>
      <c r="I4066" t="n">
        <v>3</v>
      </c>
      <c r="J4066" s="3" t="n">
        <v>777.12</v>
      </c>
      <c r="K4066" s="3" t="n">
        <v>155.42</v>
      </c>
      <c r="L4066" s="3" t="n">
        <v>621.7</v>
      </c>
      <c r="M4066" s="3" t="n">
        <v>579.42</v>
      </c>
      <c r="N4066" s="3" t="n">
        <v>42.28</v>
      </c>
      <c r="O4066">
        <f>TEXT(A4066,"yyyy-mm")</f>
        <v/>
      </c>
    </row>
    <row r="4067">
      <c r="A4067" s="2" t="n">
        <v>46164</v>
      </c>
      <c r="B4067" t="n">
        <v>2026</v>
      </c>
      <c r="C4067" t="inlineStr">
        <is>
          <t>May</t>
        </is>
      </c>
      <c r="D4067" t="inlineStr">
        <is>
          <t>Essential Cushion</t>
        </is>
      </c>
      <c r="E4067" t="inlineStr">
        <is>
          <t>Home &amp; Garden</t>
        </is>
      </c>
      <c r="F4067" t="inlineStr">
        <is>
          <t>Clara Nowak</t>
        </is>
      </c>
      <c r="G4067" t="inlineStr">
        <is>
          <t>United Kingdom</t>
        </is>
      </c>
      <c r="H4067" t="inlineStr">
        <is>
          <t>Retail Store</t>
        </is>
      </c>
      <c r="I4067" t="n">
        <v>2</v>
      </c>
      <c r="J4067" s="3" t="n">
        <v>89.12</v>
      </c>
      <c r="K4067" s="3" t="n">
        <v>8.91</v>
      </c>
      <c r="L4067" s="3" t="n">
        <v>80.20999999999999</v>
      </c>
      <c r="M4067" s="3" t="n">
        <v>61.1</v>
      </c>
      <c r="N4067" s="3" t="n">
        <v>19.11</v>
      </c>
      <c r="O4067">
        <f>TEXT(A4067,"yyyy-mm")</f>
        <v/>
      </c>
    </row>
    <row r="4068">
      <c r="A4068" s="2" t="n">
        <v>46164</v>
      </c>
      <c r="B4068" t="n">
        <v>2026</v>
      </c>
      <c r="C4068" t="inlineStr">
        <is>
          <t>May</t>
        </is>
      </c>
      <c r="D4068" t="inlineStr">
        <is>
          <t>Smart Cookbook</t>
        </is>
      </c>
      <c r="E4068" t="inlineStr">
        <is>
          <t>Books</t>
        </is>
      </c>
      <c r="F4068" t="inlineStr">
        <is>
          <t>Clara Nowak</t>
        </is>
      </c>
      <c r="G4068" t="inlineStr">
        <is>
          <t>United Kingdom</t>
        </is>
      </c>
      <c r="H4068" t="inlineStr">
        <is>
          <t>Retail Store</t>
        </is>
      </c>
      <c r="I4068" t="n">
        <v>4</v>
      </c>
      <c r="J4068" s="3" t="n">
        <v>75.31999999999999</v>
      </c>
      <c r="K4068" s="3" t="n">
        <v>0</v>
      </c>
      <c r="L4068" s="3" t="n">
        <v>75.31999999999999</v>
      </c>
      <c r="M4068" s="3" t="n">
        <v>39.52</v>
      </c>
      <c r="N4068" s="3" t="n">
        <v>35.8</v>
      </c>
      <c r="O4068">
        <f>TEXT(A4068,"yyyy-mm")</f>
        <v/>
      </c>
    </row>
    <row r="4069">
      <c r="A4069" s="2" t="n">
        <v>46164</v>
      </c>
      <c r="B4069" t="n">
        <v>2026</v>
      </c>
      <c r="C4069" t="inlineStr">
        <is>
          <t>May</t>
        </is>
      </c>
      <c r="D4069" t="inlineStr">
        <is>
          <t>Compact Biography</t>
        </is>
      </c>
      <c r="E4069" t="inlineStr">
        <is>
          <t>Books</t>
        </is>
      </c>
      <c r="F4069" t="inlineStr">
        <is>
          <t>Clara Nowak</t>
        </is>
      </c>
      <c r="G4069" t="inlineStr">
        <is>
          <t>United Kingdom</t>
        </is>
      </c>
      <c r="H4069" t="inlineStr">
        <is>
          <t>Retail Store</t>
        </is>
      </c>
      <c r="I4069" t="n">
        <v>1</v>
      </c>
      <c r="J4069" s="3" t="n">
        <v>263.85</v>
      </c>
      <c r="K4069" s="3" t="n">
        <v>0</v>
      </c>
      <c r="L4069" s="3" t="n">
        <v>263.85</v>
      </c>
      <c r="M4069" s="3" t="n">
        <v>140.33</v>
      </c>
      <c r="N4069" s="3" t="n">
        <v>123.52</v>
      </c>
      <c r="O4069">
        <f>TEXT(A4069,"yyyy-mm")</f>
        <v/>
      </c>
    </row>
    <row r="4070">
      <c r="A4070" s="2" t="n">
        <v>46164</v>
      </c>
      <c r="B4070" t="n">
        <v>2026</v>
      </c>
      <c r="C4070" t="inlineStr">
        <is>
          <t>May</t>
        </is>
      </c>
      <c r="D4070" t="inlineStr">
        <is>
          <t>Compact Biography</t>
        </is>
      </c>
      <c r="E4070" t="inlineStr">
        <is>
          <t>Books</t>
        </is>
      </c>
      <c r="F4070" t="inlineStr">
        <is>
          <t>Maria Rossi</t>
        </is>
      </c>
      <c r="G4070" t="inlineStr">
        <is>
          <t>Spain</t>
        </is>
      </c>
      <c r="H4070" t="inlineStr">
        <is>
          <t>Web Store</t>
        </is>
      </c>
      <c r="I4070" t="n">
        <v>3</v>
      </c>
      <c r="J4070" s="3" t="n">
        <v>744.1799999999999</v>
      </c>
      <c r="K4070" s="3" t="n">
        <v>37.21</v>
      </c>
      <c r="L4070" s="3" t="n">
        <v>706.97</v>
      </c>
      <c r="M4070" s="3" t="n">
        <v>420.99</v>
      </c>
      <c r="N4070" s="3" t="n">
        <v>285.98</v>
      </c>
      <c r="O4070">
        <f>TEXT(A4070,"yyyy-mm")</f>
        <v/>
      </c>
    </row>
    <row r="4071">
      <c r="A4071" s="2" t="n">
        <v>46165</v>
      </c>
      <c r="B4071" t="n">
        <v>2026</v>
      </c>
      <c r="C4071" t="inlineStr">
        <is>
          <t>May</t>
        </is>
      </c>
      <c r="D4071" t="inlineStr">
        <is>
          <t>Eco Sweater</t>
        </is>
      </c>
      <c r="E4071" t="inlineStr">
        <is>
          <t>Clothing</t>
        </is>
      </c>
      <c r="F4071" t="inlineStr">
        <is>
          <t>James Schmidt</t>
        </is>
      </c>
      <c r="G4071" t="inlineStr">
        <is>
          <t>Spain</t>
        </is>
      </c>
      <c r="H4071" t="inlineStr">
        <is>
          <t>Mobile App</t>
        </is>
      </c>
      <c r="I4071" t="n">
        <v>3</v>
      </c>
      <c r="J4071" s="3" t="n">
        <v>436.59</v>
      </c>
      <c r="K4071" s="3" t="n">
        <v>21.83</v>
      </c>
      <c r="L4071" s="3" t="n">
        <v>414.76</v>
      </c>
      <c r="M4071" s="3" t="n">
        <v>312.69</v>
      </c>
      <c r="N4071" s="3" t="n">
        <v>102.07</v>
      </c>
      <c r="O4071">
        <f>TEXT(A4071,"yyyy-mm")</f>
        <v/>
      </c>
    </row>
    <row r="4072">
      <c r="A4072" s="2" t="n">
        <v>46165</v>
      </c>
      <c r="B4072" t="n">
        <v>2026</v>
      </c>
      <c r="C4072" t="inlineStr">
        <is>
          <t>May</t>
        </is>
      </c>
      <c r="D4072" t="inlineStr">
        <is>
          <t>Wireless Honey</t>
        </is>
      </c>
      <c r="E4072" t="inlineStr">
        <is>
          <t>Grocery</t>
        </is>
      </c>
      <c r="F4072" t="inlineStr">
        <is>
          <t>James Schmidt</t>
        </is>
      </c>
      <c r="G4072" t="inlineStr">
        <is>
          <t>Spain</t>
        </is>
      </c>
      <c r="H4072" t="inlineStr">
        <is>
          <t>Mobile App</t>
        </is>
      </c>
      <c r="I4072" t="n">
        <v>5</v>
      </c>
      <c r="J4072" s="3" t="n">
        <v>633.3</v>
      </c>
      <c r="K4072" s="3" t="n">
        <v>0</v>
      </c>
      <c r="L4072" s="3" t="n">
        <v>633.3</v>
      </c>
      <c r="M4072" s="3" t="n">
        <v>470.35</v>
      </c>
      <c r="N4072" s="3" t="n">
        <v>162.95</v>
      </c>
      <c r="O4072">
        <f>TEXT(A4072,"yyyy-mm")</f>
        <v/>
      </c>
    </row>
    <row r="4073">
      <c r="A4073" s="2" t="n">
        <v>46165</v>
      </c>
      <c r="B4073" t="n">
        <v>2026</v>
      </c>
      <c r="C4073" t="inlineStr">
        <is>
          <t>May</t>
        </is>
      </c>
      <c r="D4073" t="inlineStr">
        <is>
          <t>Smart Puzzle</t>
        </is>
      </c>
      <c r="E4073" t="inlineStr">
        <is>
          <t>Toys &amp; Games</t>
        </is>
      </c>
      <c r="F4073" t="inlineStr">
        <is>
          <t>James Schmidt</t>
        </is>
      </c>
      <c r="G4073" t="inlineStr">
        <is>
          <t>Spain</t>
        </is>
      </c>
      <c r="H4073" t="inlineStr">
        <is>
          <t>Mobile App</t>
        </is>
      </c>
      <c r="I4073" t="n">
        <v>4</v>
      </c>
      <c r="J4073" s="3" t="n">
        <v>1025.96</v>
      </c>
      <c r="K4073" s="3" t="n">
        <v>0</v>
      </c>
      <c r="L4073" s="3" t="n">
        <v>1025.96</v>
      </c>
      <c r="M4073" s="3" t="n">
        <v>771.04</v>
      </c>
      <c r="N4073" s="3" t="n">
        <v>254.92</v>
      </c>
      <c r="O4073">
        <f>TEXT(A4073,"yyyy-mm")</f>
        <v/>
      </c>
    </row>
    <row r="4074">
      <c r="A4074" s="2" t="n">
        <v>46165</v>
      </c>
      <c r="B4074" t="n">
        <v>2026</v>
      </c>
      <c r="C4074" t="inlineStr">
        <is>
          <t>May</t>
        </is>
      </c>
      <c r="D4074" t="inlineStr">
        <is>
          <t>Classic Bike Helmet</t>
        </is>
      </c>
      <c r="E4074" t="inlineStr">
        <is>
          <t>Sports &amp; Outdoors</t>
        </is>
      </c>
      <c r="F4074" t="inlineStr">
        <is>
          <t>John Lopez</t>
        </is>
      </c>
      <c r="G4074" t="inlineStr">
        <is>
          <t>Germany</t>
        </is>
      </c>
      <c r="H4074" t="inlineStr">
        <is>
          <t>Mobile App</t>
        </is>
      </c>
      <c r="I4074" t="n">
        <v>1</v>
      </c>
      <c r="J4074" s="3" t="n">
        <v>225.85</v>
      </c>
      <c r="K4074" s="3" t="n">
        <v>0</v>
      </c>
      <c r="L4074" s="3" t="n">
        <v>225.85</v>
      </c>
      <c r="M4074" s="3" t="n">
        <v>153.81</v>
      </c>
      <c r="N4074" s="3" t="n">
        <v>72.04000000000001</v>
      </c>
      <c r="O4074">
        <f>TEXT(A4074,"yyyy-mm")</f>
        <v/>
      </c>
    </row>
    <row r="4075">
      <c r="A4075" s="2" t="n">
        <v>46165</v>
      </c>
      <c r="B4075" t="n">
        <v>2026</v>
      </c>
      <c r="C4075" t="inlineStr">
        <is>
          <t>May</t>
        </is>
      </c>
      <c r="D4075" t="inlineStr">
        <is>
          <t>Wireless Coffee Beans</t>
        </is>
      </c>
      <c r="E4075" t="inlineStr">
        <is>
          <t>Grocery</t>
        </is>
      </c>
      <c r="F4075" t="inlineStr">
        <is>
          <t>John Lopez</t>
        </is>
      </c>
      <c r="G4075" t="inlineStr">
        <is>
          <t>Germany</t>
        </is>
      </c>
      <c r="H4075" t="inlineStr">
        <is>
          <t>Mobile App</t>
        </is>
      </c>
      <c r="I4075" t="n">
        <v>4</v>
      </c>
      <c r="J4075" s="3" t="n">
        <v>827.8</v>
      </c>
      <c r="K4075" s="3" t="n">
        <v>124.17</v>
      </c>
      <c r="L4075" s="3" t="n">
        <v>703.63</v>
      </c>
      <c r="M4075" s="3" t="n">
        <v>520.52</v>
      </c>
      <c r="N4075" s="3" t="n">
        <v>183.11</v>
      </c>
      <c r="O4075">
        <f>TEXT(A4075,"yyyy-mm")</f>
        <v/>
      </c>
    </row>
    <row r="4076">
      <c r="A4076" s="2" t="n">
        <v>46165</v>
      </c>
      <c r="B4076" t="n">
        <v>2026</v>
      </c>
      <c r="C4076" t="inlineStr">
        <is>
          <t>May</t>
        </is>
      </c>
      <c r="D4076" t="inlineStr">
        <is>
          <t>Portable Pasta</t>
        </is>
      </c>
      <c r="E4076" t="inlineStr">
        <is>
          <t>Grocery</t>
        </is>
      </c>
      <c r="F4076" t="inlineStr">
        <is>
          <t>John Lopez</t>
        </is>
      </c>
      <c r="G4076" t="inlineStr">
        <is>
          <t>Germany</t>
        </is>
      </c>
      <c r="H4076" t="inlineStr">
        <is>
          <t>Mobile App</t>
        </is>
      </c>
      <c r="I4076" t="n">
        <v>3</v>
      </c>
      <c r="J4076" s="3" t="n">
        <v>115.05</v>
      </c>
      <c r="K4076" s="3" t="n">
        <v>23.01</v>
      </c>
      <c r="L4076" s="3" t="n">
        <v>92.04000000000001</v>
      </c>
      <c r="M4076" s="3" t="n">
        <v>83.25</v>
      </c>
      <c r="N4076" s="3" t="n">
        <v>8.789999999999999</v>
      </c>
      <c r="O4076">
        <f>TEXT(A4076,"yyyy-mm")</f>
        <v/>
      </c>
    </row>
    <row r="4077">
      <c r="A4077" s="2" t="n">
        <v>46166</v>
      </c>
      <c r="B4077" t="n">
        <v>2026</v>
      </c>
      <c r="C4077" t="inlineStr">
        <is>
          <t>May</t>
        </is>
      </c>
      <c r="D4077" t="inlineStr">
        <is>
          <t>Classic Yoga Mat</t>
        </is>
      </c>
      <c r="E4077" t="inlineStr">
        <is>
          <t>Sports &amp; Outdoors</t>
        </is>
      </c>
      <c r="F4077" t="inlineStr">
        <is>
          <t>Robert Brown</t>
        </is>
      </c>
      <c r="G4077" t="inlineStr">
        <is>
          <t>United Kingdom</t>
        </is>
      </c>
      <c r="H4077" t="inlineStr">
        <is>
          <t>Web Store</t>
        </is>
      </c>
      <c r="I4077" t="n">
        <v>1</v>
      </c>
      <c r="J4077" s="3" t="n">
        <v>316.37</v>
      </c>
      <c r="K4077" s="3" t="n">
        <v>0</v>
      </c>
      <c r="L4077" s="3" t="n">
        <v>316.37</v>
      </c>
      <c r="M4077" s="3" t="n">
        <v>195.7</v>
      </c>
      <c r="N4077" s="3" t="n">
        <v>120.67</v>
      </c>
      <c r="O4077">
        <f>TEXT(A4077,"yyyy-mm")</f>
        <v/>
      </c>
    </row>
    <row r="4078">
      <c r="A4078" s="2" t="n">
        <v>46166</v>
      </c>
      <c r="B4078" t="n">
        <v>2026</v>
      </c>
      <c r="C4078" t="inlineStr">
        <is>
          <t>May</t>
        </is>
      </c>
      <c r="D4078" t="inlineStr">
        <is>
          <t>Eco Drone</t>
        </is>
      </c>
      <c r="E4078" t="inlineStr">
        <is>
          <t>Toys &amp; Games</t>
        </is>
      </c>
      <c r="F4078" t="inlineStr">
        <is>
          <t>Robert Brown</t>
        </is>
      </c>
      <c r="G4078" t="inlineStr">
        <is>
          <t>United Kingdom</t>
        </is>
      </c>
      <c r="H4078" t="inlineStr">
        <is>
          <t>Web Store</t>
        </is>
      </c>
      <c r="I4078" t="n">
        <v>3</v>
      </c>
      <c r="J4078" s="3" t="n">
        <v>631.59</v>
      </c>
      <c r="K4078" s="3" t="n">
        <v>0</v>
      </c>
      <c r="L4078" s="3" t="n">
        <v>631.59</v>
      </c>
      <c r="M4078" s="3" t="n">
        <v>388.77</v>
      </c>
      <c r="N4078" s="3" t="n">
        <v>242.82</v>
      </c>
      <c r="O4078">
        <f>TEXT(A4078,"yyyy-mm")</f>
        <v/>
      </c>
    </row>
    <row r="4079">
      <c r="A4079" s="2" t="n">
        <v>46166</v>
      </c>
      <c r="B4079" t="n">
        <v>2026</v>
      </c>
      <c r="C4079" t="inlineStr">
        <is>
          <t>May</t>
        </is>
      </c>
      <c r="D4079" t="inlineStr">
        <is>
          <t>Deluxe Scarf</t>
        </is>
      </c>
      <c r="E4079" t="inlineStr">
        <is>
          <t>Clothing</t>
        </is>
      </c>
      <c r="F4079" t="inlineStr">
        <is>
          <t>Robert Brown</t>
        </is>
      </c>
      <c r="G4079" t="inlineStr">
        <is>
          <t>United Kingdom</t>
        </is>
      </c>
      <c r="H4079" t="inlineStr">
        <is>
          <t>Web Store</t>
        </is>
      </c>
      <c r="I4079" t="n">
        <v>5</v>
      </c>
      <c r="J4079" s="3" t="n">
        <v>971.7</v>
      </c>
      <c r="K4079" s="3" t="n">
        <v>145.76</v>
      </c>
      <c r="L4079" s="3" t="n">
        <v>825.9400000000001</v>
      </c>
      <c r="M4079" s="3" t="n">
        <v>542.6</v>
      </c>
      <c r="N4079" s="3" t="n">
        <v>283.35</v>
      </c>
      <c r="O4079">
        <f>TEXT(A4079,"yyyy-mm")</f>
        <v/>
      </c>
    </row>
    <row r="4080">
      <c r="A4080" s="2" t="n">
        <v>46166</v>
      </c>
      <c r="B4080" t="n">
        <v>2026</v>
      </c>
      <c r="C4080" t="inlineStr">
        <is>
          <t>May</t>
        </is>
      </c>
      <c r="D4080" t="inlineStr">
        <is>
          <t>Eco Tent</t>
        </is>
      </c>
      <c r="E4080" t="inlineStr">
        <is>
          <t>Sports &amp; Outdoors</t>
        </is>
      </c>
      <c r="F4080" t="inlineStr">
        <is>
          <t>Robert Brown</t>
        </is>
      </c>
      <c r="G4080" t="inlineStr">
        <is>
          <t>United Kingdom</t>
        </is>
      </c>
      <c r="H4080" t="inlineStr">
        <is>
          <t>Web Store</t>
        </is>
      </c>
      <c r="I4080" t="n">
        <v>1</v>
      </c>
      <c r="J4080" s="3" t="n">
        <v>251.52</v>
      </c>
      <c r="K4080" s="3" t="n">
        <v>0</v>
      </c>
      <c r="L4080" s="3" t="n">
        <v>251.52</v>
      </c>
      <c r="M4080" s="3" t="n">
        <v>135.03</v>
      </c>
      <c r="N4080" s="3" t="n">
        <v>116.49</v>
      </c>
      <c r="O4080">
        <f>TEXT(A4080,"yyyy-mm")</f>
        <v/>
      </c>
    </row>
    <row r="4081">
      <c r="A4081" s="2" t="n">
        <v>46166</v>
      </c>
      <c r="B4081" t="n">
        <v>2026</v>
      </c>
      <c r="C4081" t="inlineStr">
        <is>
          <t>May</t>
        </is>
      </c>
      <c r="D4081" t="inlineStr">
        <is>
          <t>Smart Honey</t>
        </is>
      </c>
      <c r="E4081" t="inlineStr">
        <is>
          <t>Grocery</t>
        </is>
      </c>
      <c r="F4081" t="inlineStr">
        <is>
          <t>Olivia Kowalski</t>
        </is>
      </c>
      <c r="G4081" t="inlineStr">
        <is>
          <t>Poland</t>
        </is>
      </c>
      <c r="H4081" t="inlineStr">
        <is>
          <t>Marketplace</t>
        </is>
      </c>
      <c r="I4081" t="n">
        <v>2</v>
      </c>
      <c r="J4081" s="3" t="n">
        <v>260.76</v>
      </c>
      <c r="K4081" s="3" t="n">
        <v>0</v>
      </c>
      <c r="L4081" s="3" t="n">
        <v>260.76</v>
      </c>
      <c r="M4081" s="3" t="n">
        <v>142.88</v>
      </c>
      <c r="N4081" s="3" t="n">
        <v>117.88</v>
      </c>
      <c r="O4081">
        <f>TEXT(A4081,"yyyy-mm")</f>
        <v/>
      </c>
    </row>
    <row r="4082">
      <c r="A4082" s="2" t="n">
        <v>46166</v>
      </c>
      <c r="B4082" t="n">
        <v>2026</v>
      </c>
      <c r="C4082" t="inlineStr">
        <is>
          <t>May</t>
        </is>
      </c>
      <c r="D4082" t="inlineStr">
        <is>
          <t>Essential Vitamins</t>
        </is>
      </c>
      <c r="E4082" t="inlineStr">
        <is>
          <t>Beauty &amp; Health</t>
        </is>
      </c>
      <c r="F4082" t="inlineStr">
        <is>
          <t>Olivia Kowalski</t>
        </is>
      </c>
      <c r="G4082" t="inlineStr">
        <is>
          <t>Poland</t>
        </is>
      </c>
      <c r="H4082" t="inlineStr">
        <is>
          <t>Marketplace</t>
        </is>
      </c>
      <c r="I4082" t="n">
        <v>5</v>
      </c>
      <c r="J4082" s="3" t="n">
        <v>842.3</v>
      </c>
      <c r="K4082" s="3" t="n">
        <v>42.12</v>
      </c>
      <c r="L4082" s="3" t="n">
        <v>800.1799999999999</v>
      </c>
      <c r="M4082" s="3" t="n">
        <v>551.5</v>
      </c>
      <c r="N4082" s="3" t="n">
        <v>248.69</v>
      </c>
      <c r="O4082">
        <f>TEXT(A4082,"yyyy-mm")</f>
        <v/>
      </c>
    </row>
    <row r="4083">
      <c r="A4083" s="2" t="n">
        <v>46166</v>
      </c>
      <c r="B4083" t="n">
        <v>2026</v>
      </c>
      <c r="C4083" t="inlineStr">
        <is>
          <t>May</t>
        </is>
      </c>
      <c r="D4083" t="inlineStr">
        <is>
          <t>Premium Water Bottle</t>
        </is>
      </c>
      <c r="E4083" t="inlineStr">
        <is>
          <t>Sports &amp; Outdoors</t>
        </is>
      </c>
      <c r="F4083" t="inlineStr">
        <is>
          <t>Olivia Kowalski</t>
        </is>
      </c>
      <c r="G4083" t="inlineStr">
        <is>
          <t>Poland</t>
        </is>
      </c>
      <c r="H4083" t="inlineStr">
        <is>
          <t>Marketplace</t>
        </is>
      </c>
      <c r="I4083" t="n">
        <v>4</v>
      </c>
      <c r="J4083" s="3" t="n">
        <v>500.44</v>
      </c>
      <c r="K4083" s="3" t="n">
        <v>50.04</v>
      </c>
      <c r="L4083" s="3" t="n">
        <v>450.4</v>
      </c>
      <c r="M4083" s="3" t="n">
        <v>358.48</v>
      </c>
      <c r="N4083" s="3" t="n">
        <v>91.92</v>
      </c>
      <c r="O4083">
        <f>TEXT(A4083,"yyyy-mm")</f>
        <v/>
      </c>
    </row>
    <row r="4084">
      <c r="A4084" s="2" t="n">
        <v>46167</v>
      </c>
      <c r="B4084" t="n">
        <v>2026</v>
      </c>
      <c r="C4084" t="inlineStr">
        <is>
          <t>May</t>
        </is>
      </c>
      <c r="D4084" t="inlineStr">
        <is>
          <t>Smart Sweater</t>
        </is>
      </c>
      <c r="E4084" t="inlineStr">
        <is>
          <t>Clothing</t>
        </is>
      </c>
      <c r="F4084" t="inlineStr">
        <is>
          <t>James Schmidt</t>
        </is>
      </c>
      <c r="G4084" t="inlineStr">
        <is>
          <t>Spain</t>
        </is>
      </c>
      <c r="H4084" t="inlineStr">
        <is>
          <t>Retail Store</t>
        </is>
      </c>
      <c r="I4084" t="n">
        <v>2</v>
      </c>
      <c r="J4084" s="3" t="n">
        <v>289.56</v>
      </c>
      <c r="K4084" s="3" t="n">
        <v>57.91</v>
      </c>
      <c r="L4084" s="3" t="n">
        <v>231.65</v>
      </c>
      <c r="M4084" s="3" t="n">
        <v>154.7</v>
      </c>
      <c r="N4084" s="3" t="n">
        <v>76.95</v>
      </c>
      <c r="O4084">
        <f>TEXT(A4084,"yyyy-mm")</f>
        <v/>
      </c>
    </row>
    <row r="4085">
      <c r="A4085" s="2" t="n">
        <v>46167</v>
      </c>
      <c r="B4085" t="n">
        <v>2026</v>
      </c>
      <c r="C4085" t="inlineStr">
        <is>
          <t>May</t>
        </is>
      </c>
      <c r="D4085" t="inlineStr">
        <is>
          <t>Eco Tent</t>
        </is>
      </c>
      <c r="E4085" t="inlineStr">
        <is>
          <t>Sports &amp; Outdoors</t>
        </is>
      </c>
      <c r="F4085" t="inlineStr">
        <is>
          <t>James Schmidt</t>
        </is>
      </c>
      <c r="G4085" t="inlineStr">
        <is>
          <t>Spain</t>
        </is>
      </c>
      <c r="H4085" t="inlineStr">
        <is>
          <t>Retail Store</t>
        </is>
      </c>
      <c r="I4085" t="n">
        <v>3</v>
      </c>
      <c r="J4085" s="3" t="n">
        <v>759.48</v>
      </c>
      <c r="K4085" s="3" t="n">
        <v>0</v>
      </c>
      <c r="L4085" s="3" t="n">
        <v>759.48</v>
      </c>
      <c r="M4085" s="3" t="n">
        <v>405.09</v>
      </c>
      <c r="N4085" s="3" t="n">
        <v>354.39</v>
      </c>
      <c r="O4085">
        <f>TEXT(A4085,"yyyy-mm")</f>
        <v/>
      </c>
    </row>
    <row r="4086">
      <c r="A4086" s="2" t="n">
        <v>46167</v>
      </c>
      <c r="B4086" t="n">
        <v>2026</v>
      </c>
      <c r="C4086" t="inlineStr">
        <is>
          <t>May</t>
        </is>
      </c>
      <c r="D4086" t="inlineStr">
        <is>
          <t>Smart Sweater</t>
        </is>
      </c>
      <c r="E4086" t="inlineStr">
        <is>
          <t>Clothing</t>
        </is>
      </c>
      <c r="F4086" t="inlineStr">
        <is>
          <t>Clara Conti</t>
        </is>
      </c>
      <c r="G4086" t="inlineStr">
        <is>
          <t>France</t>
        </is>
      </c>
      <c r="H4086" t="inlineStr">
        <is>
          <t>Web Store</t>
        </is>
      </c>
      <c r="I4086" t="n">
        <v>3</v>
      </c>
      <c r="J4086" s="3" t="n">
        <v>412.86</v>
      </c>
      <c r="K4086" s="3" t="n">
        <v>61.93</v>
      </c>
      <c r="L4086" s="3" t="n">
        <v>350.93</v>
      </c>
      <c r="M4086" s="3" t="n">
        <v>232.05</v>
      </c>
      <c r="N4086" s="3" t="n">
        <v>118.88</v>
      </c>
      <c r="O4086">
        <f>TEXT(A4086,"yyyy-mm")</f>
        <v/>
      </c>
    </row>
    <row r="4087">
      <c r="A4087" s="2" t="n">
        <v>46167</v>
      </c>
      <c r="B4087" t="n">
        <v>2026</v>
      </c>
      <c r="C4087" t="inlineStr">
        <is>
          <t>May</t>
        </is>
      </c>
      <c r="D4087" t="inlineStr">
        <is>
          <t>Premium Water Bottle</t>
        </is>
      </c>
      <c r="E4087" t="inlineStr">
        <is>
          <t>Sports &amp; Outdoors</t>
        </is>
      </c>
      <c r="F4087" t="inlineStr">
        <is>
          <t>Clara Conti</t>
        </is>
      </c>
      <c r="G4087" t="inlineStr">
        <is>
          <t>France</t>
        </is>
      </c>
      <c r="H4087" t="inlineStr">
        <is>
          <t>Web Store</t>
        </is>
      </c>
      <c r="I4087" t="n">
        <v>1</v>
      </c>
      <c r="J4087" s="3" t="n">
        <v>117.93</v>
      </c>
      <c r="K4087" s="3" t="n">
        <v>5.9</v>
      </c>
      <c r="L4087" s="3" t="n">
        <v>112.03</v>
      </c>
      <c r="M4087" s="3" t="n">
        <v>89.62</v>
      </c>
      <c r="N4087" s="3" t="n">
        <v>22.41</v>
      </c>
      <c r="O4087">
        <f>TEXT(A4087,"yyyy-mm")</f>
        <v/>
      </c>
    </row>
    <row r="4088">
      <c r="A4088" s="2" t="n">
        <v>46167</v>
      </c>
      <c r="B4088" t="n">
        <v>2026</v>
      </c>
      <c r="C4088" t="inlineStr">
        <is>
          <t>May</t>
        </is>
      </c>
      <c r="D4088" t="inlineStr">
        <is>
          <t>Wireless Honey</t>
        </is>
      </c>
      <c r="E4088" t="inlineStr">
        <is>
          <t>Grocery</t>
        </is>
      </c>
      <c r="F4088" t="inlineStr">
        <is>
          <t>Clara Conti</t>
        </is>
      </c>
      <c r="G4088" t="inlineStr">
        <is>
          <t>France</t>
        </is>
      </c>
      <c r="H4088" t="inlineStr">
        <is>
          <t>Web Store</t>
        </is>
      </c>
      <c r="I4088" t="n">
        <v>4</v>
      </c>
      <c r="J4088" s="3" t="n">
        <v>534.4</v>
      </c>
      <c r="K4088" s="3" t="n">
        <v>0</v>
      </c>
      <c r="L4088" s="3" t="n">
        <v>534.4</v>
      </c>
      <c r="M4088" s="3" t="n">
        <v>376.28</v>
      </c>
      <c r="N4088" s="3" t="n">
        <v>158.12</v>
      </c>
      <c r="O4088">
        <f>TEXT(A4088,"yyyy-mm")</f>
        <v/>
      </c>
    </row>
    <row r="4089">
      <c r="A4089" s="2" t="n">
        <v>46168</v>
      </c>
      <c r="B4089" t="n">
        <v>2026</v>
      </c>
      <c r="C4089" t="inlineStr">
        <is>
          <t>May</t>
        </is>
      </c>
      <c r="D4089" t="inlineStr">
        <is>
          <t>Portable Speaker</t>
        </is>
      </c>
      <c r="E4089" t="inlineStr">
        <is>
          <t>Electronics</t>
        </is>
      </c>
      <c r="F4089" t="inlineStr">
        <is>
          <t>Paul Zielinski</t>
        </is>
      </c>
      <c r="G4089" t="inlineStr">
        <is>
          <t>Poland</t>
        </is>
      </c>
      <c r="H4089" t="inlineStr">
        <is>
          <t>Mobile App</t>
        </is>
      </c>
      <c r="I4089" t="n">
        <v>2</v>
      </c>
      <c r="J4089" s="3" t="n">
        <v>673.72</v>
      </c>
      <c r="K4089" s="3" t="n">
        <v>134.74</v>
      </c>
      <c r="L4089" s="3" t="n">
        <v>538.98</v>
      </c>
      <c r="M4089" s="3" t="n">
        <v>349.66</v>
      </c>
      <c r="N4089" s="3" t="n">
        <v>189.32</v>
      </c>
      <c r="O4089">
        <f>TEXT(A4089,"yyyy-mm")</f>
        <v/>
      </c>
    </row>
    <row r="4090">
      <c r="A4090" s="2" t="n">
        <v>46168</v>
      </c>
      <c r="B4090" t="n">
        <v>2026</v>
      </c>
      <c r="C4090" t="inlineStr">
        <is>
          <t>May</t>
        </is>
      </c>
      <c r="D4090" t="inlineStr">
        <is>
          <t>Portable Tea Set</t>
        </is>
      </c>
      <c r="E4090" t="inlineStr">
        <is>
          <t>Grocery</t>
        </is>
      </c>
      <c r="F4090" t="inlineStr">
        <is>
          <t>Olivia Conti</t>
        </is>
      </c>
      <c r="G4090" t="inlineStr">
        <is>
          <t>France</t>
        </is>
      </c>
      <c r="H4090" t="inlineStr">
        <is>
          <t>Retail Store</t>
        </is>
      </c>
      <c r="I4090" t="n">
        <v>4</v>
      </c>
      <c r="J4090" s="3" t="n">
        <v>1149.16</v>
      </c>
      <c r="K4090" s="3" t="n">
        <v>114.92</v>
      </c>
      <c r="L4090" s="3" t="n">
        <v>1034.24</v>
      </c>
      <c r="M4090" s="3" t="n">
        <v>752.48</v>
      </c>
      <c r="N4090" s="3" t="n">
        <v>281.76</v>
      </c>
      <c r="O4090">
        <f>TEXT(A4090,"yyyy-mm")</f>
        <v/>
      </c>
    </row>
    <row r="4091">
      <c r="A4091" s="2" t="n">
        <v>46168</v>
      </c>
      <c r="B4091" t="n">
        <v>2026</v>
      </c>
      <c r="C4091" t="inlineStr">
        <is>
          <t>May</t>
        </is>
      </c>
      <c r="D4091" t="inlineStr">
        <is>
          <t>Classic Yoga Mat</t>
        </is>
      </c>
      <c r="E4091" t="inlineStr">
        <is>
          <t>Sports &amp; Outdoors</t>
        </is>
      </c>
      <c r="F4091" t="inlineStr">
        <is>
          <t>Olivia Conti</t>
        </is>
      </c>
      <c r="G4091" t="inlineStr">
        <is>
          <t>France</t>
        </is>
      </c>
      <c r="H4091" t="inlineStr">
        <is>
          <t>Retail Store</t>
        </is>
      </c>
      <c r="I4091" t="n">
        <v>2</v>
      </c>
      <c r="J4091" s="3" t="n">
        <v>659.24</v>
      </c>
      <c r="K4091" s="3" t="n">
        <v>0</v>
      </c>
      <c r="L4091" s="3" t="n">
        <v>659.24</v>
      </c>
      <c r="M4091" s="3" t="n">
        <v>391.4</v>
      </c>
      <c r="N4091" s="3" t="n">
        <v>267.84</v>
      </c>
      <c r="O4091">
        <f>TEXT(A4091,"yyyy-mm")</f>
        <v/>
      </c>
    </row>
    <row r="4092">
      <c r="A4092" s="2" t="n">
        <v>46168</v>
      </c>
      <c r="B4092" t="n">
        <v>2026</v>
      </c>
      <c r="C4092" t="inlineStr">
        <is>
          <t>May</t>
        </is>
      </c>
      <c r="D4092" t="inlineStr">
        <is>
          <t>Classic Bike Helmet</t>
        </is>
      </c>
      <c r="E4092" t="inlineStr">
        <is>
          <t>Sports &amp; Outdoors</t>
        </is>
      </c>
      <c r="F4092" t="inlineStr">
        <is>
          <t>Olivia Conti</t>
        </is>
      </c>
      <c r="G4092" t="inlineStr">
        <is>
          <t>France</t>
        </is>
      </c>
      <c r="H4092" t="inlineStr">
        <is>
          <t>Retail Store</t>
        </is>
      </c>
      <c r="I4092" t="n">
        <v>2</v>
      </c>
      <c r="J4092" s="3" t="n">
        <v>432.42</v>
      </c>
      <c r="K4092" s="3" t="n">
        <v>64.86</v>
      </c>
      <c r="L4092" s="3" t="n">
        <v>367.56</v>
      </c>
      <c r="M4092" s="3" t="n">
        <v>307.62</v>
      </c>
      <c r="N4092" s="3" t="n">
        <v>59.94</v>
      </c>
      <c r="O4092">
        <f>TEXT(A4092,"yyyy-mm")</f>
        <v/>
      </c>
    </row>
    <row r="4093">
      <c r="A4093" s="2" t="n">
        <v>46168</v>
      </c>
      <c r="B4093" t="n">
        <v>2026</v>
      </c>
      <c r="C4093" t="inlineStr">
        <is>
          <t>May</t>
        </is>
      </c>
      <c r="D4093" t="inlineStr">
        <is>
          <t>Wireless Coffee Beans</t>
        </is>
      </c>
      <c r="E4093" t="inlineStr">
        <is>
          <t>Grocery</t>
        </is>
      </c>
      <c r="F4093" t="inlineStr">
        <is>
          <t>Emily Johnson</t>
        </is>
      </c>
      <c r="G4093" t="inlineStr">
        <is>
          <t>Italy</t>
        </is>
      </c>
      <c r="H4093" t="inlineStr">
        <is>
          <t>Mobile App</t>
        </is>
      </c>
      <c r="I4093" t="n">
        <v>2</v>
      </c>
      <c r="J4093" s="3" t="n">
        <v>249.3</v>
      </c>
      <c r="K4093" s="3" t="n">
        <v>0</v>
      </c>
      <c r="L4093" s="3" t="n">
        <v>249.3</v>
      </c>
      <c r="M4093" s="3" t="n">
        <v>158.74</v>
      </c>
      <c r="N4093" s="3" t="n">
        <v>90.56</v>
      </c>
      <c r="O4093">
        <f>TEXT(A4093,"yyyy-mm")</f>
        <v/>
      </c>
    </row>
    <row r="4094">
      <c r="A4094" s="2" t="n">
        <v>46168</v>
      </c>
      <c r="B4094" t="n">
        <v>2026</v>
      </c>
      <c r="C4094" t="inlineStr">
        <is>
          <t>May</t>
        </is>
      </c>
      <c r="D4094" t="inlineStr">
        <is>
          <t>Deluxe Scarf</t>
        </is>
      </c>
      <c r="E4094" t="inlineStr">
        <is>
          <t>Clothing</t>
        </is>
      </c>
      <c r="F4094" t="inlineStr">
        <is>
          <t>Emily Johnson</t>
        </is>
      </c>
      <c r="G4094" t="inlineStr">
        <is>
          <t>Italy</t>
        </is>
      </c>
      <c r="H4094" t="inlineStr">
        <is>
          <t>Mobile App</t>
        </is>
      </c>
      <c r="I4094" t="n">
        <v>2</v>
      </c>
      <c r="J4094" s="3" t="n">
        <v>387.7</v>
      </c>
      <c r="K4094" s="3" t="n">
        <v>77.54000000000001</v>
      </c>
      <c r="L4094" s="3" t="n">
        <v>310.16</v>
      </c>
      <c r="M4094" s="3" t="n">
        <v>217.04</v>
      </c>
      <c r="N4094" s="3" t="n">
        <v>93.12</v>
      </c>
      <c r="O4094">
        <f>TEXT(A4094,"yyyy-mm")</f>
        <v/>
      </c>
    </row>
    <row r="4095">
      <c r="A4095" s="2" t="n">
        <v>46168</v>
      </c>
      <c r="B4095" t="n">
        <v>2026</v>
      </c>
      <c r="C4095" t="inlineStr">
        <is>
          <t>May</t>
        </is>
      </c>
      <c r="D4095" t="inlineStr">
        <is>
          <t>Premium Rug</t>
        </is>
      </c>
      <c r="E4095" t="inlineStr">
        <is>
          <t>Home &amp; Garden</t>
        </is>
      </c>
      <c r="F4095" t="inlineStr">
        <is>
          <t>Emily Johnson</t>
        </is>
      </c>
      <c r="G4095" t="inlineStr">
        <is>
          <t>Italy</t>
        </is>
      </c>
      <c r="H4095" t="inlineStr">
        <is>
          <t>Mobile App</t>
        </is>
      </c>
      <c r="I4095" t="n">
        <v>2</v>
      </c>
      <c r="J4095" s="3" t="n">
        <v>384.58</v>
      </c>
      <c r="K4095" s="3" t="n">
        <v>19.23</v>
      </c>
      <c r="L4095" s="3" t="n">
        <v>365.35</v>
      </c>
      <c r="M4095" s="3" t="n">
        <v>222.38</v>
      </c>
      <c r="N4095" s="3" t="n">
        <v>142.97</v>
      </c>
      <c r="O4095">
        <f>TEXT(A4095,"yyyy-mm")</f>
        <v/>
      </c>
    </row>
    <row r="4096">
      <c r="A4096" s="2" t="n">
        <v>46168</v>
      </c>
      <c r="B4096" t="n">
        <v>2026</v>
      </c>
      <c r="C4096" t="inlineStr">
        <is>
          <t>May</t>
        </is>
      </c>
      <c r="D4096" t="inlineStr">
        <is>
          <t>Classic Charger</t>
        </is>
      </c>
      <c r="E4096" t="inlineStr">
        <is>
          <t>Electronics</t>
        </is>
      </c>
      <c r="F4096" t="inlineStr">
        <is>
          <t>Emily Johnson</t>
        </is>
      </c>
      <c r="G4096" t="inlineStr">
        <is>
          <t>Italy</t>
        </is>
      </c>
      <c r="H4096" t="inlineStr">
        <is>
          <t>Mobile App</t>
        </is>
      </c>
      <c r="I4096" t="n">
        <v>2</v>
      </c>
      <c r="J4096" s="3" t="n">
        <v>187.88</v>
      </c>
      <c r="K4096" s="3" t="n">
        <v>0</v>
      </c>
      <c r="L4096" s="3" t="n">
        <v>187.88</v>
      </c>
      <c r="M4096" s="3" t="n">
        <v>124.42</v>
      </c>
      <c r="N4096" s="3" t="n">
        <v>63.46</v>
      </c>
      <c r="O4096">
        <f>TEXT(A4096,"yyyy-mm")</f>
        <v/>
      </c>
    </row>
    <row r="4097">
      <c r="A4097" s="2" t="n">
        <v>46168</v>
      </c>
      <c r="B4097" t="n">
        <v>2026</v>
      </c>
      <c r="C4097" t="inlineStr">
        <is>
          <t>May</t>
        </is>
      </c>
      <c r="D4097" t="inlineStr">
        <is>
          <t>Portable Notebook</t>
        </is>
      </c>
      <c r="E4097" t="inlineStr">
        <is>
          <t>Books</t>
        </is>
      </c>
      <c r="F4097" t="inlineStr">
        <is>
          <t>Clara Johnson</t>
        </is>
      </c>
      <c r="G4097" t="inlineStr">
        <is>
          <t>United Kingdom</t>
        </is>
      </c>
      <c r="H4097" t="inlineStr">
        <is>
          <t>Retail Store</t>
        </is>
      </c>
      <c r="I4097" t="n">
        <v>4</v>
      </c>
      <c r="J4097" s="3" t="n">
        <v>484.88</v>
      </c>
      <c r="K4097" s="3" t="n">
        <v>48.49</v>
      </c>
      <c r="L4097" s="3" t="n">
        <v>436.39</v>
      </c>
      <c r="M4097" s="3" t="n">
        <v>285.12</v>
      </c>
      <c r="N4097" s="3" t="n">
        <v>151.27</v>
      </c>
      <c r="O4097">
        <f>TEXT(A4097,"yyyy-mm")</f>
        <v/>
      </c>
    </row>
    <row r="4098">
      <c r="A4098" s="2" t="n">
        <v>46168</v>
      </c>
      <c r="B4098" t="n">
        <v>2026</v>
      </c>
      <c r="C4098" t="inlineStr">
        <is>
          <t>May</t>
        </is>
      </c>
      <c r="D4098" t="inlineStr">
        <is>
          <t>Deluxe Toothbrush</t>
        </is>
      </c>
      <c r="E4098" t="inlineStr">
        <is>
          <t>Beauty &amp; Health</t>
        </is>
      </c>
      <c r="F4098" t="inlineStr">
        <is>
          <t>Robert Wojcik</t>
        </is>
      </c>
      <c r="G4098" t="inlineStr">
        <is>
          <t>Italy</t>
        </is>
      </c>
      <c r="H4098" t="inlineStr">
        <is>
          <t>Web Store</t>
        </is>
      </c>
      <c r="I4098" t="n">
        <v>2</v>
      </c>
      <c r="J4098" s="3" t="n">
        <v>690.3</v>
      </c>
      <c r="K4098" s="3" t="n">
        <v>0</v>
      </c>
      <c r="L4098" s="3" t="n">
        <v>690.3</v>
      </c>
      <c r="M4098" s="3" t="n">
        <v>349.14</v>
      </c>
      <c r="N4098" s="3" t="n">
        <v>341.16</v>
      </c>
      <c r="O4098">
        <f>TEXT(A4098,"yyyy-mm")</f>
        <v/>
      </c>
    </row>
    <row r="4099">
      <c r="A4099" s="2" t="n">
        <v>46168</v>
      </c>
      <c r="B4099" t="n">
        <v>2026</v>
      </c>
      <c r="C4099" t="inlineStr">
        <is>
          <t>May</t>
        </is>
      </c>
      <c r="D4099" t="inlineStr">
        <is>
          <t>Ultra Vitamins</t>
        </is>
      </c>
      <c r="E4099" t="inlineStr">
        <is>
          <t>Beauty &amp; Health</t>
        </is>
      </c>
      <c r="F4099" t="inlineStr">
        <is>
          <t>Robert Wojcik</t>
        </is>
      </c>
      <c r="G4099" t="inlineStr">
        <is>
          <t>Italy</t>
        </is>
      </c>
      <c r="H4099" t="inlineStr">
        <is>
          <t>Web Store</t>
        </is>
      </c>
      <c r="I4099" t="n">
        <v>2</v>
      </c>
      <c r="J4099" s="3" t="n">
        <v>413.04</v>
      </c>
      <c r="K4099" s="3" t="n">
        <v>0</v>
      </c>
      <c r="L4099" s="3" t="n">
        <v>413.04</v>
      </c>
      <c r="M4099" s="3" t="n">
        <v>252.2</v>
      </c>
      <c r="N4099" s="3" t="n">
        <v>160.84</v>
      </c>
      <c r="O4099">
        <f>TEXT(A4099,"yyyy-mm")</f>
        <v/>
      </c>
    </row>
    <row r="4100">
      <c r="A4100" s="2" t="n">
        <v>46168</v>
      </c>
      <c r="B4100" t="n">
        <v>2026</v>
      </c>
      <c r="C4100" t="inlineStr">
        <is>
          <t>May</t>
        </is>
      </c>
      <c r="D4100" t="inlineStr">
        <is>
          <t>Wireless Cookbook</t>
        </is>
      </c>
      <c r="E4100" t="inlineStr">
        <is>
          <t>Books</t>
        </is>
      </c>
      <c r="F4100" t="inlineStr">
        <is>
          <t>Olivia Conti</t>
        </is>
      </c>
      <c r="G4100" t="inlineStr">
        <is>
          <t>France</t>
        </is>
      </c>
      <c r="H4100" t="inlineStr">
        <is>
          <t>Retail Store</t>
        </is>
      </c>
      <c r="I4100" t="n">
        <v>4</v>
      </c>
      <c r="J4100" s="3" t="n">
        <v>319.96</v>
      </c>
      <c r="K4100" s="3" t="n">
        <v>0</v>
      </c>
      <c r="L4100" s="3" t="n">
        <v>319.96</v>
      </c>
      <c r="M4100" s="3" t="n">
        <v>226.44</v>
      </c>
      <c r="N4100" s="3" t="n">
        <v>93.52</v>
      </c>
      <c r="O4100">
        <f>TEXT(A4100,"yyyy-mm")</f>
        <v/>
      </c>
    </row>
    <row r="4101">
      <c r="A4101" s="2" t="n">
        <v>46168</v>
      </c>
      <c r="B4101" t="n">
        <v>2026</v>
      </c>
      <c r="C4101" t="inlineStr">
        <is>
          <t>May</t>
        </is>
      </c>
      <c r="D4101" t="inlineStr">
        <is>
          <t>Wireless Backpack</t>
        </is>
      </c>
      <c r="E4101" t="inlineStr">
        <is>
          <t>Sports &amp; Outdoors</t>
        </is>
      </c>
      <c r="F4101" t="inlineStr">
        <is>
          <t>Clara Johnson</t>
        </is>
      </c>
      <c r="G4101" t="inlineStr">
        <is>
          <t>United Kingdom</t>
        </is>
      </c>
      <c r="H4101" t="inlineStr">
        <is>
          <t>Retail Store</t>
        </is>
      </c>
      <c r="I4101" t="n">
        <v>1</v>
      </c>
      <c r="J4101" s="3" t="n">
        <v>51.84</v>
      </c>
      <c r="K4101" s="3" t="n">
        <v>7.78</v>
      </c>
      <c r="L4101" s="3" t="n">
        <v>44.06</v>
      </c>
      <c r="M4101" s="3" t="n">
        <v>28.1</v>
      </c>
      <c r="N4101" s="3" t="n">
        <v>15.96</v>
      </c>
      <c r="O4101">
        <f>TEXT(A4101,"yyyy-mm")</f>
        <v/>
      </c>
    </row>
    <row r="4102">
      <c r="A4102" s="2" t="n">
        <v>46168</v>
      </c>
      <c r="B4102" t="n">
        <v>2026</v>
      </c>
      <c r="C4102" t="inlineStr">
        <is>
          <t>May</t>
        </is>
      </c>
      <c r="D4102" t="inlineStr">
        <is>
          <t>Portable Puzzle</t>
        </is>
      </c>
      <c r="E4102" t="inlineStr">
        <is>
          <t>Toys &amp; Games</t>
        </is>
      </c>
      <c r="F4102" t="inlineStr">
        <is>
          <t>Clara Johnson</t>
        </is>
      </c>
      <c r="G4102" t="inlineStr">
        <is>
          <t>United Kingdom</t>
        </is>
      </c>
      <c r="H4102" t="inlineStr">
        <is>
          <t>Retail Store</t>
        </is>
      </c>
      <c r="I4102" t="n">
        <v>1</v>
      </c>
      <c r="J4102" s="3" t="n">
        <v>322.32</v>
      </c>
      <c r="K4102" s="3" t="n">
        <v>16.12</v>
      </c>
      <c r="L4102" s="3" t="n">
        <v>306.2</v>
      </c>
      <c r="M4102" s="3" t="n">
        <v>173.66</v>
      </c>
      <c r="N4102" s="3" t="n">
        <v>132.54</v>
      </c>
      <c r="O4102">
        <f>TEXT(A4102,"yyyy-mm")</f>
        <v/>
      </c>
    </row>
    <row r="4103">
      <c r="A4103" s="2" t="n">
        <v>46168</v>
      </c>
      <c r="B4103" t="n">
        <v>2026</v>
      </c>
      <c r="C4103" t="inlineStr">
        <is>
          <t>May</t>
        </is>
      </c>
      <c r="D4103" t="inlineStr">
        <is>
          <t>Smart Coffee Beans</t>
        </is>
      </c>
      <c r="E4103" t="inlineStr">
        <is>
          <t>Grocery</t>
        </is>
      </c>
      <c r="F4103" t="inlineStr">
        <is>
          <t>Robert Wojcik</t>
        </is>
      </c>
      <c r="G4103" t="inlineStr">
        <is>
          <t>Italy</t>
        </is>
      </c>
      <c r="H4103" t="inlineStr">
        <is>
          <t>Web Store</t>
        </is>
      </c>
      <c r="I4103" t="n">
        <v>5</v>
      </c>
      <c r="J4103" s="3" t="n">
        <v>551.85</v>
      </c>
      <c r="K4103" s="3" t="n">
        <v>110.37</v>
      </c>
      <c r="L4103" s="3" t="n">
        <v>441.48</v>
      </c>
      <c r="M4103" s="3" t="n">
        <v>364.25</v>
      </c>
      <c r="N4103" s="3" t="n">
        <v>77.23</v>
      </c>
      <c r="O4103">
        <f>TEXT(A4103,"yyyy-mm")</f>
        <v/>
      </c>
    </row>
    <row r="4104">
      <c r="A4104" s="2" t="n">
        <v>46169</v>
      </c>
      <c r="B4104" t="n">
        <v>2026</v>
      </c>
      <c r="C4104" t="inlineStr">
        <is>
          <t>May</t>
        </is>
      </c>
      <c r="D4104" t="inlineStr">
        <is>
          <t>Classic Sunscreen</t>
        </is>
      </c>
      <c r="E4104" t="inlineStr">
        <is>
          <t>Beauty &amp; Health</t>
        </is>
      </c>
      <c r="F4104" t="inlineStr">
        <is>
          <t>Paul Rossi</t>
        </is>
      </c>
      <c r="G4104" t="inlineStr">
        <is>
          <t>Poland</t>
        </is>
      </c>
      <c r="H4104" t="inlineStr">
        <is>
          <t>Marketplace</t>
        </is>
      </c>
      <c r="I4104" t="n">
        <v>2</v>
      </c>
      <c r="J4104" s="3" t="n">
        <v>285.7</v>
      </c>
      <c r="K4104" s="3" t="n">
        <v>57.14</v>
      </c>
      <c r="L4104" s="3" t="n">
        <v>228.56</v>
      </c>
      <c r="M4104" s="3" t="n">
        <v>187.38</v>
      </c>
      <c r="N4104" s="3" t="n">
        <v>41.18</v>
      </c>
      <c r="O4104">
        <f>TEXT(A4104,"yyyy-mm")</f>
        <v/>
      </c>
    </row>
    <row r="4105">
      <c r="A4105" s="2" t="n">
        <v>46169</v>
      </c>
      <c r="B4105" t="n">
        <v>2026</v>
      </c>
      <c r="C4105" t="inlineStr">
        <is>
          <t>May</t>
        </is>
      </c>
      <c r="D4105" t="inlineStr">
        <is>
          <t>Wireless Coffee Beans</t>
        </is>
      </c>
      <c r="E4105" t="inlineStr">
        <is>
          <t>Grocery</t>
        </is>
      </c>
      <c r="F4105" t="inlineStr">
        <is>
          <t>Paul Rossi</t>
        </is>
      </c>
      <c r="G4105" t="inlineStr">
        <is>
          <t>Poland</t>
        </is>
      </c>
      <c r="H4105" t="inlineStr">
        <is>
          <t>Marketplace</t>
        </is>
      </c>
      <c r="I4105" t="n">
        <v>2</v>
      </c>
      <c r="J4105" s="3" t="n">
        <v>237.32</v>
      </c>
      <c r="K4105" s="3" t="n">
        <v>0</v>
      </c>
      <c r="L4105" s="3" t="n">
        <v>237.32</v>
      </c>
      <c r="M4105" s="3" t="n">
        <v>158.74</v>
      </c>
      <c r="N4105" s="3" t="n">
        <v>78.58</v>
      </c>
      <c r="O4105">
        <f>TEXT(A4105,"yyyy-mm")</f>
        <v/>
      </c>
    </row>
    <row r="4106">
      <c r="A4106" s="2" t="n">
        <v>46169</v>
      </c>
      <c r="B4106" t="n">
        <v>2026</v>
      </c>
      <c r="C4106" t="inlineStr">
        <is>
          <t>May</t>
        </is>
      </c>
      <c r="D4106" t="inlineStr">
        <is>
          <t>Smart Camera</t>
        </is>
      </c>
      <c r="E4106" t="inlineStr">
        <is>
          <t>Electronics</t>
        </is>
      </c>
      <c r="F4106" t="inlineStr">
        <is>
          <t>Paul Rossi</t>
        </is>
      </c>
      <c r="G4106" t="inlineStr">
        <is>
          <t>Poland</t>
        </is>
      </c>
      <c r="H4106" t="inlineStr">
        <is>
          <t>Marketplace</t>
        </is>
      </c>
      <c r="I4106" t="n">
        <v>2</v>
      </c>
      <c r="J4106" s="3" t="n">
        <v>230.42</v>
      </c>
      <c r="K4106" s="3" t="n">
        <v>0</v>
      </c>
      <c r="L4106" s="3" t="n">
        <v>230.42</v>
      </c>
      <c r="M4106" s="3" t="n">
        <v>171.16</v>
      </c>
      <c r="N4106" s="3" t="n">
        <v>59.26</v>
      </c>
      <c r="O4106">
        <f>TEXT(A4106,"yyyy-mm")</f>
        <v/>
      </c>
    </row>
    <row r="4107">
      <c r="A4107" s="2" t="n">
        <v>46169</v>
      </c>
      <c r="B4107" t="n">
        <v>2026</v>
      </c>
      <c r="C4107" t="inlineStr">
        <is>
          <t>May</t>
        </is>
      </c>
      <c r="D4107" t="inlineStr">
        <is>
          <t>Portable Bike Helmet</t>
        </is>
      </c>
      <c r="E4107" t="inlineStr">
        <is>
          <t>Sports &amp; Outdoors</t>
        </is>
      </c>
      <c r="F4107" t="inlineStr">
        <is>
          <t>Paul Rossi</t>
        </is>
      </c>
      <c r="G4107" t="inlineStr">
        <is>
          <t>Poland</t>
        </is>
      </c>
      <c r="H4107" t="inlineStr">
        <is>
          <t>Marketplace</t>
        </is>
      </c>
      <c r="I4107" t="n">
        <v>3</v>
      </c>
      <c r="J4107" s="3" t="n">
        <v>915.9299999999999</v>
      </c>
      <c r="K4107" s="3" t="n">
        <v>0</v>
      </c>
      <c r="L4107" s="3" t="n">
        <v>915.9299999999999</v>
      </c>
      <c r="M4107" s="3" t="n">
        <v>496.11</v>
      </c>
      <c r="N4107" s="3" t="n">
        <v>419.82</v>
      </c>
      <c r="O4107">
        <f>TEXT(A4107,"yyyy-mm")</f>
        <v/>
      </c>
    </row>
    <row r="4108">
      <c r="A4108" s="2" t="n">
        <v>46169</v>
      </c>
      <c r="B4108" t="n">
        <v>2026</v>
      </c>
      <c r="C4108" t="inlineStr">
        <is>
          <t>May</t>
        </is>
      </c>
      <c r="D4108" t="inlineStr">
        <is>
          <t>Classic Tea Set</t>
        </is>
      </c>
      <c r="E4108" t="inlineStr">
        <is>
          <t>Grocery</t>
        </is>
      </c>
      <c r="F4108" t="inlineStr">
        <is>
          <t>Olivia Smith</t>
        </is>
      </c>
      <c r="G4108" t="inlineStr">
        <is>
          <t>Germany</t>
        </is>
      </c>
      <c r="H4108" t="inlineStr">
        <is>
          <t>Retail Store</t>
        </is>
      </c>
      <c r="I4108" t="n">
        <v>2</v>
      </c>
      <c r="J4108" s="3" t="n">
        <v>360.38</v>
      </c>
      <c r="K4108" s="3" t="n">
        <v>54.06</v>
      </c>
      <c r="L4108" s="3" t="n">
        <v>306.32</v>
      </c>
      <c r="M4108" s="3" t="n">
        <v>250.8</v>
      </c>
      <c r="N4108" s="3" t="n">
        <v>55.52</v>
      </c>
      <c r="O4108">
        <f>TEXT(A4108,"yyyy-mm")</f>
        <v/>
      </c>
    </row>
    <row r="4109">
      <c r="A4109" s="2" t="n">
        <v>46169</v>
      </c>
      <c r="B4109" t="n">
        <v>2026</v>
      </c>
      <c r="C4109" t="inlineStr">
        <is>
          <t>May</t>
        </is>
      </c>
      <c r="D4109" t="inlineStr">
        <is>
          <t>Compact Biography</t>
        </is>
      </c>
      <c r="E4109" t="inlineStr">
        <is>
          <t>Books</t>
        </is>
      </c>
      <c r="F4109" t="inlineStr">
        <is>
          <t>Sophie Rossi</t>
        </is>
      </c>
      <c r="G4109" t="inlineStr">
        <is>
          <t>France</t>
        </is>
      </c>
      <c r="H4109" t="inlineStr">
        <is>
          <t>Mobile App</t>
        </is>
      </c>
      <c r="I4109" t="n">
        <v>5</v>
      </c>
      <c r="J4109" s="3" t="n">
        <v>1244.75</v>
      </c>
      <c r="K4109" s="3" t="n">
        <v>0</v>
      </c>
      <c r="L4109" s="3" t="n">
        <v>1244.75</v>
      </c>
      <c r="M4109" s="3" t="n">
        <v>701.65</v>
      </c>
      <c r="N4109" s="3" t="n">
        <v>543.1</v>
      </c>
      <c r="O4109">
        <f>TEXT(A4109,"yyyy-mm")</f>
        <v/>
      </c>
    </row>
    <row r="4110">
      <c r="A4110" s="2" t="n">
        <v>46169</v>
      </c>
      <c r="B4110" t="n">
        <v>2026</v>
      </c>
      <c r="C4110" t="inlineStr">
        <is>
          <t>May</t>
        </is>
      </c>
      <c r="D4110" t="inlineStr">
        <is>
          <t>Premium Tent</t>
        </is>
      </c>
      <c r="E4110" t="inlineStr">
        <is>
          <t>Sports &amp; Outdoors</t>
        </is>
      </c>
      <c r="F4110" t="inlineStr">
        <is>
          <t>Sophie Rossi</t>
        </is>
      </c>
      <c r="G4110" t="inlineStr">
        <is>
          <t>France</t>
        </is>
      </c>
      <c r="H4110" t="inlineStr">
        <is>
          <t>Mobile App</t>
        </is>
      </c>
      <c r="I4110" t="n">
        <v>5</v>
      </c>
      <c r="J4110" s="3" t="n">
        <v>1244.65</v>
      </c>
      <c r="K4110" s="3" t="n">
        <v>186.7</v>
      </c>
      <c r="L4110" s="3" t="n">
        <v>1057.95</v>
      </c>
      <c r="M4110" s="3" t="n">
        <v>695.2</v>
      </c>
      <c r="N4110" s="3" t="n">
        <v>362.75</v>
      </c>
      <c r="O4110">
        <f>TEXT(A4110,"yyyy-mm")</f>
        <v/>
      </c>
    </row>
    <row r="4111">
      <c r="A4111" s="2" t="n">
        <v>46171</v>
      </c>
      <c r="B4111" t="n">
        <v>2026</v>
      </c>
      <c r="C4111" t="inlineStr">
        <is>
          <t>May</t>
        </is>
      </c>
      <c r="D4111" t="inlineStr">
        <is>
          <t>Classic Charger</t>
        </is>
      </c>
      <c r="E4111" t="inlineStr">
        <is>
          <t>Electronics</t>
        </is>
      </c>
      <c r="F4111" t="inlineStr">
        <is>
          <t>Maria Smith</t>
        </is>
      </c>
      <c r="G4111" t="inlineStr">
        <is>
          <t>Poland</t>
        </is>
      </c>
      <c r="H4111" t="inlineStr">
        <is>
          <t>Mobile App</t>
        </is>
      </c>
      <c r="I4111" t="n">
        <v>1</v>
      </c>
      <c r="J4111" s="3" t="n">
        <v>93.66</v>
      </c>
      <c r="K4111" s="3" t="n">
        <v>4.68</v>
      </c>
      <c r="L4111" s="3" t="n">
        <v>88.98</v>
      </c>
      <c r="M4111" s="3" t="n">
        <v>62.21</v>
      </c>
      <c r="N4111" s="3" t="n">
        <v>26.77</v>
      </c>
      <c r="O4111">
        <f>TEXT(A4111,"yyyy-mm")</f>
        <v/>
      </c>
    </row>
    <row r="4112">
      <c r="A4112" s="2" t="n">
        <v>46171</v>
      </c>
      <c r="B4112" t="n">
        <v>2026</v>
      </c>
      <c r="C4112" t="inlineStr">
        <is>
          <t>May</t>
        </is>
      </c>
      <c r="D4112" t="inlineStr">
        <is>
          <t>Deluxe Toothbrush</t>
        </is>
      </c>
      <c r="E4112" t="inlineStr">
        <is>
          <t>Beauty &amp; Health</t>
        </is>
      </c>
      <c r="F4112" t="inlineStr">
        <is>
          <t>Maria Smith</t>
        </is>
      </c>
      <c r="G4112" t="inlineStr">
        <is>
          <t>Poland</t>
        </is>
      </c>
      <c r="H4112" t="inlineStr">
        <is>
          <t>Mobile App</t>
        </is>
      </c>
      <c r="I4112" t="n">
        <v>4</v>
      </c>
      <c r="J4112" s="3" t="n">
        <v>1327.24</v>
      </c>
      <c r="K4112" s="3" t="n">
        <v>199.09</v>
      </c>
      <c r="L4112" s="3" t="n">
        <v>1128.15</v>
      </c>
      <c r="M4112" s="3" t="n">
        <v>698.28</v>
      </c>
      <c r="N4112" s="3" t="n">
        <v>429.87</v>
      </c>
      <c r="O4112">
        <f>TEXT(A4112,"yyyy-mm")</f>
        <v/>
      </c>
    </row>
    <row r="4113">
      <c r="A4113" s="2" t="n">
        <v>46171</v>
      </c>
      <c r="B4113" t="n">
        <v>2026</v>
      </c>
      <c r="C4113" t="inlineStr">
        <is>
          <t>May</t>
        </is>
      </c>
      <c r="D4113" t="inlineStr">
        <is>
          <t>Essential Pasta</t>
        </is>
      </c>
      <c r="E4113" t="inlineStr">
        <is>
          <t>Grocery</t>
        </is>
      </c>
      <c r="F4113" t="inlineStr">
        <is>
          <t>Maria Smith</t>
        </is>
      </c>
      <c r="G4113" t="inlineStr">
        <is>
          <t>Poland</t>
        </is>
      </c>
      <c r="H4113" t="inlineStr">
        <is>
          <t>Mobile App</t>
        </is>
      </c>
      <c r="I4113" t="n">
        <v>2</v>
      </c>
      <c r="J4113" s="3" t="n">
        <v>109.84</v>
      </c>
      <c r="K4113" s="3" t="n">
        <v>21.97</v>
      </c>
      <c r="L4113" s="3" t="n">
        <v>87.87</v>
      </c>
      <c r="M4113" s="3" t="n">
        <v>71.62</v>
      </c>
      <c r="N4113" s="3" t="n">
        <v>16.25</v>
      </c>
      <c r="O4113">
        <f>TEXT(A4113,"yyyy-mm")</f>
        <v/>
      </c>
    </row>
    <row r="4114">
      <c r="A4114" s="2" t="n">
        <v>46171</v>
      </c>
      <c r="B4114" t="n">
        <v>2026</v>
      </c>
      <c r="C4114" t="inlineStr">
        <is>
          <t>May</t>
        </is>
      </c>
      <c r="D4114" t="inlineStr">
        <is>
          <t>Essential Lamp</t>
        </is>
      </c>
      <c r="E4114" t="inlineStr">
        <is>
          <t>Home &amp; Garden</t>
        </is>
      </c>
      <c r="F4114" t="inlineStr">
        <is>
          <t>Maria Garcia</t>
        </is>
      </c>
      <c r="G4114" t="inlineStr">
        <is>
          <t>United Kingdom</t>
        </is>
      </c>
      <c r="H4114" t="inlineStr">
        <is>
          <t>Mobile App</t>
        </is>
      </c>
      <c r="I4114" t="n">
        <v>1</v>
      </c>
      <c r="J4114" s="3" t="n">
        <v>65.93000000000001</v>
      </c>
      <c r="K4114" s="3" t="n">
        <v>6.59</v>
      </c>
      <c r="L4114" s="3" t="n">
        <v>59.34</v>
      </c>
      <c r="M4114" s="3" t="n">
        <v>45.4</v>
      </c>
      <c r="N4114" s="3" t="n">
        <v>13.94</v>
      </c>
      <c r="O4114">
        <f>TEXT(A4114,"yyyy-mm")</f>
        <v/>
      </c>
    </row>
    <row r="4115">
      <c r="A4115" s="2" t="n">
        <v>46171</v>
      </c>
      <c r="B4115" t="n">
        <v>2026</v>
      </c>
      <c r="C4115" t="inlineStr">
        <is>
          <t>May</t>
        </is>
      </c>
      <c r="D4115" t="inlineStr">
        <is>
          <t>Essential Toolset</t>
        </is>
      </c>
      <c r="E4115" t="inlineStr">
        <is>
          <t>Home &amp; Garden</t>
        </is>
      </c>
      <c r="F4115" t="inlineStr">
        <is>
          <t>Maria Garcia</t>
        </is>
      </c>
      <c r="G4115" t="inlineStr">
        <is>
          <t>United Kingdom</t>
        </is>
      </c>
      <c r="H4115" t="inlineStr">
        <is>
          <t>Mobile App</t>
        </is>
      </c>
      <c r="I4115" t="n">
        <v>4</v>
      </c>
      <c r="J4115" s="3" t="n">
        <v>806.28</v>
      </c>
      <c r="K4115" s="3" t="n">
        <v>120.94</v>
      </c>
      <c r="L4115" s="3" t="n">
        <v>685.34</v>
      </c>
      <c r="M4115" s="3" t="n">
        <v>602.12</v>
      </c>
      <c r="N4115" s="3" t="n">
        <v>83.22</v>
      </c>
      <c r="O4115">
        <f>TEXT(A4115,"yyyy-mm")</f>
        <v/>
      </c>
    </row>
    <row r="4116">
      <c r="A4116" s="2" t="n">
        <v>46171</v>
      </c>
      <c r="B4116" t="n">
        <v>2026</v>
      </c>
      <c r="C4116" t="inlineStr">
        <is>
          <t>May</t>
        </is>
      </c>
      <c r="D4116" t="inlineStr">
        <is>
          <t>Essential Notebook</t>
        </is>
      </c>
      <c r="E4116" t="inlineStr">
        <is>
          <t>Books</t>
        </is>
      </c>
      <c r="F4116" t="inlineStr">
        <is>
          <t>Maria Garcia</t>
        </is>
      </c>
      <c r="G4116" t="inlineStr">
        <is>
          <t>United Kingdom</t>
        </is>
      </c>
      <c r="H4116" t="inlineStr">
        <is>
          <t>Mobile App</t>
        </is>
      </c>
      <c r="I4116" t="n">
        <v>4</v>
      </c>
      <c r="J4116" s="3" t="n">
        <v>483.96</v>
      </c>
      <c r="K4116" s="3" t="n">
        <v>0</v>
      </c>
      <c r="L4116" s="3" t="n">
        <v>483.96</v>
      </c>
      <c r="M4116" s="3" t="n">
        <v>316.4</v>
      </c>
      <c r="N4116" s="3" t="n">
        <v>167.56</v>
      </c>
      <c r="O4116">
        <f>TEXT(A4116,"yyyy-mm")</f>
        <v/>
      </c>
    </row>
    <row r="4117">
      <c r="A4117" s="2" t="n">
        <v>46172</v>
      </c>
      <c r="B4117" t="n">
        <v>2026</v>
      </c>
      <c r="C4117" t="inlineStr">
        <is>
          <t>May</t>
        </is>
      </c>
      <c r="D4117" t="inlineStr">
        <is>
          <t>Deluxe Cookbook</t>
        </is>
      </c>
      <c r="E4117" t="inlineStr">
        <is>
          <t>Books</t>
        </is>
      </c>
      <c r="F4117" t="inlineStr">
        <is>
          <t>Maria Moreau</t>
        </is>
      </c>
      <c r="G4117" t="inlineStr">
        <is>
          <t>United Kingdom</t>
        </is>
      </c>
      <c r="H4117" t="inlineStr">
        <is>
          <t>Mobile App</t>
        </is>
      </c>
      <c r="I4117" t="n">
        <v>1</v>
      </c>
      <c r="J4117" s="3" t="n">
        <v>140.82</v>
      </c>
      <c r="K4117" s="3" t="n">
        <v>0</v>
      </c>
      <c r="L4117" s="3" t="n">
        <v>140.82</v>
      </c>
      <c r="M4117" s="3" t="n">
        <v>85.27</v>
      </c>
      <c r="N4117" s="3" t="n">
        <v>55.55</v>
      </c>
      <c r="O4117">
        <f>TEXT(A4117,"yyyy-mm")</f>
        <v/>
      </c>
    </row>
    <row r="4118">
      <c r="A4118" s="2" t="n">
        <v>46172</v>
      </c>
      <c r="B4118" t="n">
        <v>2026</v>
      </c>
      <c r="C4118" t="inlineStr">
        <is>
          <t>May</t>
        </is>
      </c>
      <c r="D4118" t="inlineStr">
        <is>
          <t>Classic Coffee Beans</t>
        </is>
      </c>
      <c r="E4118" t="inlineStr">
        <is>
          <t>Grocery</t>
        </is>
      </c>
      <c r="F4118" t="inlineStr">
        <is>
          <t>Maria Moreau</t>
        </is>
      </c>
      <c r="G4118" t="inlineStr">
        <is>
          <t>United Kingdom</t>
        </is>
      </c>
      <c r="H4118" t="inlineStr">
        <is>
          <t>Mobile App</t>
        </is>
      </c>
      <c r="I4118" t="n">
        <v>5</v>
      </c>
      <c r="J4118" s="3" t="n">
        <v>1683.35</v>
      </c>
      <c r="K4118" s="3" t="n">
        <v>84.17</v>
      </c>
      <c r="L4118" s="3" t="n">
        <v>1599.18</v>
      </c>
      <c r="M4118" s="3" t="n">
        <v>973.8</v>
      </c>
      <c r="N4118" s="3" t="n">
        <v>625.38</v>
      </c>
      <c r="O4118">
        <f>TEXT(A4118,"yyyy-mm")</f>
        <v/>
      </c>
    </row>
    <row r="4119">
      <c r="A4119" s="2" t="n">
        <v>46172</v>
      </c>
      <c r="B4119" t="n">
        <v>2026</v>
      </c>
      <c r="C4119" t="inlineStr">
        <is>
          <t>May</t>
        </is>
      </c>
      <c r="D4119" t="inlineStr">
        <is>
          <t>Essential Pasta</t>
        </is>
      </c>
      <c r="E4119" t="inlineStr">
        <is>
          <t>Grocery</t>
        </is>
      </c>
      <c r="F4119" t="inlineStr">
        <is>
          <t>Maria Moreau</t>
        </is>
      </c>
      <c r="G4119" t="inlineStr">
        <is>
          <t>United Kingdom</t>
        </is>
      </c>
      <c r="H4119" t="inlineStr">
        <is>
          <t>Mobile App</t>
        </is>
      </c>
      <c r="I4119" t="n">
        <v>1</v>
      </c>
      <c r="J4119" s="3" t="n">
        <v>55.39</v>
      </c>
      <c r="K4119" s="3" t="n">
        <v>0</v>
      </c>
      <c r="L4119" s="3" t="n">
        <v>55.39</v>
      </c>
      <c r="M4119" s="3" t="n">
        <v>35.81</v>
      </c>
      <c r="N4119" s="3" t="n">
        <v>19.58</v>
      </c>
      <c r="O4119">
        <f>TEXT(A4119,"yyyy-mm")</f>
        <v/>
      </c>
    </row>
    <row r="4120">
      <c r="A4120" s="2" t="n">
        <v>46172</v>
      </c>
      <c r="B4120" t="n">
        <v>2026</v>
      </c>
      <c r="C4120" t="inlineStr">
        <is>
          <t>May</t>
        </is>
      </c>
      <c r="D4120" t="inlineStr">
        <is>
          <t>Smart Drone</t>
        </is>
      </c>
      <c r="E4120" t="inlineStr">
        <is>
          <t>Toys &amp; Games</t>
        </is>
      </c>
      <c r="F4120" t="inlineStr">
        <is>
          <t>Clara Muller</t>
        </is>
      </c>
      <c r="G4120" t="inlineStr">
        <is>
          <t>Italy</t>
        </is>
      </c>
      <c r="H4120" t="inlineStr">
        <is>
          <t>Marketplace</t>
        </is>
      </c>
      <c r="I4120" t="n">
        <v>2</v>
      </c>
      <c r="J4120" s="3" t="n">
        <v>428.8</v>
      </c>
      <c r="K4120" s="3" t="n">
        <v>21.44</v>
      </c>
      <c r="L4120" s="3" t="n">
        <v>407.36</v>
      </c>
      <c r="M4120" s="3" t="n">
        <v>253.9</v>
      </c>
      <c r="N4120" s="3" t="n">
        <v>153.46</v>
      </c>
      <c r="O4120">
        <f>TEXT(A4120,"yyyy-mm")</f>
        <v/>
      </c>
    </row>
    <row r="4121">
      <c r="A4121" s="2" t="n">
        <v>46172</v>
      </c>
      <c r="B4121" t="n">
        <v>2026</v>
      </c>
      <c r="C4121" t="inlineStr">
        <is>
          <t>May</t>
        </is>
      </c>
      <c r="D4121" t="inlineStr">
        <is>
          <t>Portable Notebook</t>
        </is>
      </c>
      <c r="E4121" t="inlineStr">
        <is>
          <t>Books</t>
        </is>
      </c>
      <c r="F4121" t="inlineStr">
        <is>
          <t>John Muller</t>
        </is>
      </c>
      <c r="G4121" t="inlineStr">
        <is>
          <t>United Kingdom</t>
        </is>
      </c>
      <c r="H4121" t="inlineStr">
        <is>
          <t>Marketplace</t>
        </is>
      </c>
      <c r="I4121" t="n">
        <v>5</v>
      </c>
      <c r="J4121" s="3" t="n">
        <v>600.65</v>
      </c>
      <c r="K4121" s="3" t="n">
        <v>120.13</v>
      </c>
      <c r="L4121" s="3" t="n">
        <v>480.52</v>
      </c>
      <c r="M4121" s="3" t="n">
        <v>356.4</v>
      </c>
      <c r="N4121" s="3" t="n">
        <v>124.12</v>
      </c>
      <c r="O4121">
        <f>TEXT(A4121,"yyyy-mm")</f>
        <v/>
      </c>
    </row>
    <row r="4122">
      <c r="A4122" s="2" t="n">
        <v>46172</v>
      </c>
      <c r="B4122" t="n">
        <v>2026</v>
      </c>
      <c r="C4122" t="inlineStr">
        <is>
          <t>May</t>
        </is>
      </c>
      <c r="D4122" t="inlineStr">
        <is>
          <t>Ultra Toolset</t>
        </is>
      </c>
      <c r="E4122" t="inlineStr">
        <is>
          <t>Home &amp; Garden</t>
        </is>
      </c>
      <c r="F4122" t="inlineStr">
        <is>
          <t>Maria Moreau</t>
        </is>
      </c>
      <c r="G4122" t="inlineStr">
        <is>
          <t>United Kingdom</t>
        </is>
      </c>
      <c r="H4122" t="inlineStr">
        <is>
          <t>Mobile App</t>
        </is>
      </c>
      <c r="I4122" t="n">
        <v>1</v>
      </c>
      <c r="J4122" s="3" t="n">
        <v>347.2</v>
      </c>
      <c r="K4122" s="3" t="n">
        <v>0</v>
      </c>
      <c r="L4122" s="3" t="n">
        <v>347.2</v>
      </c>
      <c r="M4122" s="3" t="n">
        <v>190.4</v>
      </c>
      <c r="N4122" s="3" t="n">
        <v>156.8</v>
      </c>
      <c r="O4122">
        <f>TEXT(A4122,"yyyy-mm")</f>
        <v/>
      </c>
    </row>
    <row r="4123">
      <c r="A4123" s="2" t="n">
        <v>46172</v>
      </c>
      <c r="B4123" t="n">
        <v>2026</v>
      </c>
      <c r="C4123" t="inlineStr">
        <is>
          <t>May</t>
        </is>
      </c>
      <c r="D4123" t="inlineStr">
        <is>
          <t>Deluxe Scarf</t>
        </is>
      </c>
      <c r="E4123" t="inlineStr">
        <is>
          <t>Clothing</t>
        </is>
      </c>
      <c r="F4123" t="inlineStr">
        <is>
          <t>Clara Muller</t>
        </is>
      </c>
      <c r="G4123" t="inlineStr">
        <is>
          <t>Italy</t>
        </is>
      </c>
      <c r="H4123" t="inlineStr">
        <is>
          <t>Marketplace</t>
        </is>
      </c>
      <c r="I4123" t="n">
        <v>5</v>
      </c>
      <c r="J4123" s="3" t="n">
        <v>958.4</v>
      </c>
      <c r="K4123" s="3" t="n">
        <v>0</v>
      </c>
      <c r="L4123" s="3" t="n">
        <v>958.4</v>
      </c>
      <c r="M4123" s="3" t="n">
        <v>542.6</v>
      </c>
      <c r="N4123" s="3" t="n">
        <v>415.8</v>
      </c>
      <c r="O4123">
        <f>TEXT(A4123,"yyyy-mm")</f>
        <v/>
      </c>
    </row>
    <row r="4124">
      <c r="A4124" s="2" t="n">
        <v>46173</v>
      </c>
      <c r="B4124" t="n">
        <v>2026</v>
      </c>
      <c r="C4124" t="inlineStr">
        <is>
          <t>May</t>
        </is>
      </c>
      <c r="D4124" t="inlineStr">
        <is>
          <t>Premium Tent</t>
        </is>
      </c>
      <c r="E4124" t="inlineStr">
        <is>
          <t>Sports &amp; Outdoors</t>
        </is>
      </c>
      <c r="F4124" t="inlineStr">
        <is>
          <t>Nina Lopez</t>
        </is>
      </c>
      <c r="G4124" t="inlineStr">
        <is>
          <t>Poland</t>
        </is>
      </c>
      <c r="H4124" t="inlineStr">
        <is>
          <t>Mobile App</t>
        </is>
      </c>
      <c r="I4124" t="n">
        <v>5</v>
      </c>
      <c r="J4124" s="3" t="n">
        <v>1323.65</v>
      </c>
      <c r="K4124" s="3" t="n">
        <v>264.73</v>
      </c>
      <c r="L4124" s="3" t="n">
        <v>1058.92</v>
      </c>
      <c r="M4124" s="3" t="n">
        <v>695.2</v>
      </c>
      <c r="N4124" s="3" t="n">
        <v>363.72</v>
      </c>
      <c r="O4124">
        <f>TEXT(A4124,"yyyy-mm")</f>
        <v/>
      </c>
    </row>
    <row r="4125">
      <c r="A4125" s="2" t="n">
        <v>46173</v>
      </c>
      <c r="B4125" t="n">
        <v>2026</v>
      </c>
      <c r="C4125" t="inlineStr">
        <is>
          <t>May</t>
        </is>
      </c>
      <c r="D4125" t="inlineStr">
        <is>
          <t>Wireless Honey</t>
        </is>
      </c>
      <c r="E4125" t="inlineStr">
        <is>
          <t>Grocery</t>
        </is>
      </c>
      <c r="F4125" t="inlineStr">
        <is>
          <t>Maria Martin</t>
        </is>
      </c>
      <c r="G4125" t="inlineStr">
        <is>
          <t>United Kingdom</t>
        </is>
      </c>
      <c r="H4125" t="inlineStr">
        <is>
          <t>Marketplace</t>
        </is>
      </c>
      <c r="I4125" t="n">
        <v>3</v>
      </c>
      <c r="J4125" s="3" t="n">
        <v>398.73</v>
      </c>
      <c r="K4125" s="3" t="n">
        <v>19.94</v>
      </c>
      <c r="L4125" s="3" t="n">
        <v>378.79</v>
      </c>
      <c r="M4125" s="3" t="n">
        <v>282.21</v>
      </c>
      <c r="N4125" s="3" t="n">
        <v>96.58</v>
      </c>
      <c r="O4125">
        <f>TEXT(A4125,"yyyy-mm")</f>
        <v/>
      </c>
    </row>
    <row r="4126">
      <c r="A4126" s="2" t="n">
        <v>46173</v>
      </c>
      <c r="B4126" t="n">
        <v>2026</v>
      </c>
      <c r="C4126" t="inlineStr">
        <is>
          <t>May</t>
        </is>
      </c>
      <c r="D4126" t="inlineStr">
        <is>
          <t>Classic Charger</t>
        </is>
      </c>
      <c r="E4126" t="inlineStr">
        <is>
          <t>Electronics</t>
        </is>
      </c>
      <c r="F4126" t="inlineStr">
        <is>
          <t>Maria Martin</t>
        </is>
      </c>
      <c r="G4126" t="inlineStr">
        <is>
          <t>United Kingdom</t>
        </is>
      </c>
      <c r="H4126" t="inlineStr">
        <is>
          <t>Marketplace</t>
        </is>
      </c>
      <c r="I4126" t="n">
        <v>4</v>
      </c>
      <c r="J4126" s="3" t="n">
        <v>374.56</v>
      </c>
      <c r="K4126" s="3" t="n">
        <v>0</v>
      </c>
      <c r="L4126" s="3" t="n">
        <v>374.56</v>
      </c>
      <c r="M4126" s="3" t="n">
        <v>248.84</v>
      </c>
      <c r="N4126" s="3" t="n">
        <v>125.72</v>
      </c>
      <c r="O4126">
        <f>TEXT(A4126,"yyyy-mm")</f>
        <v/>
      </c>
    </row>
    <row r="4127">
      <c r="A4127" s="2" t="n">
        <v>46173</v>
      </c>
      <c r="B4127" t="n">
        <v>2026</v>
      </c>
      <c r="C4127" t="inlineStr">
        <is>
          <t>May</t>
        </is>
      </c>
      <c r="D4127" t="inlineStr">
        <is>
          <t>Eco Drone</t>
        </is>
      </c>
      <c r="E4127" t="inlineStr">
        <is>
          <t>Toys &amp; Games</t>
        </is>
      </c>
      <c r="F4127" t="inlineStr">
        <is>
          <t>Maria Martin</t>
        </is>
      </c>
      <c r="G4127" t="inlineStr">
        <is>
          <t>United Kingdom</t>
        </is>
      </c>
      <c r="H4127" t="inlineStr">
        <is>
          <t>Marketplace</t>
        </is>
      </c>
      <c r="I4127" t="n">
        <v>5</v>
      </c>
      <c r="J4127" s="3" t="n">
        <v>1042.25</v>
      </c>
      <c r="K4127" s="3" t="n">
        <v>0</v>
      </c>
      <c r="L4127" s="3" t="n">
        <v>1042.25</v>
      </c>
      <c r="M4127" s="3" t="n">
        <v>647.95</v>
      </c>
      <c r="N4127" s="3" t="n">
        <v>394.3</v>
      </c>
      <c r="O4127">
        <f>TEXT(A4127,"yyyy-mm")</f>
        <v/>
      </c>
    </row>
    <row r="4128">
      <c r="A4128" s="2" t="n">
        <v>46173</v>
      </c>
      <c r="B4128" t="n">
        <v>2026</v>
      </c>
      <c r="C4128" t="inlineStr">
        <is>
          <t>May</t>
        </is>
      </c>
      <c r="D4128" t="inlineStr">
        <is>
          <t>Premium Water Bottle</t>
        </is>
      </c>
      <c r="E4128" t="inlineStr">
        <is>
          <t>Sports &amp; Outdoors</t>
        </is>
      </c>
      <c r="F4128" t="inlineStr">
        <is>
          <t>Maria Martin</t>
        </is>
      </c>
      <c r="G4128" t="inlineStr">
        <is>
          <t>United Kingdom</t>
        </is>
      </c>
      <c r="H4128" t="inlineStr">
        <is>
          <t>Marketplace</t>
        </is>
      </c>
      <c r="I4128" t="n">
        <v>4</v>
      </c>
      <c r="J4128" s="3" t="n">
        <v>121.24</v>
      </c>
      <c r="K4128" s="3" t="n">
        <v>6.06</v>
      </c>
      <c r="L4128" s="3" t="n">
        <v>115.18</v>
      </c>
      <c r="M4128" s="3" t="n">
        <v>66.52</v>
      </c>
      <c r="N4128" s="3" t="n">
        <v>48.66</v>
      </c>
      <c r="O4128">
        <f>TEXT(A4128,"yyyy-mm")</f>
        <v/>
      </c>
    </row>
    <row r="4129">
      <c r="A4129" s="2" t="n">
        <v>46173</v>
      </c>
      <c r="B4129" t="n">
        <v>2026</v>
      </c>
      <c r="C4129" t="inlineStr">
        <is>
          <t>May</t>
        </is>
      </c>
      <c r="D4129" t="inlineStr">
        <is>
          <t>Classic Tea Set</t>
        </is>
      </c>
      <c r="E4129" t="inlineStr">
        <is>
          <t>Grocery</t>
        </is>
      </c>
      <c r="F4129" t="inlineStr">
        <is>
          <t>David Johnson</t>
        </is>
      </c>
      <c r="G4129" t="inlineStr">
        <is>
          <t>Netherlands</t>
        </is>
      </c>
      <c r="H4129" t="inlineStr">
        <is>
          <t>Marketplace</t>
        </is>
      </c>
      <c r="I4129" t="n">
        <v>1</v>
      </c>
      <c r="J4129" s="3" t="n">
        <v>182.73</v>
      </c>
      <c r="K4129" s="3" t="n">
        <v>36.55</v>
      </c>
      <c r="L4129" s="3" t="n">
        <v>146.18</v>
      </c>
      <c r="M4129" s="3" t="n">
        <v>125.4</v>
      </c>
      <c r="N4129" s="3" t="n">
        <v>20.78</v>
      </c>
      <c r="O4129">
        <f>TEXT(A4129,"yyyy-mm")</f>
        <v/>
      </c>
    </row>
    <row r="4130">
      <c r="A4130" s="2" t="n">
        <v>46173</v>
      </c>
      <c r="B4130" t="n">
        <v>2026</v>
      </c>
      <c r="C4130" t="inlineStr">
        <is>
          <t>May</t>
        </is>
      </c>
      <c r="D4130" t="inlineStr">
        <is>
          <t>Portable Notebook</t>
        </is>
      </c>
      <c r="E4130" t="inlineStr">
        <is>
          <t>Books</t>
        </is>
      </c>
      <c r="F4130" t="inlineStr">
        <is>
          <t>David Johnson</t>
        </is>
      </c>
      <c r="G4130" t="inlineStr">
        <is>
          <t>Netherlands</t>
        </is>
      </c>
      <c r="H4130" t="inlineStr">
        <is>
          <t>Marketplace</t>
        </is>
      </c>
      <c r="I4130" t="n">
        <v>2</v>
      </c>
      <c r="J4130" s="3" t="n">
        <v>259.94</v>
      </c>
      <c r="K4130" s="3" t="n">
        <v>25.99</v>
      </c>
      <c r="L4130" s="3" t="n">
        <v>233.95</v>
      </c>
      <c r="M4130" s="3" t="n">
        <v>142.56</v>
      </c>
      <c r="N4130" s="3" t="n">
        <v>91.39</v>
      </c>
      <c r="O4130">
        <f>TEXT(A4130,"yyyy-mm")</f>
        <v/>
      </c>
    </row>
    <row r="4131">
      <c r="A4131" s="2" t="n">
        <v>46173</v>
      </c>
      <c r="B4131" t="n">
        <v>2026</v>
      </c>
      <c r="C4131" t="inlineStr">
        <is>
          <t>May</t>
        </is>
      </c>
      <c r="D4131" t="inlineStr">
        <is>
          <t>Smart Sweater</t>
        </is>
      </c>
      <c r="E4131" t="inlineStr">
        <is>
          <t>Clothing</t>
        </is>
      </c>
      <c r="F4131" t="inlineStr">
        <is>
          <t>Nina Zielinski</t>
        </is>
      </c>
      <c r="G4131" t="inlineStr">
        <is>
          <t>United Kingdom</t>
        </is>
      </c>
      <c r="H4131" t="inlineStr">
        <is>
          <t>Web Store</t>
        </is>
      </c>
      <c r="I4131" t="n">
        <v>2</v>
      </c>
      <c r="J4131" s="3" t="n">
        <v>302.3</v>
      </c>
      <c r="K4131" s="3" t="n">
        <v>60.46</v>
      </c>
      <c r="L4131" s="3" t="n">
        <v>241.84</v>
      </c>
      <c r="M4131" s="3" t="n">
        <v>154.7</v>
      </c>
      <c r="N4131" s="3" t="n">
        <v>87.14</v>
      </c>
      <c r="O4131">
        <f>TEXT(A4131,"yyyy-mm")</f>
        <v/>
      </c>
    </row>
    <row r="4132">
      <c r="A4132" s="2" t="n">
        <v>46173</v>
      </c>
      <c r="B4132" t="n">
        <v>2026</v>
      </c>
      <c r="C4132" t="inlineStr">
        <is>
          <t>May</t>
        </is>
      </c>
      <c r="D4132" t="inlineStr">
        <is>
          <t>Eco Drone</t>
        </is>
      </c>
      <c r="E4132" t="inlineStr">
        <is>
          <t>Toys &amp; Games</t>
        </is>
      </c>
      <c r="F4132" t="inlineStr">
        <is>
          <t>Nina Zielinski</t>
        </is>
      </c>
      <c r="G4132" t="inlineStr">
        <is>
          <t>United Kingdom</t>
        </is>
      </c>
      <c r="H4132" t="inlineStr">
        <is>
          <t>Web Store</t>
        </is>
      </c>
      <c r="I4132" t="n">
        <v>5</v>
      </c>
      <c r="J4132" s="3" t="n">
        <v>1023.6</v>
      </c>
      <c r="K4132" s="3" t="n">
        <v>102.36</v>
      </c>
      <c r="L4132" s="3" t="n">
        <v>921.24</v>
      </c>
      <c r="M4132" s="3" t="n">
        <v>647.95</v>
      </c>
      <c r="N4132" s="3" t="n">
        <v>273.29</v>
      </c>
      <c r="O4132">
        <f>TEXT(A4132,"yyyy-mm")</f>
        <v/>
      </c>
    </row>
    <row r="4133">
      <c r="A4133" s="2" t="n">
        <v>46173</v>
      </c>
      <c r="B4133" t="n">
        <v>2026</v>
      </c>
      <c r="C4133" t="inlineStr">
        <is>
          <t>May</t>
        </is>
      </c>
      <c r="D4133" t="inlineStr">
        <is>
          <t>Wireless Coffee Beans</t>
        </is>
      </c>
      <c r="E4133" t="inlineStr">
        <is>
          <t>Grocery</t>
        </is>
      </c>
      <c r="F4133" t="inlineStr">
        <is>
          <t>Nina Zielinski</t>
        </is>
      </c>
      <c r="G4133" t="inlineStr">
        <is>
          <t>United Kingdom</t>
        </is>
      </c>
      <c r="H4133" t="inlineStr">
        <is>
          <t>Web Store</t>
        </is>
      </c>
      <c r="I4133" t="n">
        <v>4</v>
      </c>
      <c r="J4133" s="3" t="n">
        <v>484.28</v>
      </c>
      <c r="K4133" s="3" t="n">
        <v>96.86</v>
      </c>
      <c r="L4133" s="3" t="n">
        <v>387.42</v>
      </c>
      <c r="M4133" s="3" t="n">
        <v>317.48</v>
      </c>
      <c r="N4133" s="3" t="n">
        <v>69.94</v>
      </c>
      <c r="O4133">
        <f>TEXT(A4133,"yyyy-mm")</f>
        <v/>
      </c>
    </row>
    <row r="4134">
      <c r="A4134" s="2" t="n">
        <v>46173</v>
      </c>
      <c r="B4134" t="n">
        <v>2026</v>
      </c>
      <c r="C4134" t="inlineStr">
        <is>
          <t>May</t>
        </is>
      </c>
      <c r="D4134" t="inlineStr">
        <is>
          <t>Smart Puzzle</t>
        </is>
      </c>
      <c r="E4134" t="inlineStr">
        <is>
          <t>Toys &amp; Games</t>
        </is>
      </c>
      <c r="F4134" t="inlineStr">
        <is>
          <t>David Johnson</t>
        </is>
      </c>
      <c r="G4134" t="inlineStr">
        <is>
          <t>Netherlands</t>
        </is>
      </c>
      <c r="H4134" t="inlineStr">
        <is>
          <t>Marketplace</t>
        </is>
      </c>
      <c r="I4134" t="n">
        <v>1</v>
      </c>
      <c r="J4134" s="3" t="n">
        <v>47.06</v>
      </c>
      <c r="K4134" s="3" t="n">
        <v>0</v>
      </c>
      <c r="L4134" s="3" t="n">
        <v>47.06</v>
      </c>
      <c r="M4134" s="3" t="n">
        <v>24.44</v>
      </c>
      <c r="N4134" s="3" t="n">
        <v>22.62</v>
      </c>
      <c r="O4134">
        <f>TEXT(A4134,"yyyy-mm")</f>
        <v/>
      </c>
    </row>
    <row r="4135">
      <c r="A4135" s="2" t="n">
        <v>46174</v>
      </c>
      <c r="B4135" t="n">
        <v>2026</v>
      </c>
      <c r="C4135" t="inlineStr">
        <is>
          <t>June</t>
        </is>
      </c>
      <c r="D4135" t="inlineStr">
        <is>
          <t>Deluxe Puzzle</t>
        </is>
      </c>
      <c r="E4135" t="inlineStr">
        <is>
          <t>Toys &amp; Games</t>
        </is>
      </c>
      <c r="F4135" t="inlineStr">
        <is>
          <t>Mark Conti</t>
        </is>
      </c>
      <c r="G4135" t="inlineStr">
        <is>
          <t>Poland</t>
        </is>
      </c>
      <c r="H4135" t="inlineStr">
        <is>
          <t>Retail Store</t>
        </is>
      </c>
      <c r="I4135" t="n">
        <v>2</v>
      </c>
      <c r="J4135" s="3" t="n">
        <v>406.12</v>
      </c>
      <c r="K4135" s="3" t="n">
        <v>20.31</v>
      </c>
      <c r="L4135" s="3" t="n">
        <v>385.81</v>
      </c>
      <c r="M4135" s="3" t="n">
        <v>222.34</v>
      </c>
      <c r="N4135" s="3" t="n">
        <v>163.47</v>
      </c>
      <c r="O4135">
        <f>TEXT(A4135,"yyyy-mm")</f>
        <v/>
      </c>
    </row>
    <row r="4136">
      <c r="A4136" s="2" t="n">
        <v>46174</v>
      </c>
      <c r="B4136" t="n">
        <v>2026</v>
      </c>
      <c r="C4136" t="inlineStr">
        <is>
          <t>June</t>
        </is>
      </c>
      <c r="D4136" t="inlineStr">
        <is>
          <t>Portable Toolset</t>
        </is>
      </c>
      <c r="E4136" t="inlineStr">
        <is>
          <t>Home &amp; Garden</t>
        </is>
      </c>
      <c r="F4136" t="inlineStr">
        <is>
          <t>Olivia Kowalski</t>
        </is>
      </c>
      <c r="G4136" t="inlineStr">
        <is>
          <t>Poland</t>
        </is>
      </c>
      <c r="H4136" t="inlineStr">
        <is>
          <t>Marketplace</t>
        </is>
      </c>
      <c r="I4136" t="n">
        <v>5</v>
      </c>
      <c r="J4136" s="3" t="n">
        <v>726.3</v>
      </c>
      <c r="K4136" s="3" t="n">
        <v>145.26</v>
      </c>
      <c r="L4136" s="3" t="n">
        <v>581.04</v>
      </c>
      <c r="M4136" s="3" t="n">
        <v>464.25</v>
      </c>
      <c r="N4136" s="3" t="n">
        <v>116.79</v>
      </c>
      <c r="O4136">
        <f>TEXT(A4136,"yyyy-mm")</f>
        <v/>
      </c>
    </row>
    <row r="4137">
      <c r="A4137" s="2" t="n">
        <v>46174</v>
      </c>
      <c r="B4137" t="n">
        <v>2026</v>
      </c>
      <c r="C4137" t="inlineStr">
        <is>
          <t>June</t>
        </is>
      </c>
      <c r="D4137" t="inlineStr">
        <is>
          <t>Smart Sweater</t>
        </is>
      </c>
      <c r="E4137" t="inlineStr">
        <is>
          <t>Clothing</t>
        </is>
      </c>
      <c r="F4137" t="inlineStr">
        <is>
          <t>Olivia Kowalski</t>
        </is>
      </c>
      <c r="G4137" t="inlineStr">
        <is>
          <t>Poland</t>
        </is>
      </c>
      <c r="H4137" t="inlineStr">
        <is>
          <t>Marketplace</t>
        </is>
      </c>
      <c r="I4137" t="n">
        <v>3</v>
      </c>
      <c r="J4137" s="3" t="n">
        <v>424.71</v>
      </c>
      <c r="K4137" s="3" t="n">
        <v>0</v>
      </c>
      <c r="L4137" s="3" t="n">
        <v>424.71</v>
      </c>
      <c r="M4137" s="3" t="n">
        <v>232.05</v>
      </c>
      <c r="N4137" s="3" t="n">
        <v>192.66</v>
      </c>
      <c r="O4137">
        <f>TEXT(A4137,"yyyy-mm")</f>
        <v/>
      </c>
    </row>
    <row r="4138">
      <c r="A4138" s="2" t="n">
        <v>46174</v>
      </c>
      <c r="B4138" t="n">
        <v>2026</v>
      </c>
      <c r="C4138" t="inlineStr">
        <is>
          <t>June</t>
        </is>
      </c>
      <c r="D4138" t="inlineStr">
        <is>
          <t>Eco Drone</t>
        </is>
      </c>
      <c r="E4138" t="inlineStr">
        <is>
          <t>Toys &amp; Games</t>
        </is>
      </c>
      <c r="F4138" t="inlineStr">
        <is>
          <t>Olivia Kowalski</t>
        </is>
      </c>
      <c r="G4138" t="inlineStr">
        <is>
          <t>Poland</t>
        </is>
      </c>
      <c r="H4138" t="inlineStr">
        <is>
          <t>Marketplace</t>
        </is>
      </c>
      <c r="I4138" t="n">
        <v>2</v>
      </c>
      <c r="J4138" s="3" t="n">
        <v>396.62</v>
      </c>
      <c r="K4138" s="3" t="n">
        <v>59.49</v>
      </c>
      <c r="L4138" s="3" t="n">
        <v>337.13</v>
      </c>
      <c r="M4138" s="3" t="n">
        <v>259.18</v>
      </c>
      <c r="N4138" s="3" t="n">
        <v>77.95</v>
      </c>
      <c r="O4138">
        <f>TEXT(A4138,"yyyy-mm")</f>
        <v/>
      </c>
    </row>
    <row r="4139">
      <c r="A4139" s="2" t="n">
        <v>46174</v>
      </c>
      <c r="B4139" t="n">
        <v>2026</v>
      </c>
      <c r="C4139" t="inlineStr">
        <is>
          <t>June</t>
        </is>
      </c>
      <c r="D4139" t="inlineStr">
        <is>
          <t>Wireless Backpack</t>
        </is>
      </c>
      <c r="E4139" t="inlineStr">
        <is>
          <t>Sports &amp; Outdoors</t>
        </is>
      </c>
      <c r="F4139" t="inlineStr">
        <is>
          <t>Sophie Muller</t>
        </is>
      </c>
      <c r="G4139" t="inlineStr">
        <is>
          <t>United States</t>
        </is>
      </c>
      <c r="H4139" t="inlineStr">
        <is>
          <t>Retail Store</t>
        </is>
      </c>
      <c r="I4139" t="n">
        <v>2</v>
      </c>
      <c r="J4139" s="3" t="n">
        <v>96.8</v>
      </c>
      <c r="K4139" s="3" t="n">
        <v>9.68</v>
      </c>
      <c r="L4139" s="3" t="n">
        <v>87.12</v>
      </c>
      <c r="M4139" s="3" t="n">
        <v>56.2</v>
      </c>
      <c r="N4139" s="3" t="n">
        <v>30.92</v>
      </c>
      <c r="O4139">
        <f>TEXT(A4139,"yyyy-mm")</f>
        <v/>
      </c>
    </row>
    <row r="4140">
      <c r="A4140" s="2" t="n">
        <v>46174</v>
      </c>
      <c r="B4140" t="n">
        <v>2026</v>
      </c>
      <c r="C4140" t="inlineStr">
        <is>
          <t>June</t>
        </is>
      </c>
      <c r="D4140" t="inlineStr">
        <is>
          <t>Premium Water Bottle</t>
        </is>
      </c>
      <c r="E4140" t="inlineStr">
        <is>
          <t>Sports &amp; Outdoors</t>
        </is>
      </c>
      <c r="F4140" t="inlineStr">
        <is>
          <t>Sophie Muller</t>
        </is>
      </c>
      <c r="G4140" t="inlineStr">
        <is>
          <t>United States</t>
        </is>
      </c>
      <c r="H4140" t="inlineStr">
        <is>
          <t>Retail Store</t>
        </is>
      </c>
      <c r="I4140" t="n">
        <v>5</v>
      </c>
      <c r="J4140" s="3" t="n">
        <v>147.6</v>
      </c>
      <c r="K4140" s="3" t="n">
        <v>22.14</v>
      </c>
      <c r="L4140" s="3" t="n">
        <v>125.46</v>
      </c>
      <c r="M4140" s="3" t="n">
        <v>83.15000000000001</v>
      </c>
      <c r="N4140" s="3" t="n">
        <v>42.31</v>
      </c>
      <c r="O4140">
        <f>TEXT(A4140,"yyyy-mm")</f>
        <v/>
      </c>
    </row>
    <row r="4141">
      <c r="A4141" s="2" t="n">
        <v>46174</v>
      </c>
      <c r="B4141" t="n">
        <v>2026</v>
      </c>
      <c r="C4141" t="inlineStr">
        <is>
          <t>June</t>
        </is>
      </c>
      <c r="D4141" t="inlineStr">
        <is>
          <t>Deluxe Headphones</t>
        </is>
      </c>
      <c r="E4141" t="inlineStr">
        <is>
          <t>Electronics</t>
        </is>
      </c>
      <c r="F4141" t="inlineStr">
        <is>
          <t>Sophie Muller</t>
        </is>
      </c>
      <c r="G4141" t="inlineStr">
        <is>
          <t>United States</t>
        </is>
      </c>
      <c r="H4141" t="inlineStr">
        <is>
          <t>Retail Store</t>
        </is>
      </c>
      <c r="I4141" t="n">
        <v>1</v>
      </c>
      <c r="J4141" s="3" t="n">
        <v>74.03</v>
      </c>
      <c r="K4141" s="3" t="n">
        <v>11.1</v>
      </c>
      <c r="L4141" s="3" t="n">
        <v>62.93</v>
      </c>
      <c r="M4141" s="3" t="n">
        <v>52.5</v>
      </c>
      <c r="N4141" s="3" t="n">
        <v>10.43</v>
      </c>
      <c r="O4141">
        <f>TEXT(A4141,"yyyy-mm")</f>
        <v/>
      </c>
    </row>
    <row r="4142">
      <c r="A4142" s="2" t="n">
        <v>46174</v>
      </c>
      <c r="B4142" t="n">
        <v>2026</v>
      </c>
      <c r="C4142" t="inlineStr">
        <is>
          <t>June</t>
        </is>
      </c>
      <c r="D4142" t="inlineStr">
        <is>
          <t>Ultra Rug</t>
        </is>
      </c>
      <c r="E4142" t="inlineStr">
        <is>
          <t>Home &amp; Garden</t>
        </is>
      </c>
      <c r="F4142" t="inlineStr">
        <is>
          <t>Laura Lopez</t>
        </is>
      </c>
      <c r="G4142" t="inlineStr">
        <is>
          <t>United States</t>
        </is>
      </c>
      <c r="H4142" t="inlineStr">
        <is>
          <t>Mobile App</t>
        </is>
      </c>
      <c r="I4142" t="n">
        <v>5</v>
      </c>
      <c r="J4142" s="3" t="n">
        <v>262.5</v>
      </c>
      <c r="K4142" s="3" t="n">
        <v>0</v>
      </c>
      <c r="L4142" s="3" t="n">
        <v>262.5</v>
      </c>
      <c r="M4142" s="3" t="n">
        <v>164.55</v>
      </c>
      <c r="N4142" s="3" t="n">
        <v>97.95</v>
      </c>
      <c r="O4142">
        <f>TEXT(A4142,"yyyy-mm")</f>
        <v/>
      </c>
    </row>
    <row r="4143">
      <c r="A4143" s="2" t="n">
        <v>46174</v>
      </c>
      <c r="B4143" t="n">
        <v>2026</v>
      </c>
      <c r="C4143" t="inlineStr">
        <is>
          <t>June</t>
        </is>
      </c>
      <c r="D4143" t="inlineStr">
        <is>
          <t>Essential Pasta</t>
        </is>
      </c>
      <c r="E4143" t="inlineStr">
        <is>
          <t>Grocery</t>
        </is>
      </c>
      <c r="F4143" t="inlineStr">
        <is>
          <t>Laura Lopez</t>
        </is>
      </c>
      <c r="G4143" t="inlineStr">
        <is>
          <t>United States</t>
        </is>
      </c>
      <c r="H4143" t="inlineStr">
        <is>
          <t>Mobile App</t>
        </is>
      </c>
      <c r="I4143" t="n">
        <v>3</v>
      </c>
      <c r="J4143" s="3" t="n">
        <v>168.9</v>
      </c>
      <c r="K4143" s="3" t="n">
        <v>16.89</v>
      </c>
      <c r="L4143" s="3" t="n">
        <v>152.01</v>
      </c>
      <c r="M4143" s="3" t="n">
        <v>107.43</v>
      </c>
      <c r="N4143" s="3" t="n">
        <v>44.58</v>
      </c>
      <c r="O4143">
        <f>TEXT(A4143,"yyyy-mm")</f>
        <v/>
      </c>
    </row>
    <row r="4144">
      <c r="A4144" s="2" t="n">
        <v>46174</v>
      </c>
      <c r="B4144" t="n">
        <v>2026</v>
      </c>
      <c r="C4144" t="inlineStr">
        <is>
          <t>June</t>
        </is>
      </c>
      <c r="D4144" t="inlineStr">
        <is>
          <t>Classic Tent</t>
        </is>
      </c>
      <c r="E4144" t="inlineStr">
        <is>
          <t>Sports &amp; Outdoors</t>
        </is>
      </c>
      <c r="F4144" t="inlineStr">
        <is>
          <t>Sophie Muller</t>
        </is>
      </c>
      <c r="G4144" t="inlineStr">
        <is>
          <t>United States</t>
        </is>
      </c>
      <c r="H4144" t="inlineStr">
        <is>
          <t>Retail Store</t>
        </is>
      </c>
      <c r="I4144" t="n">
        <v>2</v>
      </c>
      <c r="J4144" s="3" t="n">
        <v>422.56</v>
      </c>
      <c r="K4144" s="3" t="n">
        <v>0</v>
      </c>
      <c r="L4144" s="3" t="n">
        <v>422.56</v>
      </c>
      <c r="M4144" s="3" t="n">
        <v>236.04</v>
      </c>
      <c r="N4144" s="3" t="n">
        <v>186.52</v>
      </c>
      <c r="O4144">
        <f>TEXT(A4144,"yyyy-mm")</f>
        <v/>
      </c>
    </row>
    <row r="4145">
      <c r="A4145" s="2" t="n">
        <v>46175</v>
      </c>
      <c r="B4145" t="n">
        <v>2026</v>
      </c>
      <c r="C4145" t="inlineStr">
        <is>
          <t>June</t>
        </is>
      </c>
      <c r="D4145" t="inlineStr">
        <is>
          <t>Essential Toolset</t>
        </is>
      </c>
      <c r="E4145" t="inlineStr">
        <is>
          <t>Home &amp; Garden</t>
        </is>
      </c>
      <c r="F4145" t="inlineStr">
        <is>
          <t>James Zielinski</t>
        </is>
      </c>
      <c r="G4145" t="inlineStr">
        <is>
          <t>France</t>
        </is>
      </c>
      <c r="H4145" t="inlineStr">
        <is>
          <t>Marketplace</t>
        </is>
      </c>
      <c r="I4145" t="n">
        <v>1</v>
      </c>
      <c r="J4145" s="3" t="n">
        <v>214.36</v>
      </c>
      <c r="K4145" s="3" t="n">
        <v>0</v>
      </c>
      <c r="L4145" s="3" t="n">
        <v>214.36</v>
      </c>
      <c r="M4145" s="3" t="n">
        <v>150.53</v>
      </c>
      <c r="N4145" s="3" t="n">
        <v>63.83</v>
      </c>
      <c r="O4145">
        <f>TEXT(A4145,"yyyy-mm")</f>
        <v/>
      </c>
    </row>
    <row r="4146">
      <c r="A4146" s="2" t="n">
        <v>46175</v>
      </c>
      <c r="B4146" t="n">
        <v>2026</v>
      </c>
      <c r="C4146" t="inlineStr">
        <is>
          <t>June</t>
        </is>
      </c>
      <c r="D4146" t="inlineStr">
        <is>
          <t>Eco Planter</t>
        </is>
      </c>
      <c r="E4146" t="inlineStr">
        <is>
          <t>Home &amp; Garden</t>
        </is>
      </c>
      <c r="F4146" t="inlineStr">
        <is>
          <t>James Zielinski</t>
        </is>
      </c>
      <c r="G4146" t="inlineStr">
        <is>
          <t>France</t>
        </is>
      </c>
      <c r="H4146" t="inlineStr">
        <is>
          <t>Marketplace</t>
        </is>
      </c>
      <c r="I4146" t="n">
        <v>3</v>
      </c>
      <c r="J4146" s="3" t="n">
        <v>552.72</v>
      </c>
      <c r="K4146" s="3" t="n">
        <v>110.54</v>
      </c>
      <c r="L4146" s="3" t="n">
        <v>442.18</v>
      </c>
      <c r="M4146" s="3" t="n">
        <v>337.23</v>
      </c>
      <c r="N4146" s="3" t="n">
        <v>104.95</v>
      </c>
      <c r="O4146">
        <f>TEXT(A4146,"yyyy-mm")</f>
        <v/>
      </c>
    </row>
    <row r="4147">
      <c r="A4147" s="2" t="n">
        <v>46175</v>
      </c>
      <c r="B4147" t="n">
        <v>2026</v>
      </c>
      <c r="C4147" t="inlineStr">
        <is>
          <t>June</t>
        </is>
      </c>
      <c r="D4147" t="inlineStr">
        <is>
          <t>Portable Notebook</t>
        </is>
      </c>
      <c r="E4147" t="inlineStr">
        <is>
          <t>Books</t>
        </is>
      </c>
      <c r="F4147" t="inlineStr">
        <is>
          <t>Clara Martin</t>
        </is>
      </c>
      <c r="G4147" t="inlineStr">
        <is>
          <t>United Kingdom</t>
        </is>
      </c>
      <c r="H4147" t="inlineStr">
        <is>
          <t>Marketplace</t>
        </is>
      </c>
      <c r="I4147" t="n">
        <v>2</v>
      </c>
      <c r="J4147" s="3" t="n">
        <v>247.5</v>
      </c>
      <c r="K4147" s="3" t="n">
        <v>0</v>
      </c>
      <c r="L4147" s="3" t="n">
        <v>247.5</v>
      </c>
      <c r="M4147" s="3" t="n">
        <v>142.56</v>
      </c>
      <c r="N4147" s="3" t="n">
        <v>104.94</v>
      </c>
      <c r="O4147">
        <f>TEXT(A4147,"yyyy-mm")</f>
        <v/>
      </c>
    </row>
    <row r="4148">
      <c r="A4148" s="2" t="n">
        <v>46175</v>
      </c>
      <c r="B4148" t="n">
        <v>2026</v>
      </c>
      <c r="C4148" t="inlineStr">
        <is>
          <t>June</t>
        </is>
      </c>
      <c r="D4148" t="inlineStr">
        <is>
          <t>Essential Cushion</t>
        </is>
      </c>
      <c r="E4148" t="inlineStr">
        <is>
          <t>Home &amp; Garden</t>
        </is>
      </c>
      <c r="F4148" t="inlineStr">
        <is>
          <t>Clara Martin</t>
        </is>
      </c>
      <c r="G4148" t="inlineStr">
        <is>
          <t>United Kingdom</t>
        </is>
      </c>
      <c r="H4148" t="inlineStr">
        <is>
          <t>Marketplace</t>
        </is>
      </c>
      <c r="I4148" t="n">
        <v>4</v>
      </c>
      <c r="J4148" s="3" t="n">
        <v>187.52</v>
      </c>
      <c r="K4148" s="3" t="n">
        <v>18.75</v>
      </c>
      <c r="L4148" s="3" t="n">
        <v>168.77</v>
      </c>
      <c r="M4148" s="3" t="n">
        <v>122.2</v>
      </c>
      <c r="N4148" s="3" t="n">
        <v>46.57</v>
      </c>
      <c r="O4148">
        <f>TEXT(A4148,"yyyy-mm")</f>
        <v/>
      </c>
    </row>
    <row r="4149">
      <c r="A4149" s="2" t="n">
        <v>46175</v>
      </c>
      <c r="B4149" t="n">
        <v>2026</v>
      </c>
      <c r="C4149" t="inlineStr">
        <is>
          <t>June</t>
        </is>
      </c>
      <c r="D4149" t="inlineStr">
        <is>
          <t>Premium Tent</t>
        </is>
      </c>
      <c r="E4149" t="inlineStr">
        <is>
          <t>Sports &amp; Outdoors</t>
        </is>
      </c>
      <c r="F4149" t="inlineStr">
        <is>
          <t>Mark Brown</t>
        </is>
      </c>
      <c r="G4149" t="inlineStr">
        <is>
          <t>Spain</t>
        </is>
      </c>
      <c r="H4149" t="inlineStr">
        <is>
          <t>Marketplace</t>
        </is>
      </c>
      <c r="I4149" t="n">
        <v>2</v>
      </c>
      <c r="J4149" s="3" t="n">
        <v>513.72</v>
      </c>
      <c r="K4149" s="3" t="n">
        <v>51.37</v>
      </c>
      <c r="L4149" s="3" t="n">
        <v>462.35</v>
      </c>
      <c r="M4149" s="3" t="n">
        <v>330.62</v>
      </c>
      <c r="N4149" s="3" t="n">
        <v>131.73</v>
      </c>
      <c r="O4149">
        <f>TEXT(A4149,"yyyy-mm")</f>
        <v/>
      </c>
    </row>
    <row r="4150">
      <c r="A4150" s="2" t="n">
        <v>46175</v>
      </c>
      <c r="B4150" t="n">
        <v>2026</v>
      </c>
      <c r="C4150" t="inlineStr">
        <is>
          <t>June</t>
        </is>
      </c>
      <c r="D4150" t="inlineStr">
        <is>
          <t>Ultra Vitamins</t>
        </is>
      </c>
      <c r="E4150" t="inlineStr">
        <is>
          <t>Beauty &amp; Health</t>
        </is>
      </c>
      <c r="F4150" t="inlineStr">
        <is>
          <t>James Zielinski</t>
        </is>
      </c>
      <c r="G4150" t="inlineStr">
        <is>
          <t>France</t>
        </is>
      </c>
      <c r="H4150" t="inlineStr">
        <is>
          <t>Marketplace</t>
        </is>
      </c>
      <c r="I4150" t="n">
        <v>5</v>
      </c>
      <c r="J4150" s="3" t="n">
        <v>1061.45</v>
      </c>
      <c r="K4150" s="3" t="n">
        <v>0</v>
      </c>
      <c r="L4150" s="3" t="n">
        <v>1061.45</v>
      </c>
      <c r="M4150" s="3" t="n">
        <v>630.5</v>
      </c>
      <c r="N4150" s="3" t="n">
        <v>430.95</v>
      </c>
      <c r="O4150">
        <f>TEXT(A4150,"yyyy-mm")</f>
        <v/>
      </c>
    </row>
    <row r="4151">
      <c r="A4151" s="2" t="n">
        <v>46175</v>
      </c>
      <c r="B4151" t="n">
        <v>2026</v>
      </c>
      <c r="C4151" t="inlineStr">
        <is>
          <t>June</t>
        </is>
      </c>
      <c r="D4151" t="inlineStr">
        <is>
          <t>Eco Tent</t>
        </is>
      </c>
      <c r="E4151" t="inlineStr">
        <is>
          <t>Sports &amp; Outdoors</t>
        </is>
      </c>
      <c r="F4151" t="inlineStr">
        <is>
          <t>James Zielinski</t>
        </is>
      </c>
      <c r="G4151" t="inlineStr">
        <is>
          <t>France</t>
        </is>
      </c>
      <c r="H4151" t="inlineStr">
        <is>
          <t>Marketplace</t>
        </is>
      </c>
      <c r="I4151" t="n">
        <v>5</v>
      </c>
      <c r="J4151" s="3" t="n">
        <v>1257.7</v>
      </c>
      <c r="K4151" s="3" t="n">
        <v>62.89</v>
      </c>
      <c r="L4151" s="3" t="n">
        <v>1194.82</v>
      </c>
      <c r="M4151" s="3" t="n">
        <v>675.15</v>
      </c>
      <c r="N4151" s="3" t="n">
        <v>519.67</v>
      </c>
      <c r="O4151">
        <f>TEXT(A4151,"yyyy-mm")</f>
        <v/>
      </c>
    </row>
    <row r="4152">
      <c r="A4152" s="2" t="n">
        <v>46176</v>
      </c>
      <c r="B4152" t="n">
        <v>2026</v>
      </c>
      <c r="C4152" t="inlineStr">
        <is>
          <t>June</t>
        </is>
      </c>
      <c r="D4152" t="inlineStr">
        <is>
          <t>Essential Toolset</t>
        </is>
      </c>
      <c r="E4152" t="inlineStr">
        <is>
          <t>Home &amp; Garden</t>
        </is>
      </c>
      <c r="F4152" t="inlineStr">
        <is>
          <t>Mark Zielinski</t>
        </is>
      </c>
      <c r="G4152" t="inlineStr">
        <is>
          <t>Poland</t>
        </is>
      </c>
      <c r="H4152" t="inlineStr">
        <is>
          <t>Web Store</t>
        </is>
      </c>
      <c r="I4152" t="n">
        <v>2</v>
      </c>
      <c r="J4152" s="3" t="n">
        <v>426.04</v>
      </c>
      <c r="K4152" s="3" t="n">
        <v>85.20999999999999</v>
      </c>
      <c r="L4152" s="3" t="n">
        <v>340.83</v>
      </c>
      <c r="M4152" s="3" t="n">
        <v>301.06</v>
      </c>
      <c r="N4152" s="3" t="n">
        <v>39.77</v>
      </c>
      <c r="O4152">
        <f>TEXT(A4152,"yyyy-mm")</f>
        <v/>
      </c>
    </row>
    <row r="4153">
      <c r="A4153" s="2" t="n">
        <v>46176</v>
      </c>
      <c r="B4153" t="n">
        <v>2026</v>
      </c>
      <c r="C4153" t="inlineStr">
        <is>
          <t>June</t>
        </is>
      </c>
      <c r="D4153" t="inlineStr">
        <is>
          <t>Portable Puzzle</t>
        </is>
      </c>
      <c r="E4153" t="inlineStr">
        <is>
          <t>Toys &amp; Games</t>
        </is>
      </c>
      <c r="F4153" t="inlineStr">
        <is>
          <t>Mark Zielinski</t>
        </is>
      </c>
      <c r="G4153" t="inlineStr">
        <is>
          <t>Poland</t>
        </is>
      </c>
      <c r="H4153" t="inlineStr">
        <is>
          <t>Web Store</t>
        </is>
      </c>
      <c r="I4153" t="n">
        <v>4</v>
      </c>
      <c r="J4153" s="3" t="n">
        <v>422.12</v>
      </c>
      <c r="K4153" s="3" t="n">
        <v>63.32</v>
      </c>
      <c r="L4153" s="3" t="n">
        <v>358.8</v>
      </c>
      <c r="M4153" s="3" t="n">
        <v>235.2</v>
      </c>
      <c r="N4153" s="3" t="n">
        <v>123.6</v>
      </c>
      <c r="O4153">
        <f>TEXT(A4153,"yyyy-mm")</f>
        <v/>
      </c>
    </row>
    <row r="4154">
      <c r="A4154" s="2" t="n">
        <v>46176</v>
      </c>
      <c r="B4154" t="n">
        <v>2026</v>
      </c>
      <c r="C4154" t="inlineStr">
        <is>
          <t>June</t>
        </is>
      </c>
      <c r="D4154" t="inlineStr">
        <is>
          <t>Essential Jacket</t>
        </is>
      </c>
      <c r="E4154" t="inlineStr">
        <is>
          <t>Clothing</t>
        </is>
      </c>
      <c r="F4154" t="inlineStr">
        <is>
          <t>Mark Zielinski</t>
        </is>
      </c>
      <c r="G4154" t="inlineStr">
        <is>
          <t>Poland</t>
        </is>
      </c>
      <c r="H4154" t="inlineStr">
        <is>
          <t>Web Store</t>
        </is>
      </c>
      <c r="I4154" t="n">
        <v>5</v>
      </c>
      <c r="J4154" s="3" t="n">
        <v>764.5</v>
      </c>
      <c r="K4154" s="3" t="n">
        <v>0</v>
      </c>
      <c r="L4154" s="3" t="n">
        <v>764.5</v>
      </c>
      <c r="M4154" s="3" t="n">
        <v>426.75</v>
      </c>
      <c r="N4154" s="3" t="n">
        <v>337.75</v>
      </c>
      <c r="O4154">
        <f>TEXT(A4154,"yyyy-mm")</f>
        <v/>
      </c>
    </row>
    <row r="4155">
      <c r="A4155" s="2" t="n">
        <v>46176</v>
      </c>
      <c r="B4155" t="n">
        <v>2026</v>
      </c>
      <c r="C4155" t="inlineStr">
        <is>
          <t>June</t>
        </is>
      </c>
      <c r="D4155" t="inlineStr">
        <is>
          <t>Eco Backpack</t>
        </is>
      </c>
      <c r="E4155" t="inlineStr">
        <is>
          <t>Sports &amp; Outdoors</t>
        </is>
      </c>
      <c r="F4155" t="inlineStr">
        <is>
          <t>Mark Smith</t>
        </is>
      </c>
      <c r="G4155" t="inlineStr">
        <is>
          <t>United States</t>
        </is>
      </c>
      <c r="H4155" t="inlineStr">
        <is>
          <t>Marketplace</t>
        </is>
      </c>
      <c r="I4155" t="n">
        <v>1</v>
      </c>
      <c r="J4155" s="3" t="n">
        <v>266.66</v>
      </c>
      <c r="K4155" s="3" t="n">
        <v>0</v>
      </c>
      <c r="L4155" s="3" t="n">
        <v>266.66</v>
      </c>
      <c r="M4155" s="3" t="n">
        <v>146.58</v>
      </c>
      <c r="N4155" s="3" t="n">
        <v>120.08</v>
      </c>
      <c r="O4155">
        <f>TEXT(A4155,"yyyy-mm")</f>
        <v/>
      </c>
    </row>
    <row r="4156">
      <c r="A4156" s="2" t="n">
        <v>46176</v>
      </c>
      <c r="B4156" t="n">
        <v>2026</v>
      </c>
      <c r="C4156" t="inlineStr">
        <is>
          <t>June</t>
        </is>
      </c>
      <c r="D4156" t="inlineStr">
        <is>
          <t>Smart Sweater</t>
        </is>
      </c>
      <c r="E4156" t="inlineStr">
        <is>
          <t>Clothing</t>
        </is>
      </c>
      <c r="F4156" t="inlineStr">
        <is>
          <t>Mark Smith</t>
        </is>
      </c>
      <c r="G4156" t="inlineStr">
        <is>
          <t>United States</t>
        </is>
      </c>
      <c r="H4156" t="inlineStr">
        <is>
          <t>Marketplace</t>
        </is>
      </c>
      <c r="I4156" t="n">
        <v>2</v>
      </c>
      <c r="J4156" s="3" t="n">
        <v>282.88</v>
      </c>
      <c r="K4156" s="3" t="n">
        <v>0</v>
      </c>
      <c r="L4156" s="3" t="n">
        <v>282.88</v>
      </c>
      <c r="M4156" s="3" t="n">
        <v>154.7</v>
      </c>
      <c r="N4156" s="3" t="n">
        <v>128.18</v>
      </c>
      <c r="O4156">
        <f>TEXT(A4156,"yyyy-mm")</f>
        <v/>
      </c>
    </row>
    <row r="4157">
      <c r="A4157" s="2" t="n">
        <v>46176</v>
      </c>
      <c r="B4157" t="n">
        <v>2026</v>
      </c>
      <c r="C4157" t="inlineStr">
        <is>
          <t>June</t>
        </is>
      </c>
      <c r="D4157" t="inlineStr">
        <is>
          <t>Portable Pasta</t>
        </is>
      </c>
      <c r="E4157" t="inlineStr">
        <is>
          <t>Grocery</t>
        </is>
      </c>
      <c r="F4157" t="inlineStr">
        <is>
          <t>Mark Smith</t>
        </is>
      </c>
      <c r="G4157" t="inlineStr">
        <is>
          <t>United States</t>
        </is>
      </c>
      <c r="H4157" t="inlineStr">
        <is>
          <t>Marketplace</t>
        </is>
      </c>
      <c r="I4157" t="n">
        <v>5</v>
      </c>
      <c r="J4157" s="3" t="n">
        <v>176.85</v>
      </c>
      <c r="K4157" s="3" t="n">
        <v>35.37</v>
      </c>
      <c r="L4157" s="3" t="n">
        <v>141.48</v>
      </c>
      <c r="M4157" s="3" t="n">
        <v>138.75</v>
      </c>
      <c r="N4157" s="3" t="n">
        <v>2.73</v>
      </c>
      <c r="O4157">
        <f>TEXT(A4157,"yyyy-mm")</f>
        <v/>
      </c>
    </row>
    <row r="4158">
      <c r="A4158" s="2" t="n">
        <v>46176</v>
      </c>
      <c r="B4158" t="n">
        <v>2026</v>
      </c>
      <c r="C4158" t="inlineStr">
        <is>
          <t>June</t>
        </is>
      </c>
      <c r="D4158" t="inlineStr">
        <is>
          <t>Eco Biography</t>
        </is>
      </c>
      <c r="E4158" t="inlineStr">
        <is>
          <t>Books</t>
        </is>
      </c>
      <c r="F4158" t="inlineStr">
        <is>
          <t>Clara Lopez</t>
        </is>
      </c>
      <c r="G4158" t="inlineStr">
        <is>
          <t>France</t>
        </is>
      </c>
      <c r="H4158" t="inlineStr">
        <is>
          <t>Marketplace</t>
        </is>
      </c>
      <c r="I4158" t="n">
        <v>2</v>
      </c>
      <c r="J4158" s="3" t="n">
        <v>239.1</v>
      </c>
      <c r="K4158" s="3" t="n">
        <v>47.82</v>
      </c>
      <c r="L4158" s="3" t="n">
        <v>191.28</v>
      </c>
      <c r="M4158" s="3" t="n">
        <v>142.04</v>
      </c>
      <c r="N4158" s="3" t="n">
        <v>49.24</v>
      </c>
      <c r="O4158">
        <f>TEXT(A4158,"yyyy-mm")</f>
        <v/>
      </c>
    </row>
    <row r="4159">
      <c r="A4159" s="2" t="n">
        <v>46176</v>
      </c>
      <c r="B4159" t="n">
        <v>2026</v>
      </c>
      <c r="C4159" t="inlineStr">
        <is>
          <t>June</t>
        </is>
      </c>
      <c r="D4159" t="inlineStr">
        <is>
          <t>Classic Coffee Beans</t>
        </is>
      </c>
      <c r="E4159" t="inlineStr">
        <is>
          <t>Grocery</t>
        </is>
      </c>
      <c r="F4159" t="inlineStr">
        <is>
          <t>Mark Smith</t>
        </is>
      </c>
      <c r="G4159" t="inlineStr">
        <is>
          <t>United States</t>
        </is>
      </c>
      <c r="H4159" t="inlineStr">
        <is>
          <t>Marketplace</t>
        </is>
      </c>
      <c r="I4159" t="n">
        <v>5</v>
      </c>
      <c r="J4159" s="3" t="n">
        <v>1635.85</v>
      </c>
      <c r="K4159" s="3" t="n">
        <v>327.17</v>
      </c>
      <c r="L4159" s="3" t="n">
        <v>1308.68</v>
      </c>
      <c r="M4159" s="3" t="n">
        <v>973.8</v>
      </c>
      <c r="N4159" s="3" t="n">
        <v>334.88</v>
      </c>
      <c r="O4159">
        <f>TEXT(A4159,"yyyy-mm")</f>
        <v/>
      </c>
    </row>
    <row r="4160">
      <c r="A4160" s="2" t="n">
        <v>46177</v>
      </c>
      <c r="B4160" t="n">
        <v>2026</v>
      </c>
      <c r="C4160" t="inlineStr">
        <is>
          <t>June</t>
        </is>
      </c>
      <c r="D4160" t="inlineStr">
        <is>
          <t>Smart Puzzle</t>
        </is>
      </c>
      <c r="E4160" t="inlineStr">
        <is>
          <t>Toys &amp; Games</t>
        </is>
      </c>
      <c r="F4160" t="inlineStr">
        <is>
          <t>Michael Weber</t>
        </is>
      </c>
      <c r="G4160" t="inlineStr">
        <is>
          <t>France</t>
        </is>
      </c>
      <c r="H4160" t="inlineStr">
        <is>
          <t>Retail Store</t>
        </is>
      </c>
      <c r="I4160" t="n">
        <v>4</v>
      </c>
      <c r="J4160" s="3" t="n">
        <v>172.36</v>
      </c>
      <c r="K4160" s="3" t="n">
        <v>25.85</v>
      </c>
      <c r="L4160" s="3" t="n">
        <v>146.51</v>
      </c>
      <c r="M4160" s="3" t="n">
        <v>97.76000000000001</v>
      </c>
      <c r="N4160" s="3" t="n">
        <v>48.75</v>
      </c>
      <c r="O4160">
        <f>TEXT(A4160,"yyyy-mm")</f>
        <v/>
      </c>
    </row>
    <row r="4161">
      <c r="A4161" s="2" t="n">
        <v>46177</v>
      </c>
      <c r="B4161" t="n">
        <v>2026</v>
      </c>
      <c r="C4161" t="inlineStr">
        <is>
          <t>June</t>
        </is>
      </c>
      <c r="D4161" t="inlineStr">
        <is>
          <t>Smart Camera</t>
        </is>
      </c>
      <c r="E4161" t="inlineStr">
        <is>
          <t>Electronics</t>
        </is>
      </c>
      <c r="F4161" t="inlineStr">
        <is>
          <t>Michael Weber</t>
        </is>
      </c>
      <c r="G4161" t="inlineStr">
        <is>
          <t>France</t>
        </is>
      </c>
      <c r="H4161" t="inlineStr">
        <is>
          <t>Retail Store</t>
        </is>
      </c>
      <c r="I4161" t="n">
        <v>5</v>
      </c>
      <c r="J4161" s="3" t="n">
        <v>1591.5</v>
      </c>
      <c r="K4161" s="3" t="n">
        <v>159.15</v>
      </c>
      <c r="L4161" s="3" t="n">
        <v>1432.35</v>
      </c>
      <c r="M4161" s="3" t="n">
        <v>837</v>
      </c>
      <c r="N4161" s="3" t="n">
        <v>595.35</v>
      </c>
      <c r="O4161">
        <f>TEXT(A4161,"yyyy-mm")</f>
        <v/>
      </c>
    </row>
    <row r="4162">
      <c r="A4162" s="2" t="n">
        <v>46177</v>
      </c>
      <c r="B4162" t="n">
        <v>2026</v>
      </c>
      <c r="C4162" t="inlineStr">
        <is>
          <t>June</t>
        </is>
      </c>
      <c r="D4162" t="inlineStr">
        <is>
          <t>Smart Honey</t>
        </is>
      </c>
      <c r="E4162" t="inlineStr">
        <is>
          <t>Grocery</t>
        </is>
      </c>
      <c r="F4162" t="inlineStr">
        <is>
          <t>Clara Kowalski</t>
        </is>
      </c>
      <c r="G4162" t="inlineStr">
        <is>
          <t>France</t>
        </is>
      </c>
      <c r="H4162" t="inlineStr">
        <is>
          <t>Retail Store</t>
        </is>
      </c>
      <c r="I4162" t="n">
        <v>4</v>
      </c>
      <c r="J4162" s="3" t="n">
        <v>537.48</v>
      </c>
      <c r="K4162" s="3" t="n">
        <v>80.62</v>
      </c>
      <c r="L4162" s="3" t="n">
        <v>456.86</v>
      </c>
      <c r="M4162" s="3" t="n">
        <v>285.76</v>
      </c>
      <c r="N4162" s="3" t="n">
        <v>171.1</v>
      </c>
      <c r="O4162">
        <f>TEXT(A4162,"yyyy-mm")</f>
        <v/>
      </c>
    </row>
    <row r="4163">
      <c r="A4163" s="2" t="n">
        <v>46177</v>
      </c>
      <c r="B4163" t="n">
        <v>2026</v>
      </c>
      <c r="C4163" t="inlineStr">
        <is>
          <t>June</t>
        </is>
      </c>
      <c r="D4163" t="inlineStr">
        <is>
          <t>Wireless Honey</t>
        </is>
      </c>
      <c r="E4163" t="inlineStr">
        <is>
          <t>Grocery</t>
        </is>
      </c>
      <c r="F4163" t="inlineStr">
        <is>
          <t>Mark Weber</t>
        </is>
      </c>
      <c r="G4163" t="inlineStr">
        <is>
          <t>Poland</t>
        </is>
      </c>
      <c r="H4163" t="inlineStr">
        <is>
          <t>Mobile App</t>
        </is>
      </c>
      <c r="I4163" t="n">
        <v>5</v>
      </c>
      <c r="J4163" s="3" t="n">
        <v>664.1</v>
      </c>
      <c r="K4163" s="3" t="n">
        <v>0</v>
      </c>
      <c r="L4163" s="3" t="n">
        <v>664.1</v>
      </c>
      <c r="M4163" s="3" t="n">
        <v>470.35</v>
      </c>
      <c r="N4163" s="3" t="n">
        <v>193.75</v>
      </c>
      <c r="O4163">
        <f>TEXT(A4163,"yyyy-mm")</f>
        <v/>
      </c>
    </row>
    <row r="4164">
      <c r="A4164" s="2" t="n">
        <v>46177</v>
      </c>
      <c r="B4164" t="n">
        <v>2026</v>
      </c>
      <c r="C4164" t="inlineStr">
        <is>
          <t>June</t>
        </is>
      </c>
      <c r="D4164" t="inlineStr">
        <is>
          <t>Essential Pasta</t>
        </is>
      </c>
      <c r="E4164" t="inlineStr">
        <is>
          <t>Grocery</t>
        </is>
      </c>
      <c r="F4164" t="inlineStr">
        <is>
          <t>Mark Weber</t>
        </is>
      </c>
      <c r="G4164" t="inlineStr">
        <is>
          <t>Poland</t>
        </is>
      </c>
      <c r="H4164" t="inlineStr">
        <is>
          <t>Mobile App</t>
        </is>
      </c>
      <c r="I4164" t="n">
        <v>1</v>
      </c>
      <c r="J4164" s="3" t="n">
        <v>56.17</v>
      </c>
      <c r="K4164" s="3" t="n">
        <v>5.62</v>
      </c>
      <c r="L4164" s="3" t="n">
        <v>50.55</v>
      </c>
      <c r="M4164" s="3" t="n">
        <v>35.81</v>
      </c>
      <c r="N4164" s="3" t="n">
        <v>14.74</v>
      </c>
      <c r="O4164">
        <f>TEXT(A4164,"yyyy-mm")</f>
        <v/>
      </c>
    </row>
    <row r="4165">
      <c r="A4165" s="2" t="n">
        <v>46177</v>
      </c>
      <c r="B4165" t="n">
        <v>2026</v>
      </c>
      <c r="C4165" t="inlineStr">
        <is>
          <t>June</t>
        </is>
      </c>
      <c r="D4165" t="inlineStr">
        <is>
          <t>Eco Sweater</t>
        </is>
      </c>
      <c r="E4165" t="inlineStr">
        <is>
          <t>Clothing</t>
        </is>
      </c>
      <c r="F4165" t="inlineStr">
        <is>
          <t>Mark Weber</t>
        </is>
      </c>
      <c r="G4165" t="inlineStr">
        <is>
          <t>Poland</t>
        </is>
      </c>
      <c r="H4165" t="inlineStr">
        <is>
          <t>Mobile App</t>
        </is>
      </c>
      <c r="I4165" t="n">
        <v>1</v>
      </c>
      <c r="J4165" s="3" t="n">
        <v>155.17</v>
      </c>
      <c r="K4165" s="3" t="n">
        <v>7.76</v>
      </c>
      <c r="L4165" s="3" t="n">
        <v>147.41</v>
      </c>
      <c r="M4165" s="3" t="n">
        <v>104.23</v>
      </c>
      <c r="N4165" s="3" t="n">
        <v>43.18</v>
      </c>
      <c r="O4165">
        <f>TEXT(A4165,"yyyy-mm")</f>
        <v/>
      </c>
    </row>
    <row r="4166">
      <c r="A4166" s="2" t="n">
        <v>46177</v>
      </c>
      <c r="B4166" t="n">
        <v>2026</v>
      </c>
      <c r="C4166" t="inlineStr">
        <is>
          <t>June</t>
        </is>
      </c>
      <c r="D4166" t="inlineStr">
        <is>
          <t>Eco Tent</t>
        </is>
      </c>
      <c r="E4166" t="inlineStr">
        <is>
          <t>Sports &amp; Outdoors</t>
        </is>
      </c>
      <c r="F4166" t="inlineStr">
        <is>
          <t>Clara Kowalski</t>
        </is>
      </c>
      <c r="G4166" t="inlineStr">
        <is>
          <t>France</t>
        </is>
      </c>
      <c r="H4166" t="inlineStr">
        <is>
          <t>Retail Store</t>
        </is>
      </c>
      <c r="I4166" t="n">
        <v>5</v>
      </c>
      <c r="J4166" s="3" t="n">
        <v>333.1</v>
      </c>
      <c r="K4166" s="3" t="n">
        <v>0</v>
      </c>
      <c r="L4166" s="3" t="n">
        <v>333.1</v>
      </c>
      <c r="M4166" s="3" t="n">
        <v>219.25</v>
      </c>
      <c r="N4166" s="3" t="n">
        <v>113.85</v>
      </c>
      <c r="O4166">
        <f>TEXT(A4166,"yyyy-mm")</f>
        <v/>
      </c>
    </row>
    <row r="4167">
      <c r="A4167" s="2" t="n">
        <v>46177</v>
      </c>
      <c r="B4167" t="n">
        <v>2026</v>
      </c>
      <c r="C4167" t="inlineStr">
        <is>
          <t>June</t>
        </is>
      </c>
      <c r="D4167" t="inlineStr">
        <is>
          <t>Smart Board Game</t>
        </is>
      </c>
      <c r="E4167" t="inlineStr">
        <is>
          <t>Toys &amp; Games</t>
        </is>
      </c>
      <c r="F4167" t="inlineStr">
        <is>
          <t>Mark Weber</t>
        </is>
      </c>
      <c r="G4167" t="inlineStr">
        <is>
          <t>Poland</t>
        </is>
      </c>
      <c r="H4167" t="inlineStr">
        <is>
          <t>Mobile App</t>
        </is>
      </c>
      <c r="I4167" t="n">
        <v>5</v>
      </c>
      <c r="J4167" s="3" t="n">
        <v>653.45</v>
      </c>
      <c r="K4167" s="3" t="n">
        <v>0</v>
      </c>
      <c r="L4167" s="3" t="n">
        <v>653.45</v>
      </c>
      <c r="M4167" s="3" t="n">
        <v>458.6</v>
      </c>
      <c r="N4167" s="3" t="n">
        <v>194.85</v>
      </c>
      <c r="O4167">
        <f>TEXT(A4167,"yyyy-mm")</f>
        <v/>
      </c>
    </row>
    <row r="4168">
      <c r="A4168" s="2" t="n">
        <v>46178</v>
      </c>
      <c r="B4168" t="n">
        <v>2026</v>
      </c>
      <c r="C4168" t="inlineStr">
        <is>
          <t>June</t>
        </is>
      </c>
      <c r="D4168" t="inlineStr">
        <is>
          <t>Compact Biography</t>
        </is>
      </c>
      <c r="E4168" t="inlineStr">
        <is>
          <t>Books</t>
        </is>
      </c>
      <c r="F4168" t="inlineStr">
        <is>
          <t>James Weber</t>
        </is>
      </c>
      <c r="G4168" t="inlineStr">
        <is>
          <t>United States</t>
        </is>
      </c>
      <c r="H4168" t="inlineStr">
        <is>
          <t>Web Store</t>
        </is>
      </c>
      <c r="I4168" t="n">
        <v>4</v>
      </c>
      <c r="J4168" s="3" t="n">
        <v>1065.52</v>
      </c>
      <c r="K4168" s="3" t="n">
        <v>106.55</v>
      </c>
      <c r="L4168" s="3" t="n">
        <v>958.97</v>
      </c>
      <c r="M4168" s="3" t="n">
        <v>561.3200000000001</v>
      </c>
      <c r="N4168" s="3" t="n">
        <v>397.65</v>
      </c>
      <c r="O4168">
        <f>TEXT(A4168,"yyyy-mm")</f>
        <v/>
      </c>
    </row>
    <row r="4169">
      <c r="A4169" s="2" t="n">
        <v>46179</v>
      </c>
      <c r="B4169" t="n">
        <v>2026</v>
      </c>
      <c r="C4169" t="inlineStr">
        <is>
          <t>June</t>
        </is>
      </c>
      <c r="D4169" t="inlineStr">
        <is>
          <t>Portable Tea Set</t>
        </is>
      </c>
      <c r="E4169" t="inlineStr">
        <is>
          <t>Grocery</t>
        </is>
      </c>
      <c r="F4169" t="inlineStr">
        <is>
          <t>Maria Brown</t>
        </is>
      </c>
      <c r="G4169" t="inlineStr">
        <is>
          <t>United Kingdom</t>
        </is>
      </c>
      <c r="H4169" t="inlineStr">
        <is>
          <t>Mobile App</t>
        </is>
      </c>
      <c r="I4169" t="n">
        <v>2</v>
      </c>
      <c r="J4169" s="3" t="n">
        <v>561.14</v>
      </c>
      <c r="K4169" s="3" t="n">
        <v>112.23</v>
      </c>
      <c r="L4169" s="3" t="n">
        <v>448.91</v>
      </c>
      <c r="M4169" s="3" t="n">
        <v>376.24</v>
      </c>
      <c r="N4169" s="3" t="n">
        <v>72.67</v>
      </c>
      <c r="O4169">
        <f>TEXT(A4169,"yyyy-mm")</f>
        <v/>
      </c>
    </row>
    <row r="4170">
      <c r="A4170" s="2" t="n">
        <v>46179</v>
      </c>
      <c r="B4170" t="n">
        <v>2026</v>
      </c>
      <c r="C4170" t="inlineStr">
        <is>
          <t>June</t>
        </is>
      </c>
      <c r="D4170" t="inlineStr">
        <is>
          <t>Smart Puzzle</t>
        </is>
      </c>
      <c r="E4170" t="inlineStr">
        <is>
          <t>Toys &amp; Games</t>
        </is>
      </c>
      <c r="F4170" t="inlineStr">
        <is>
          <t>Maria Brown</t>
        </is>
      </c>
      <c r="G4170" t="inlineStr">
        <is>
          <t>United Kingdom</t>
        </is>
      </c>
      <c r="H4170" t="inlineStr">
        <is>
          <t>Mobile App</t>
        </is>
      </c>
      <c r="I4170" t="n">
        <v>4</v>
      </c>
      <c r="J4170" s="3" t="n">
        <v>1042.72</v>
      </c>
      <c r="K4170" s="3" t="n">
        <v>156.41</v>
      </c>
      <c r="L4170" s="3" t="n">
        <v>886.3099999999999</v>
      </c>
      <c r="M4170" s="3" t="n">
        <v>771.04</v>
      </c>
      <c r="N4170" s="3" t="n">
        <v>115.27</v>
      </c>
      <c r="O4170">
        <f>TEXT(A4170,"yyyy-mm")</f>
        <v/>
      </c>
    </row>
    <row r="4171">
      <c r="A4171" s="2" t="n">
        <v>46180</v>
      </c>
      <c r="B4171" t="n">
        <v>2026</v>
      </c>
      <c r="C4171" t="inlineStr">
        <is>
          <t>June</t>
        </is>
      </c>
      <c r="D4171" t="inlineStr">
        <is>
          <t>Classic Tent</t>
        </is>
      </c>
      <c r="E4171" t="inlineStr">
        <is>
          <t>Sports &amp; Outdoors</t>
        </is>
      </c>
      <c r="F4171" t="inlineStr">
        <is>
          <t>Anna Fischer</t>
        </is>
      </c>
      <c r="G4171" t="inlineStr">
        <is>
          <t>Poland</t>
        </is>
      </c>
      <c r="H4171" t="inlineStr">
        <is>
          <t>Web Store</t>
        </is>
      </c>
      <c r="I4171" t="n">
        <v>5</v>
      </c>
      <c r="J4171" s="3" t="n">
        <v>1041.15</v>
      </c>
      <c r="K4171" s="3" t="n">
        <v>104.12</v>
      </c>
      <c r="L4171" s="3" t="n">
        <v>937.03</v>
      </c>
      <c r="M4171" s="3" t="n">
        <v>590.1</v>
      </c>
      <c r="N4171" s="3" t="n">
        <v>346.93</v>
      </c>
      <c r="O4171">
        <f>TEXT(A4171,"yyyy-mm")</f>
        <v/>
      </c>
    </row>
    <row r="4172">
      <c r="A4172" s="2" t="n">
        <v>46180</v>
      </c>
      <c r="B4172" t="n">
        <v>2026</v>
      </c>
      <c r="C4172" t="inlineStr">
        <is>
          <t>June</t>
        </is>
      </c>
      <c r="D4172" t="inlineStr">
        <is>
          <t>Compact Sunscreen</t>
        </is>
      </c>
      <c r="E4172" t="inlineStr">
        <is>
          <t>Beauty &amp; Health</t>
        </is>
      </c>
      <c r="F4172" t="inlineStr">
        <is>
          <t>Anna Fischer</t>
        </is>
      </c>
      <c r="G4172" t="inlineStr">
        <is>
          <t>Poland</t>
        </is>
      </c>
      <c r="H4172" t="inlineStr">
        <is>
          <t>Web Store</t>
        </is>
      </c>
      <c r="I4172" t="n">
        <v>3</v>
      </c>
      <c r="J4172" s="3" t="n">
        <v>935.1900000000001</v>
      </c>
      <c r="K4172" s="3" t="n">
        <v>140.28</v>
      </c>
      <c r="L4172" s="3" t="n">
        <v>794.91</v>
      </c>
      <c r="M4172" s="3" t="n">
        <v>532.98</v>
      </c>
      <c r="N4172" s="3" t="n">
        <v>261.93</v>
      </c>
      <c r="O4172">
        <f>TEXT(A4172,"yyyy-mm")</f>
        <v/>
      </c>
    </row>
    <row r="4173">
      <c r="A4173" s="2" t="n">
        <v>46180</v>
      </c>
      <c r="B4173" t="n">
        <v>2026</v>
      </c>
      <c r="C4173" t="inlineStr">
        <is>
          <t>June</t>
        </is>
      </c>
      <c r="D4173" t="inlineStr">
        <is>
          <t>Smart Board Game</t>
        </is>
      </c>
      <c r="E4173" t="inlineStr">
        <is>
          <t>Toys &amp; Games</t>
        </is>
      </c>
      <c r="F4173" t="inlineStr">
        <is>
          <t>Anna Fischer</t>
        </is>
      </c>
      <c r="G4173" t="inlineStr">
        <is>
          <t>Poland</t>
        </is>
      </c>
      <c r="H4173" t="inlineStr">
        <is>
          <t>Web Store</t>
        </is>
      </c>
      <c r="I4173" t="n">
        <v>3</v>
      </c>
      <c r="J4173" s="3" t="n">
        <v>382.83</v>
      </c>
      <c r="K4173" s="3" t="n">
        <v>0</v>
      </c>
      <c r="L4173" s="3" t="n">
        <v>382.83</v>
      </c>
      <c r="M4173" s="3" t="n">
        <v>275.16</v>
      </c>
      <c r="N4173" s="3" t="n">
        <v>107.67</v>
      </c>
      <c r="O4173">
        <f>TEXT(A4173,"yyyy-mm")</f>
        <v/>
      </c>
    </row>
    <row r="4174">
      <c r="A4174" s="2" t="n">
        <v>46180</v>
      </c>
      <c r="B4174" t="n">
        <v>2026</v>
      </c>
      <c r="C4174" t="inlineStr">
        <is>
          <t>June</t>
        </is>
      </c>
      <c r="D4174" t="inlineStr">
        <is>
          <t>Deluxe Toolset</t>
        </is>
      </c>
      <c r="E4174" t="inlineStr">
        <is>
          <t>Home &amp; Garden</t>
        </is>
      </c>
      <c r="F4174" t="inlineStr">
        <is>
          <t>Anna Fischer</t>
        </is>
      </c>
      <c r="G4174" t="inlineStr">
        <is>
          <t>Poland</t>
        </is>
      </c>
      <c r="H4174" t="inlineStr">
        <is>
          <t>Web Store</t>
        </is>
      </c>
      <c r="I4174" t="n">
        <v>4</v>
      </c>
      <c r="J4174" s="3" t="n">
        <v>268.32</v>
      </c>
      <c r="K4174" s="3" t="n">
        <v>0</v>
      </c>
      <c r="L4174" s="3" t="n">
        <v>268.32</v>
      </c>
      <c r="M4174" s="3" t="n">
        <v>190.84</v>
      </c>
      <c r="N4174" s="3" t="n">
        <v>77.48</v>
      </c>
      <c r="O4174">
        <f>TEXT(A4174,"yyyy-mm")</f>
        <v/>
      </c>
    </row>
    <row r="4175">
      <c r="A4175" s="2" t="n">
        <v>46180</v>
      </c>
      <c r="B4175" t="n">
        <v>2026</v>
      </c>
      <c r="C4175" t="inlineStr">
        <is>
          <t>June</t>
        </is>
      </c>
      <c r="D4175" t="inlineStr">
        <is>
          <t>Wireless Backpack</t>
        </is>
      </c>
      <c r="E4175" t="inlineStr">
        <is>
          <t>Sports &amp; Outdoors</t>
        </is>
      </c>
      <c r="F4175" t="inlineStr">
        <is>
          <t>Robert Brown</t>
        </is>
      </c>
      <c r="G4175" t="inlineStr">
        <is>
          <t>United Kingdom</t>
        </is>
      </c>
      <c r="H4175" t="inlineStr">
        <is>
          <t>Retail Store</t>
        </is>
      </c>
      <c r="I4175" t="n">
        <v>1</v>
      </c>
      <c r="J4175" s="3" t="n">
        <v>51.05</v>
      </c>
      <c r="K4175" s="3" t="n">
        <v>2.55</v>
      </c>
      <c r="L4175" s="3" t="n">
        <v>48.5</v>
      </c>
      <c r="M4175" s="3" t="n">
        <v>28.1</v>
      </c>
      <c r="N4175" s="3" t="n">
        <v>20.4</v>
      </c>
      <c r="O4175">
        <f>TEXT(A4175,"yyyy-mm")</f>
        <v/>
      </c>
    </row>
    <row r="4176">
      <c r="A4176" s="2" t="n">
        <v>46180</v>
      </c>
      <c r="B4176" t="n">
        <v>2026</v>
      </c>
      <c r="C4176" t="inlineStr">
        <is>
          <t>June</t>
        </is>
      </c>
      <c r="D4176" t="inlineStr">
        <is>
          <t>Premium Tent</t>
        </is>
      </c>
      <c r="E4176" t="inlineStr">
        <is>
          <t>Sports &amp; Outdoors</t>
        </is>
      </c>
      <c r="F4176" t="inlineStr">
        <is>
          <t>Robert Brown</t>
        </is>
      </c>
      <c r="G4176" t="inlineStr">
        <is>
          <t>United Kingdom</t>
        </is>
      </c>
      <c r="H4176" t="inlineStr">
        <is>
          <t>Retail Store</t>
        </is>
      </c>
      <c r="I4176" t="n">
        <v>1</v>
      </c>
      <c r="J4176" s="3" t="n">
        <v>149.66</v>
      </c>
      <c r="K4176" s="3" t="n">
        <v>7.48</v>
      </c>
      <c r="L4176" s="3" t="n">
        <v>142.18</v>
      </c>
      <c r="M4176" s="3" t="n">
        <v>96.40000000000001</v>
      </c>
      <c r="N4176" s="3" t="n">
        <v>45.78</v>
      </c>
      <c r="O4176">
        <f>TEXT(A4176,"yyyy-mm")</f>
        <v/>
      </c>
    </row>
    <row r="4177">
      <c r="A4177" s="2" t="n">
        <v>46180</v>
      </c>
      <c r="B4177" t="n">
        <v>2026</v>
      </c>
      <c r="C4177" t="inlineStr">
        <is>
          <t>June</t>
        </is>
      </c>
      <c r="D4177" t="inlineStr">
        <is>
          <t>Essential Cushion</t>
        </is>
      </c>
      <c r="E4177" t="inlineStr">
        <is>
          <t>Home &amp; Garden</t>
        </is>
      </c>
      <c r="F4177" t="inlineStr">
        <is>
          <t>Mark Martin</t>
        </is>
      </c>
      <c r="G4177" t="inlineStr">
        <is>
          <t>Spain</t>
        </is>
      </c>
      <c r="H4177" t="inlineStr">
        <is>
          <t>Mobile App</t>
        </is>
      </c>
      <c r="I4177" t="n">
        <v>3</v>
      </c>
      <c r="J4177" s="3" t="n">
        <v>132.06</v>
      </c>
      <c r="K4177" s="3" t="n">
        <v>26.41</v>
      </c>
      <c r="L4177" s="3" t="n">
        <v>105.65</v>
      </c>
      <c r="M4177" s="3" t="n">
        <v>91.65000000000001</v>
      </c>
      <c r="N4177" s="3" t="n">
        <v>14</v>
      </c>
      <c r="O4177">
        <f>TEXT(A4177,"yyyy-mm")</f>
        <v/>
      </c>
    </row>
    <row r="4178">
      <c r="A4178" s="2" t="n">
        <v>46180</v>
      </c>
      <c r="B4178" t="n">
        <v>2026</v>
      </c>
      <c r="C4178" t="inlineStr">
        <is>
          <t>June</t>
        </is>
      </c>
      <c r="D4178" t="inlineStr">
        <is>
          <t>Compact Sunscreen</t>
        </is>
      </c>
      <c r="E4178" t="inlineStr">
        <is>
          <t>Beauty &amp; Health</t>
        </is>
      </c>
      <c r="F4178" t="inlineStr">
        <is>
          <t>Emily Weber</t>
        </is>
      </c>
      <c r="G4178" t="inlineStr">
        <is>
          <t>United Kingdom</t>
        </is>
      </c>
      <c r="H4178" t="inlineStr">
        <is>
          <t>Web Store</t>
        </is>
      </c>
      <c r="I4178" t="n">
        <v>5</v>
      </c>
      <c r="J4178" s="3" t="n">
        <v>1439.75</v>
      </c>
      <c r="K4178" s="3" t="n">
        <v>215.96</v>
      </c>
      <c r="L4178" s="3" t="n">
        <v>1223.79</v>
      </c>
      <c r="M4178" s="3" t="n">
        <v>888.3</v>
      </c>
      <c r="N4178" s="3" t="n">
        <v>335.49</v>
      </c>
      <c r="O4178">
        <f>TEXT(A4178,"yyyy-mm")</f>
        <v/>
      </c>
    </row>
    <row r="4179">
      <c r="A4179" s="2" t="n">
        <v>46180</v>
      </c>
      <c r="B4179" t="n">
        <v>2026</v>
      </c>
      <c r="C4179" t="inlineStr">
        <is>
          <t>June</t>
        </is>
      </c>
      <c r="D4179" t="inlineStr">
        <is>
          <t>Essential Notebook</t>
        </is>
      </c>
      <c r="E4179" t="inlineStr">
        <is>
          <t>Books</t>
        </is>
      </c>
      <c r="F4179" t="inlineStr">
        <is>
          <t>Paul Fischer</t>
        </is>
      </c>
      <c r="G4179" t="inlineStr">
        <is>
          <t>Poland</t>
        </is>
      </c>
      <c r="H4179" t="inlineStr">
        <is>
          <t>Web Store</t>
        </is>
      </c>
      <c r="I4179" t="n">
        <v>2</v>
      </c>
      <c r="J4179" s="3" t="n">
        <v>228.92</v>
      </c>
      <c r="K4179" s="3" t="n">
        <v>11.45</v>
      </c>
      <c r="L4179" s="3" t="n">
        <v>217.47</v>
      </c>
      <c r="M4179" s="3" t="n">
        <v>158.2</v>
      </c>
      <c r="N4179" s="3" t="n">
        <v>59.27</v>
      </c>
      <c r="O4179">
        <f>TEXT(A4179,"yyyy-mm")</f>
        <v/>
      </c>
    </row>
    <row r="4180">
      <c r="A4180" s="2" t="n">
        <v>46180</v>
      </c>
      <c r="B4180" t="n">
        <v>2026</v>
      </c>
      <c r="C4180" t="inlineStr">
        <is>
          <t>June</t>
        </is>
      </c>
      <c r="D4180" t="inlineStr">
        <is>
          <t>Deluxe Toolset</t>
        </is>
      </c>
      <c r="E4180" t="inlineStr">
        <is>
          <t>Home &amp; Garden</t>
        </is>
      </c>
      <c r="F4180" t="inlineStr">
        <is>
          <t>Paul Fischer</t>
        </is>
      </c>
      <c r="G4180" t="inlineStr">
        <is>
          <t>Poland</t>
        </is>
      </c>
      <c r="H4180" t="inlineStr">
        <is>
          <t>Web Store</t>
        </is>
      </c>
      <c r="I4180" t="n">
        <v>4</v>
      </c>
      <c r="J4180" s="3" t="n">
        <v>273.36</v>
      </c>
      <c r="K4180" s="3" t="n">
        <v>0</v>
      </c>
      <c r="L4180" s="3" t="n">
        <v>273.36</v>
      </c>
      <c r="M4180" s="3" t="n">
        <v>190.84</v>
      </c>
      <c r="N4180" s="3" t="n">
        <v>82.52</v>
      </c>
      <c r="O4180">
        <f>TEXT(A4180,"yyyy-mm")</f>
        <v/>
      </c>
    </row>
    <row r="4181">
      <c r="A4181" s="2" t="n">
        <v>46180</v>
      </c>
      <c r="B4181" t="n">
        <v>2026</v>
      </c>
      <c r="C4181" t="inlineStr">
        <is>
          <t>June</t>
        </is>
      </c>
      <c r="D4181" t="inlineStr">
        <is>
          <t>Smart Cookbook</t>
        </is>
      </c>
      <c r="E4181" t="inlineStr">
        <is>
          <t>Books</t>
        </is>
      </c>
      <c r="F4181" t="inlineStr">
        <is>
          <t>Paul Fischer</t>
        </is>
      </c>
      <c r="G4181" t="inlineStr">
        <is>
          <t>Poland</t>
        </is>
      </c>
      <c r="H4181" t="inlineStr">
        <is>
          <t>Web Store</t>
        </is>
      </c>
      <c r="I4181" t="n">
        <v>5</v>
      </c>
      <c r="J4181" s="3" t="n">
        <v>88.55</v>
      </c>
      <c r="K4181" s="3" t="n">
        <v>0</v>
      </c>
      <c r="L4181" s="3" t="n">
        <v>88.55</v>
      </c>
      <c r="M4181" s="3" t="n">
        <v>49.4</v>
      </c>
      <c r="N4181" s="3" t="n">
        <v>39.15</v>
      </c>
      <c r="O4181">
        <f>TEXT(A4181,"yyyy-mm")</f>
        <v/>
      </c>
    </row>
    <row r="4182">
      <c r="A4182" s="2" t="n">
        <v>46181</v>
      </c>
      <c r="B4182" t="n">
        <v>2026</v>
      </c>
      <c r="C4182" t="inlineStr">
        <is>
          <t>June</t>
        </is>
      </c>
      <c r="D4182" t="inlineStr">
        <is>
          <t>Classic Sunscreen</t>
        </is>
      </c>
      <c r="E4182" t="inlineStr">
        <is>
          <t>Beauty &amp; Health</t>
        </is>
      </c>
      <c r="F4182" t="inlineStr">
        <is>
          <t>Anna Dubois</t>
        </is>
      </c>
      <c r="G4182" t="inlineStr">
        <is>
          <t>Poland</t>
        </is>
      </c>
      <c r="H4182" t="inlineStr">
        <is>
          <t>Mobile App</t>
        </is>
      </c>
      <c r="I4182" t="n">
        <v>3</v>
      </c>
      <c r="J4182" s="3" t="n">
        <v>398.13</v>
      </c>
      <c r="K4182" s="3" t="n">
        <v>0</v>
      </c>
      <c r="L4182" s="3" t="n">
        <v>398.13</v>
      </c>
      <c r="M4182" s="3" t="n">
        <v>281.07</v>
      </c>
      <c r="N4182" s="3" t="n">
        <v>117.06</v>
      </c>
      <c r="O4182">
        <f>TEXT(A4182,"yyyy-mm")</f>
        <v/>
      </c>
    </row>
    <row r="4183">
      <c r="A4183" s="2" t="n">
        <v>46181</v>
      </c>
      <c r="B4183" t="n">
        <v>2026</v>
      </c>
      <c r="C4183" t="inlineStr">
        <is>
          <t>June</t>
        </is>
      </c>
      <c r="D4183" t="inlineStr">
        <is>
          <t>Portable Puzzle</t>
        </is>
      </c>
      <c r="E4183" t="inlineStr">
        <is>
          <t>Toys &amp; Games</t>
        </is>
      </c>
      <c r="F4183" t="inlineStr">
        <is>
          <t>Sophie Wilson</t>
        </is>
      </c>
      <c r="G4183" t="inlineStr">
        <is>
          <t>Poland</t>
        </is>
      </c>
      <c r="H4183" t="inlineStr">
        <is>
          <t>Marketplace</t>
        </is>
      </c>
      <c r="I4183" t="n">
        <v>3</v>
      </c>
      <c r="J4183" s="3" t="n">
        <v>318.66</v>
      </c>
      <c r="K4183" s="3" t="n">
        <v>31.87</v>
      </c>
      <c r="L4183" s="3" t="n">
        <v>286.79</v>
      </c>
      <c r="M4183" s="3" t="n">
        <v>176.4</v>
      </c>
      <c r="N4183" s="3" t="n">
        <v>110.39</v>
      </c>
      <c r="O4183">
        <f>TEXT(A4183,"yyyy-mm")</f>
        <v/>
      </c>
    </row>
    <row r="4184">
      <c r="A4184" s="2" t="n">
        <v>46181</v>
      </c>
      <c r="B4184" t="n">
        <v>2026</v>
      </c>
      <c r="C4184" t="inlineStr">
        <is>
          <t>June</t>
        </is>
      </c>
      <c r="D4184" t="inlineStr">
        <is>
          <t>Essential Notebook</t>
        </is>
      </c>
      <c r="E4184" t="inlineStr">
        <is>
          <t>Books</t>
        </is>
      </c>
      <c r="F4184" t="inlineStr">
        <is>
          <t>Anna Dubois</t>
        </is>
      </c>
      <c r="G4184" t="inlineStr">
        <is>
          <t>Poland</t>
        </is>
      </c>
      <c r="H4184" t="inlineStr">
        <is>
          <t>Mobile App</t>
        </is>
      </c>
      <c r="I4184" t="n">
        <v>4</v>
      </c>
      <c r="J4184" s="3" t="n">
        <v>479.88</v>
      </c>
      <c r="K4184" s="3" t="n">
        <v>71.98</v>
      </c>
      <c r="L4184" s="3" t="n">
        <v>407.9</v>
      </c>
      <c r="M4184" s="3" t="n">
        <v>316.4</v>
      </c>
      <c r="N4184" s="3" t="n">
        <v>91.5</v>
      </c>
      <c r="O4184">
        <f>TEXT(A4184,"yyyy-mm")</f>
        <v/>
      </c>
    </row>
    <row r="4185">
      <c r="A4185" s="2" t="n">
        <v>46181</v>
      </c>
      <c r="B4185" t="n">
        <v>2026</v>
      </c>
      <c r="C4185" t="inlineStr">
        <is>
          <t>June</t>
        </is>
      </c>
      <c r="D4185" t="inlineStr">
        <is>
          <t>Premium Water Bottle</t>
        </is>
      </c>
      <c r="E4185" t="inlineStr">
        <is>
          <t>Sports &amp; Outdoors</t>
        </is>
      </c>
      <c r="F4185" t="inlineStr">
        <is>
          <t>Anna Dubois</t>
        </is>
      </c>
      <c r="G4185" t="inlineStr">
        <is>
          <t>Poland</t>
        </is>
      </c>
      <c r="H4185" t="inlineStr">
        <is>
          <t>Mobile App</t>
        </is>
      </c>
      <c r="I4185" t="n">
        <v>5</v>
      </c>
      <c r="J4185" s="3" t="n">
        <v>154.85</v>
      </c>
      <c r="K4185" s="3" t="n">
        <v>0</v>
      </c>
      <c r="L4185" s="3" t="n">
        <v>154.85</v>
      </c>
      <c r="M4185" s="3" t="n">
        <v>83.15000000000001</v>
      </c>
      <c r="N4185" s="3" t="n">
        <v>71.7</v>
      </c>
      <c r="O4185">
        <f>TEXT(A4185,"yyyy-mm")</f>
        <v/>
      </c>
    </row>
    <row r="4186">
      <c r="A4186" s="2" t="n">
        <v>46181</v>
      </c>
      <c r="B4186" t="n">
        <v>2026</v>
      </c>
      <c r="C4186" t="inlineStr">
        <is>
          <t>June</t>
        </is>
      </c>
      <c r="D4186" t="inlineStr">
        <is>
          <t>Deluxe Cookbook</t>
        </is>
      </c>
      <c r="E4186" t="inlineStr">
        <is>
          <t>Books</t>
        </is>
      </c>
      <c r="F4186" t="inlineStr">
        <is>
          <t>Sophie Wilson</t>
        </is>
      </c>
      <c r="G4186" t="inlineStr">
        <is>
          <t>Poland</t>
        </is>
      </c>
      <c r="H4186" t="inlineStr">
        <is>
          <t>Marketplace</t>
        </is>
      </c>
      <c r="I4186" t="n">
        <v>5</v>
      </c>
      <c r="J4186" s="3" t="n">
        <v>664.1</v>
      </c>
      <c r="K4186" s="3" t="n">
        <v>0</v>
      </c>
      <c r="L4186" s="3" t="n">
        <v>664.1</v>
      </c>
      <c r="M4186" s="3" t="n">
        <v>426.35</v>
      </c>
      <c r="N4186" s="3" t="n">
        <v>237.75</v>
      </c>
      <c r="O4186">
        <f>TEXT(A4186,"yyyy-mm")</f>
        <v/>
      </c>
    </row>
    <row r="4187">
      <c r="A4187" s="2" t="n">
        <v>46182</v>
      </c>
      <c r="B4187" t="n">
        <v>2026</v>
      </c>
      <c r="C4187" t="inlineStr">
        <is>
          <t>June</t>
        </is>
      </c>
      <c r="D4187" t="inlineStr">
        <is>
          <t>Compact Pasta</t>
        </is>
      </c>
      <c r="E4187" t="inlineStr">
        <is>
          <t>Grocery</t>
        </is>
      </c>
      <c r="F4187" t="inlineStr">
        <is>
          <t>Robert Dubois</t>
        </is>
      </c>
      <c r="G4187" t="inlineStr">
        <is>
          <t>France</t>
        </is>
      </c>
      <c r="H4187" t="inlineStr">
        <is>
          <t>Web Store</t>
        </is>
      </c>
      <c r="I4187" t="n">
        <v>3</v>
      </c>
      <c r="J4187" s="3" t="n">
        <v>916.71</v>
      </c>
      <c r="K4187" s="3" t="n">
        <v>0</v>
      </c>
      <c r="L4187" s="3" t="n">
        <v>916.71</v>
      </c>
      <c r="M4187" s="3" t="n">
        <v>598.2</v>
      </c>
      <c r="N4187" s="3" t="n">
        <v>318.51</v>
      </c>
      <c r="O4187">
        <f>TEXT(A4187,"yyyy-mm")</f>
        <v/>
      </c>
    </row>
    <row r="4188">
      <c r="A4188" s="2" t="n">
        <v>46182</v>
      </c>
      <c r="B4188" t="n">
        <v>2026</v>
      </c>
      <c r="C4188" t="inlineStr">
        <is>
          <t>June</t>
        </is>
      </c>
      <c r="D4188" t="inlineStr">
        <is>
          <t>Smart Honey</t>
        </is>
      </c>
      <c r="E4188" t="inlineStr">
        <is>
          <t>Grocery</t>
        </is>
      </c>
      <c r="F4188" t="inlineStr">
        <is>
          <t>Robert Dubois</t>
        </is>
      </c>
      <c r="G4188" t="inlineStr">
        <is>
          <t>France</t>
        </is>
      </c>
      <c r="H4188" t="inlineStr">
        <is>
          <t>Web Store</t>
        </is>
      </c>
      <c r="I4188" t="n">
        <v>1</v>
      </c>
      <c r="J4188" s="3" t="n">
        <v>129.67</v>
      </c>
      <c r="K4188" s="3" t="n">
        <v>12.97</v>
      </c>
      <c r="L4188" s="3" t="n">
        <v>116.7</v>
      </c>
      <c r="M4188" s="3" t="n">
        <v>71.44</v>
      </c>
      <c r="N4188" s="3" t="n">
        <v>45.26</v>
      </c>
      <c r="O4188">
        <f>TEXT(A4188,"yyyy-mm")</f>
        <v/>
      </c>
    </row>
    <row r="4189">
      <c r="A4189" s="2" t="n">
        <v>46182</v>
      </c>
      <c r="B4189" t="n">
        <v>2026</v>
      </c>
      <c r="C4189" t="inlineStr">
        <is>
          <t>June</t>
        </is>
      </c>
      <c r="D4189" t="inlineStr">
        <is>
          <t>Eco Drone</t>
        </is>
      </c>
      <c r="E4189" t="inlineStr">
        <is>
          <t>Toys &amp; Games</t>
        </is>
      </c>
      <c r="F4189" t="inlineStr">
        <is>
          <t>Robert Dubois</t>
        </is>
      </c>
      <c r="G4189" t="inlineStr">
        <is>
          <t>France</t>
        </is>
      </c>
      <c r="H4189" t="inlineStr">
        <is>
          <t>Web Store</t>
        </is>
      </c>
      <c r="I4189" t="n">
        <v>2</v>
      </c>
      <c r="J4189" s="3" t="n">
        <v>416.9</v>
      </c>
      <c r="K4189" s="3" t="n">
        <v>62.54</v>
      </c>
      <c r="L4189" s="3" t="n">
        <v>354.36</v>
      </c>
      <c r="M4189" s="3" t="n">
        <v>259.18</v>
      </c>
      <c r="N4189" s="3" t="n">
        <v>95.18000000000001</v>
      </c>
      <c r="O4189">
        <f>TEXT(A4189,"yyyy-mm")</f>
        <v/>
      </c>
    </row>
    <row r="4190">
      <c r="A4190" s="2" t="n">
        <v>46182</v>
      </c>
      <c r="B4190" t="n">
        <v>2026</v>
      </c>
      <c r="C4190" t="inlineStr">
        <is>
          <t>June</t>
        </is>
      </c>
      <c r="D4190" t="inlineStr">
        <is>
          <t>Classic Coffee Beans</t>
        </is>
      </c>
      <c r="E4190" t="inlineStr">
        <is>
          <t>Grocery</t>
        </is>
      </c>
      <c r="F4190" t="inlineStr">
        <is>
          <t>Robert Dubois</t>
        </is>
      </c>
      <c r="G4190" t="inlineStr">
        <is>
          <t>France</t>
        </is>
      </c>
      <c r="H4190" t="inlineStr">
        <is>
          <t>Web Store</t>
        </is>
      </c>
      <c r="I4190" t="n">
        <v>4</v>
      </c>
      <c r="J4190" s="3" t="n">
        <v>1335.32</v>
      </c>
      <c r="K4190" s="3" t="n">
        <v>0</v>
      </c>
      <c r="L4190" s="3" t="n">
        <v>1335.32</v>
      </c>
      <c r="M4190" s="3" t="n">
        <v>779.04</v>
      </c>
      <c r="N4190" s="3" t="n">
        <v>556.28</v>
      </c>
      <c r="O4190">
        <f>TEXT(A4190,"yyyy-mm")</f>
        <v/>
      </c>
    </row>
    <row r="4191">
      <c r="A4191" s="2" t="n">
        <v>46182</v>
      </c>
      <c r="B4191" t="n">
        <v>2026</v>
      </c>
      <c r="C4191" t="inlineStr">
        <is>
          <t>June</t>
        </is>
      </c>
      <c r="D4191" t="inlineStr">
        <is>
          <t>Premium Tent</t>
        </is>
      </c>
      <c r="E4191" t="inlineStr">
        <is>
          <t>Sports &amp; Outdoors</t>
        </is>
      </c>
      <c r="F4191" t="inlineStr">
        <is>
          <t>Michael Nowak</t>
        </is>
      </c>
      <c r="G4191" t="inlineStr">
        <is>
          <t>Spain</t>
        </is>
      </c>
      <c r="H4191" t="inlineStr">
        <is>
          <t>Mobile App</t>
        </is>
      </c>
      <c r="I4191" t="n">
        <v>1</v>
      </c>
      <c r="J4191" s="3" t="n">
        <v>146.18</v>
      </c>
      <c r="K4191" s="3" t="n">
        <v>29.24</v>
      </c>
      <c r="L4191" s="3" t="n">
        <v>116.94</v>
      </c>
      <c r="M4191" s="3" t="n">
        <v>96.40000000000001</v>
      </c>
      <c r="N4191" s="3" t="n">
        <v>20.54</v>
      </c>
      <c r="O4191">
        <f>TEXT(A4191,"yyyy-mm")</f>
        <v/>
      </c>
    </row>
    <row r="4192">
      <c r="A4192" s="2" t="n">
        <v>46182</v>
      </c>
      <c r="B4192" t="n">
        <v>2026</v>
      </c>
      <c r="C4192" t="inlineStr">
        <is>
          <t>June</t>
        </is>
      </c>
      <c r="D4192" t="inlineStr">
        <is>
          <t>Smart Face Cream</t>
        </is>
      </c>
      <c r="E4192" t="inlineStr">
        <is>
          <t>Beauty &amp; Health</t>
        </is>
      </c>
      <c r="F4192" t="inlineStr">
        <is>
          <t>Michael Nowak</t>
        </is>
      </c>
      <c r="G4192" t="inlineStr">
        <is>
          <t>Spain</t>
        </is>
      </c>
      <c r="H4192" t="inlineStr">
        <is>
          <t>Mobile App</t>
        </is>
      </c>
      <c r="I4192" t="n">
        <v>3</v>
      </c>
      <c r="J4192" s="3" t="n">
        <v>785.85</v>
      </c>
      <c r="K4192" s="3" t="n">
        <v>117.88</v>
      </c>
      <c r="L4192" s="3" t="n">
        <v>667.97</v>
      </c>
      <c r="M4192" s="3" t="n">
        <v>579.42</v>
      </c>
      <c r="N4192" s="3" t="n">
        <v>88.55</v>
      </c>
      <c r="O4192">
        <f>TEXT(A4192,"yyyy-mm")</f>
        <v/>
      </c>
    </row>
    <row r="4193">
      <c r="A4193" s="2" t="n">
        <v>46182</v>
      </c>
      <c r="B4193" t="n">
        <v>2026</v>
      </c>
      <c r="C4193" t="inlineStr">
        <is>
          <t>June</t>
        </is>
      </c>
      <c r="D4193" t="inlineStr">
        <is>
          <t>Eco Tent</t>
        </is>
      </c>
      <c r="E4193" t="inlineStr">
        <is>
          <t>Sports &amp; Outdoors</t>
        </is>
      </c>
      <c r="F4193" t="inlineStr">
        <is>
          <t>Michael Nowak</t>
        </is>
      </c>
      <c r="G4193" t="inlineStr">
        <is>
          <t>Spain</t>
        </is>
      </c>
      <c r="H4193" t="inlineStr">
        <is>
          <t>Mobile App</t>
        </is>
      </c>
      <c r="I4193" t="n">
        <v>3</v>
      </c>
      <c r="J4193" s="3" t="n">
        <v>198.42</v>
      </c>
      <c r="K4193" s="3" t="n">
        <v>0</v>
      </c>
      <c r="L4193" s="3" t="n">
        <v>198.42</v>
      </c>
      <c r="M4193" s="3" t="n">
        <v>131.55</v>
      </c>
      <c r="N4193" s="3" t="n">
        <v>66.87</v>
      </c>
      <c r="O4193">
        <f>TEXT(A4193,"yyyy-mm")</f>
        <v/>
      </c>
    </row>
    <row r="4194">
      <c r="A4194" s="2" t="n">
        <v>46182</v>
      </c>
      <c r="B4194" t="n">
        <v>2026</v>
      </c>
      <c r="C4194" t="inlineStr">
        <is>
          <t>June</t>
        </is>
      </c>
      <c r="D4194" t="inlineStr">
        <is>
          <t>Eco Tent</t>
        </is>
      </c>
      <c r="E4194" t="inlineStr">
        <is>
          <t>Sports &amp; Outdoors</t>
        </is>
      </c>
      <c r="F4194" t="inlineStr">
        <is>
          <t>Maria Dubois</t>
        </is>
      </c>
      <c r="G4194" t="inlineStr">
        <is>
          <t>France</t>
        </is>
      </c>
      <c r="H4194" t="inlineStr">
        <is>
          <t>Web Store</t>
        </is>
      </c>
      <c r="I4194" t="n">
        <v>4</v>
      </c>
      <c r="J4194" s="3" t="n">
        <v>967.8</v>
      </c>
      <c r="K4194" s="3" t="n">
        <v>145.17</v>
      </c>
      <c r="L4194" s="3" t="n">
        <v>822.63</v>
      </c>
      <c r="M4194" s="3" t="n">
        <v>540.12</v>
      </c>
      <c r="N4194" s="3" t="n">
        <v>282.51</v>
      </c>
      <c r="O4194">
        <f>TEXT(A4194,"yyyy-mm")</f>
        <v/>
      </c>
    </row>
    <row r="4195">
      <c r="A4195" s="2" t="n">
        <v>46182</v>
      </c>
      <c r="B4195" t="n">
        <v>2026</v>
      </c>
      <c r="C4195" t="inlineStr">
        <is>
          <t>June</t>
        </is>
      </c>
      <c r="D4195" t="inlineStr">
        <is>
          <t>Premium Tent</t>
        </is>
      </c>
      <c r="E4195" t="inlineStr">
        <is>
          <t>Sports &amp; Outdoors</t>
        </is>
      </c>
      <c r="F4195" t="inlineStr">
        <is>
          <t>Maria Rossi</t>
        </is>
      </c>
      <c r="G4195" t="inlineStr">
        <is>
          <t>Spain</t>
        </is>
      </c>
      <c r="H4195" t="inlineStr">
        <is>
          <t>Mobile App</t>
        </is>
      </c>
      <c r="I4195" t="n">
        <v>2</v>
      </c>
      <c r="J4195" s="3" t="n">
        <v>282.08</v>
      </c>
      <c r="K4195" s="3" t="n">
        <v>42.31</v>
      </c>
      <c r="L4195" s="3" t="n">
        <v>239.77</v>
      </c>
      <c r="M4195" s="3" t="n">
        <v>192.8</v>
      </c>
      <c r="N4195" s="3" t="n">
        <v>46.97</v>
      </c>
      <c r="O4195">
        <f>TEXT(A4195,"yyyy-mm")</f>
        <v/>
      </c>
    </row>
    <row r="4196">
      <c r="A4196" s="2" t="n">
        <v>46182</v>
      </c>
      <c r="B4196" t="n">
        <v>2026</v>
      </c>
      <c r="C4196" t="inlineStr">
        <is>
          <t>June</t>
        </is>
      </c>
      <c r="D4196" t="inlineStr">
        <is>
          <t>Portable Pasta</t>
        </is>
      </c>
      <c r="E4196" t="inlineStr">
        <is>
          <t>Grocery</t>
        </is>
      </c>
      <c r="F4196" t="inlineStr">
        <is>
          <t>Maria Rossi</t>
        </is>
      </c>
      <c r="G4196" t="inlineStr">
        <is>
          <t>Spain</t>
        </is>
      </c>
      <c r="H4196" t="inlineStr">
        <is>
          <t>Mobile App</t>
        </is>
      </c>
      <c r="I4196" t="n">
        <v>5</v>
      </c>
      <c r="J4196" s="3" t="n">
        <v>185.45</v>
      </c>
      <c r="K4196" s="3" t="n">
        <v>18.55</v>
      </c>
      <c r="L4196" s="3" t="n">
        <v>166.91</v>
      </c>
      <c r="M4196" s="3" t="n">
        <v>138.75</v>
      </c>
      <c r="N4196" s="3" t="n">
        <v>28.16</v>
      </c>
      <c r="O4196">
        <f>TEXT(A4196,"yyyy-mm")</f>
        <v/>
      </c>
    </row>
    <row r="4197">
      <c r="A4197" s="2" t="n">
        <v>46182</v>
      </c>
      <c r="B4197" t="n">
        <v>2026</v>
      </c>
      <c r="C4197" t="inlineStr">
        <is>
          <t>June</t>
        </is>
      </c>
      <c r="D4197" t="inlineStr">
        <is>
          <t>Premium Rug</t>
        </is>
      </c>
      <c r="E4197" t="inlineStr">
        <is>
          <t>Home &amp; Garden</t>
        </is>
      </c>
      <c r="F4197" t="inlineStr">
        <is>
          <t>Olivia Schmidt</t>
        </is>
      </c>
      <c r="G4197" t="inlineStr">
        <is>
          <t>United States</t>
        </is>
      </c>
      <c r="H4197" t="inlineStr">
        <is>
          <t>Marketplace</t>
        </is>
      </c>
      <c r="I4197" t="n">
        <v>3</v>
      </c>
      <c r="J4197" s="3" t="n">
        <v>576.09</v>
      </c>
      <c r="K4197" s="3" t="n">
        <v>0</v>
      </c>
      <c r="L4197" s="3" t="n">
        <v>576.09</v>
      </c>
      <c r="M4197" s="3" t="n">
        <v>333.57</v>
      </c>
      <c r="N4197" s="3" t="n">
        <v>242.52</v>
      </c>
      <c r="O4197">
        <f>TEXT(A4197,"yyyy-mm")</f>
        <v/>
      </c>
    </row>
    <row r="4198">
      <c r="A4198" s="2" t="n">
        <v>46182</v>
      </c>
      <c r="B4198" t="n">
        <v>2026</v>
      </c>
      <c r="C4198" t="inlineStr">
        <is>
          <t>June</t>
        </is>
      </c>
      <c r="D4198" t="inlineStr">
        <is>
          <t>Portable Toolset</t>
        </is>
      </c>
      <c r="E4198" t="inlineStr">
        <is>
          <t>Home &amp; Garden</t>
        </is>
      </c>
      <c r="F4198" t="inlineStr">
        <is>
          <t>Olivia Schmidt</t>
        </is>
      </c>
      <c r="G4198" t="inlineStr">
        <is>
          <t>United States</t>
        </is>
      </c>
      <c r="H4198" t="inlineStr">
        <is>
          <t>Marketplace</t>
        </is>
      </c>
      <c r="I4198" t="n">
        <v>4</v>
      </c>
      <c r="J4198" s="3" t="n">
        <v>568.12</v>
      </c>
      <c r="K4198" s="3" t="n">
        <v>85.22</v>
      </c>
      <c r="L4198" s="3" t="n">
        <v>482.9</v>
      </c>
      <c r="M4198" s="3" t="n">
        <v>371.4</v>
      </c>
      <c r="N4198" s="3" t="n">
        <v>111.5</v>
      </c>
      <c r="O4198">
        <f>TEXT(A4198,"yyyy-mm")</f>
        <v/>
      </c>
    </row>
    <row r="4199">
      <c r="A4199" s="2" t="n">
        <v>46182</v>
      </c>
      <c r="B4199" t="n">
        <v>2026</v>
      </c>
      <c r="C4199" t="inlineStr">
        <is>
          <t>June</t>
        </is>
      </c>
      <c r="D4199" t="inlineStr">
        <is>
          <t>Smart Honey</t>
        </is>
      </c>
      <c r="E4199" t="inlineStr">
        <is>
          <t>Grocery</t>
        </is>
      </c>
      <c r="F4199" t="inlineStr">
        <is>
          <t>Maria Dubois</t>
        </is>
      </c>
      <c r="G4199" t="inlineStr">
        <is>
          <t>France</t>
        </is>
      </c>
      <c r="H4199" t="inlineStr">
        <is>
          <t>Web Store</t>
        </is>
      </c>
      <c r="I4199" t="n">
        <v>5</v>
      </c>
      <c r="J4199" s="3" t="n">
        <v>640.8</v>
      </c>
      <c r="K4199" s="3" t="n">
        <v>32.04</v>
      </c>
      <c r="L4199" s="3" t="n">
        <v>608.76</v>
      </c>
      <c r="M4199" s="3" t="n">
        <v>357.2</v>
      </c>
      <c r="N4199" s="3" t="n">
        <v>251.56</v>
      </c>
      <c r="O4199">
        <f>TEXT(A4199,"yyyy-mm")</f>
        <v/>
      </c>
    </row>
    <row r="4200">
      <c r="A4200" s="2" t="n">
        <v>46182</v>
      </c>
      <c r="B4200" t="n">
        <v>2026</v>
      </c>
      <c r="C4200" t="inlineStr">
        <is>
          <t>June</t>
        </is>
      </c>
      <c r="D4200" t="inlineStr">
        <is>
          <t>Premium Rug</t>
        </is>
      </c>
      <c r="E4200" t="inlineStr">
        <is>
          <t>Home &amp; Garden</t>
        </is>
      </c>
      <c r="F4200" t="inlineStr">
        <is>
          <t>Maria Rossi</t>
        </is>
      </c>
      <c r="G4200" t="inlineStr">
        <is>
          <t>Spain</t>
        </is>
      </c>
      <c r="H4200" t="inlineStr">
        <is>
          <t>Mobile App</t>
        </is>
      </c>
      <c r="I4200" t="n">
        <v>5</v>
      </c>
      <c r="J4200" s="3" t="n">
        <v>974.9</v>
      </c>
      <c r="K4200" s="3" t="n">
        <v>194.98</v>
      </c>
      <c r="L4200" s="3" t="n">
        <v>779.92</v>
      </c>
      <c r="M4200" s="3" t="n">
        <v>555.95</v>
      </c>
      <c r="N4200" s="3" t="n">
        <v>223.97</v>
      </c>
      <c r="O4200">
        <f>TEXT(A4200,"yyyy-mm")</f>
        <v/>
      </c>
    </row>
    <row r="4201">
      <c r="A4201" s="2" t="n">
        <v>46182</v>
      </c>
      <c r="B4201" t="n">
        <v>2026</v>
      </c>
      <c r="C4201" t="inlineStr">
        <is>
          <t>June</t>
        </is>
      </c>
      <c r="D4201" t="inlineStr">
        <is>
          <t>Deluxe Notebook</t>
        </is>
      </c>
      <c r="E4201" t="inlineStr">
        <is>
          <t>Books</t>
        </is>
      </c>
      <c r="F4201" t="inlineStr">
        <is>
          <t>Olivia Schmidt</t>
        </is>
      </c>
      <c r="G4201" t="inlineStr">
        <is>
          <t>United States</t>
        </is>
      </c>
      <c r="H4201" t="inlineStr">
        <is>
          <t>Marketplace</t>
        </is>
      </c>
      <c r="I4201" t="n">
        <v>4</v>
      </c>
      <c r="J4201" s="3" t="n">
        <v>845.24</v>
      </c>
      <c r="K4201" s="3" t="n">
        <v>169.05</v>
      </c>
      <c r="L4201" s="3" t="n">
        <v>676.1900000000001</v>
      </c>
      <c r="M4201" s="3" t="n">
        <v>603.04</v>
      </c>
      <c r="N4201" s="3" t="n">
        <v>73.15000000000001</v>
      </c>
      <c r="O4201">
        <f>TEXT(A4201,"yyyy-mm")</f>
        <v/>
      </c>
    </row>
    <row r="4202">
      <c r="A4202" s="2" t="n">
        <v>46182</v>
      </c>
      <c r="B4202" t="n">
        <v>2026</v>
      </c>
      <c r="C4202" t="inlineStr">
        <is>
          <t>June</t>
        </is>
      </c>
      <c r="D4202" t="inlineStr">
        <is>
          <t>Smart Puzzle</t>
        </is>
      </c>
      <c r="E4202" t="inlineStr">
        <is>
          <t>Toys &amp; Games</t>
        </is>
      </c>
      <c r="F4202" t="inlineStr">
        <is>
          <t>Maria Dubois</t>
        </is>
      </c>
      <c r="G4202" t="inlineStr">
        <is>
          <t>France</t>
        </is>
      </c>
      <c r="H4202" t="inlineStr">
        <is>
          <t>Web Store</t>
        </is>
      </c>
      <c r="I4202" t="n">
        <v>1</v>
      </c>
      <c r="J4202" s="3" t="n">
        <v>43.88</v>
      </c>
      <c r="K4202" s="3" t="n">
        <v>2.19</v>
      </c>
      <c r="L4202" s="3" t="n">
        <v>41.69</v>
      </c>
      <c r="M4202" s="3" t="n">
        <v>24.44</v>
      </c>
      <c r="N4202" s="3" t="n">
        <v>17.25</v>
      </c>
      <c r="O4202">
        <f>TEXT(A4202,"yyyy-mm")</f>
        <v/>
      </c>
    </row>
    <row r="4203">
      <c r="A4203" s="2" t="n">
        <v>46182</v>
      </c>
      <c r="B4203" t="n">
        <v>2026</v>
      </c>
      <c r="C4203" t="inlineStr">
        <is>
          <t>June</t>
        </is>
      </c>
      <c r="D4203" t="inlineStr">
        <is>
          <t>Premium Tent</t>
        </is>
      </c>
      <c r="E4203" t="inlineStr">
        <is>
          <t>Sports &amp; Outdoors</t>
        </is>
      </c>
      <c r="F4203" t="inlineStr">
        <is>
          <t>Maria Dubois</t>
        </is>
      </c>
      <c r="G4203" t="inlineStr">
        <is>
          <t>France</t>
        </is>
      </c>
      <c r="H4203" t="inlineStr">
        <is>
          <t>Web Store</t>
        </is>
      </c>
      <c r="I4203" t="n">
        <v>4</v>
      </c>
      <c r="J4203" s="3" t="n">
        <v>1015.92</v>
      </c>
      <c r="K4203" s="3" t="n">
        <v>0</v>
      </c>
      <c r="L4203" s="3" t="n">
        <v>1015.92</v>
      </c>
      <c r="M4203" s="3" t="n">
        <v>556.16</v>
      </c>
      <c r="N4203" s="3" t="n">
        <v>459.76</v>
      </c>
      <c r="O4203">
        <f>TEXT(A4203,"yyyy-mm")</f>
        <v/>
      </c>
    </row>
    <row r="4204">
      <c r="A4204" s="2" t="n">
        <v>46183</v>
      </c>
      <c r="B4204" t="n">
        <v>2026</v>
      </c>
      <c r="C4204" t="inlineStr">
        <is>
          <t>June</t>
        </is>
      </c>
      <c r="D4204" t="inlineStr">
        <is>
          <t>Premium Tent</t>
        </is>
      </c>
      <c r="E4204" t="inlineStr">
        <is>
          <t>Sports &amp; Outdoors</t>
        </is>
      </c>
      <c r="F4204" t="inlineStr">
        <is>
          <t>Nina Weber</t>
        </is>
      </c>
      <c r="G4204" t="inlineStr">
        <is>
          <t>Italy</t>
        </is>
      </c>
      <c r="H4204" t="inlineStr">
        <is>
          <t>Retail Store</t>
        </is>
      </c>
      <c r="I4204" t="n">
        <v>4</v>
      </c>
      <c r="J4204" s="3" t="n">
        <v>1049</v>
      </c>
      <c r="K4204" s="3" t="n">
        <v>0</v>
      </c>
      <c r="L4204" s="3" t="n">
        <v>1049</v>
      </c>
      <c r="M4204" s="3" t="n">
        <v>661.24</v>
      </c>
      <c r="N4204" s="3" t="n">
        <v>387.76</v>
      </c>
      <c r="O4204">
        <f>TEXT(A4204,"yyyy-mm")</f>
        <v/>
      </c>
    </row>
    <row r="4205">
      <c r="A4205" s="2" t="n">
        <v>46184</v>
      </c>
      <c r="B4205" t="n">
        <v>2026</v>
      </c>
      <c r="C4205" t="inlineStr">
        <is>
          <t>June</t>
        </is>
      </c>
      <c r="D4205" t="inlineStr">
        <is>
          <t>Deluxe Puzzle</t>
        </is>
      </c>
      <c r="E4205" t="inlineStr">
        <is>
          <t>Toys &amp; Games</t>
        </is>
      </c>
      <c r="F4205" t="inlineStr">
        <is>
          <t>Robert Smith</t>
        </is>
      </c>
      <c r="G4205" t="inlineStr">
        <is>
          <t>Spain</t>
        </is>
      </c>
      <c r="H4205" t="inlineStr">
        <is>
          <t>Mobile App</t>
        </is>
      </c>
      <c r="I4205" t="n">
        <v>2</v>
      </c>
      <c r="J4205" s="3" t="n">
        <v>432.64</v>
      </c>
      <c r="K4205" s="3" t="n">
        <v>0</v>
      </c>
      <c r="L4205" s="3" t="n">
        <v>432.64</v>
      </c>
      <c r="M4205" s="3" t="n">
        <v>222.34</v>
      </c>
      <c r="N4205" s="3" t="n">
        <v>210.3</v>
      </c>
      <c r="O4205">
        <f>TEXT(A4205,"yyyy-mm")</f>
        <v/>
      </c>
    </row>
    <row r="4206">
      <c r="A4206" s="2" t="n">
        <v>46184</v>
      </c>
      <c r="B4206" t="n">
        <v>2026</v>
      </c>
      <c r="C4206" t="inlineStr">
        <is>
          <t>June</t>
        </is>
      </c>
      <c r="D4206" t="inlineStr">
        <is>
          <t>Deluxe Headphones</t>
        </is>
      </c>
      <c r="E4206" t="inlineStr">
        <is>
          <t>Electronics</t>
        </is>
      </c>
      <c r="F4206" t="inlineStr">
        <is>
          <t>Robert Smith</t>
        </is>
      </c>
      <c r="G4206" t="inlineStr">
        <is>
          <t>Spain</t>
        </is>
      </c>
      <c r="H4206" t="inlineStr">
        <is>
          <t>Mobile App</t>
        </is>
      </c>
      <c r="I4206" t="n">
        <v>4</v>
      </c>
      <c r="J4206" s="3" t="n">
        <v>290.72</v>
      </c>
      <c r="K4206" s="3" t="n">
        <v>0</v>
      </c>
      <c r="L4206" s="3" t="n">
        <v>290.72</v>
      </c>
      <c r="M4206" s="3" t="n">
        <v>210</v>
      </c>
      <c r="N4206" s="3" t="n">
        <v>80.72</v>
      </c>
      <c r="O4206">
        <f>TEXT(A4206,"yyyy-mm")</f>
        <v/>
      </c>
    </row>
    <row r="4207">
      <c r="A4207" s="2" t="n">
        <v>46184</v>
      </c>
      <c r="B4207" t="n">
        <v>2026</v>
      </c>
      <c r="C4207" t="inlineStr">
        <is>
          <t>June</t>
        </is>
      </c>
      <c r="D4207" t="inlineStr">
        <is>
          <t>Eco Tent</t>
        </is>
      </c>
      <c r="E4207" t="inlineStr">
        <is>
          <t>Sports &amp; Outdoors</t>
        </is>
      </c>
      <c r="F4207" t="inlineStr">
        <is>
          <t>David Wilson</t>
        </is>
      </c>
      <c r="G4207" t="inlineStr">
        <is>
          <t>Italy</t>
        </is>
      </c>
      <c r="H4207" t="inlineStr">
        <is>
          <t>Retail Store</t>
        </is>
      </c>
      <c r="I4207" t="n">
        <v>2</v>
      </c>
      <c r="J4207" s="3" t="n">
        <v>133.9</v>
      </c>
      <c r="K4207" s="3" t="n">
        <v>0</v>
      </c>
      <c r="L4207" s="3" t="n">
        <v>133.9</v>
      </c>
      <c r="M4207" s="3" t="n">
        <v>87.7</v>
      </c>
      <c r="N4207" s="3" t="n">
        <v>46.2</v>
      </c>
      <c r="O4207">
        <f>TEXT(A4207,"yyyy-mm")</f>
        <v/>
      </c>
    </row>
    <row r="4208">
      <c r="A4208" s="2" t="n">
        <v>46184</v>
      </c>
      <c r="B4208" t="n">
        <v>2026</v>
      </c>
      <c r="C4208" t="inlineStr">
        <is>
          <t>June</t>
        </is>
      </c>
      <c r="D4208" t="inlineStr">
        <is>
          <t>Portable Pasta</t>
        </is>
      </c>
      <c r="E4208" t="inlineStr">
        <is>
          <t>Grocery</t>
        </is>
      </c>
      <c r="F4208" t="inlineStr">
        <is>
          <t>David Wilson</t>
        </is>
      </c>
      <c r="G4208" t="inlineStr">
        <is>
          <t>Italy</t>
        </is>
      </c>
      <c r="H4208" t="inlineStr">
        <is>
          <t>Retail Store</t>
        </is>
      </c>
      <c r="I4208" t="n">
        <v>3</v>
      </c>
      <c r="J4208" s="3" t="n">
        <v>110.13</v>
      </c>
      <c r="K4208" s="3" t="n">
        <v>0</v>
      </c>
      <c r="L4208" s="3" t="n">
        <v>110.13</v>
      </c>
      <c r="M4208" s="3" t="n">
        <v>83.25</v>
      </c>
      <c r="N4208" s="3" t="n">
        <v>26.88</v>
      </c>
      <c r="O4208">
        <f>TEXT(A4208,"yyyy-mm")</f>
        <v/>
      </c>
    </row>
    <row r="4209">
      <c r="A4209" s="2" t="n">
        <v>46184</v>
      </c>
      <c r="B4209" t="n">
        <v>2026</v>
      </c>
      <c r="C4209" t="inlineStr">
        <is>
          <t>June</t>
        </is>
      </c>
      <c r="D4209" t="inlineStr">
        <is>
          <t>Wireless Coffee Beans</t>
        </is>
      </c>
      <c r="E4209" t="inlineStr">
        <is>
          <t>Grocery</t>
        </is>
      </c>
      <c r="F4209" t="inlineStr">
        <is>
          <t>David Wilson</t>
        </is>
      </c>
      <c r="G4209" t="inlineStr">
        <is>
          <t>Italy</t>
        </is>
      </c>
      <c r="H4209" t="inlineStr">
        <is>
          <t>Retail Store</t>
        </is>
      </c>
      <c r="I4209" t="n">
        <v>2</v>
      </c>
      <c r="J4209" s="3" t="n">
        <v>420.94</v>
      </c>
      <c r="K4209" s="3" t="n">
        <v>0</v>
      </c>
      <c r="L4209" s="3" t="n">
        <v>420.94</v>
      </c>
      <c r="M4209" s="3" t="n">
        <v>260.26</v>
      </c>
      <c r="N4209" s="3" t="n">
        <v>160.68</v>
      </c>
      <c r="O4209">
        <f>TEXT(A4209,"yyyy-mm")</f>
        <v/>
      </c>
    </row>
    <row r="4210">
      <c r="A4210" s="2" t="n">
        <v>46184</v>
      </c>
      <c r="B4210" t="n">
        <v>2026</v>
      </c>
      <c r="C4210" t="inlineStr">
        <is>
          <t>June</t>
        </is>
      </c>
      <c r="D4210" t="inlineStr">
        <is>
          <t>Smart Charger</t>
        </is>
      </c>
      <c r="E4210" t="inlineStr">
        <is>
          <t>Electronics</t>
        </is>
      </c>
      <c r="F4210" t="inlineStr">
        <is>
          <t>Peter Muller</t>
        </is>
      </c>
      <c r="G4210" t="inlineStr">
        <is>
          <t>Poland</t>
        </is>
      </c>
      <c r="H4210" t="inlineStr">
        <is>
          <t>Retail Store</t>
        </is>
      </c>
      <c r="I4210" t="n">
        <v>3</v>
      </c>
      <c r="J4210" s="3" t="n">
        <v>765.03</v>
      </c>
      <c r="K4210" s="3" t="n">
        <v>0</v>
      </c>
      <c r="L4210" s="3" t="n">
        <v>765.03</v>
      </c>
      <c r="M4210" s="3" t="n">
        <v>427.56</v>
      </c>
      <c r="N4210" s="3" t="n">
        <v>337.47</v>
      </c>
      <c r="O4210">
        <f>TEXT(A4210,"yyyy-mm")</f>
        <v/>
      </c>
    </row>
    <row r="4211">
      <c r="A4211" s="2" t="n">
        <v>46184</v>
      </c>
      <c r="B4211" t="n">
        <v>2026</v>
      </c>
      <c r="C4211" t="inlineStr">
        <is>
          <t>June</t>
        </is>
      </c>
      <c r="D4211" t="inlineStr">
        <is>
          <t>Smart Puzzle</t>
        </is>
      </c>
      <c r="E4211" t="inlineStr">
        <is>
          <t>Toys &amp; Games</t>
        </is>
      </c>
      <c r="F4211" t="inlineStr">
        <is>
          <t>Peter Muller</t>
        </is>
      </c>
      <c r="G4211" t="inlineStr">
        <is>
          <t>Poland</t>
        </is>
      </c>
      <c r="H4211" t="inlineStr">
        <is>
          <t>Retail Store</t>
        </is>
      </c>
      <c r="I4211" t="n">
        <v>4</v>
      </c>
      <c r="J4211" s="3" t="n">
        <v>1080.68</v>
      </c>
      <c r="K4211" s="3" t="n">
        <v>162.1</v>
      </c>
      <c r="L4211" s="3" t="n">
        <v>918.58</v>
      </c>
      <c r="M4211" s="3" t="n">
        <v>771.04</v>
      </c>
      <c r="N4211" s="3" t="n">
        <v>147.54</v>
      </c>
      <c r="O4211">
        <f>TEXT(A4211,"yyyy-mm")</f>
        <v/>
      </c>
    </row>
    <row r="4212">
      <c r="A4212" s="2" t="n">
        <v>46185</v>
      </c>
      <c r="B4212" t="n">
        <v>2026</v>
      </c>
      <c r="C4212" t="inlineStr">
        <is>
          <t>June</t>
        </is>
      </c>
      <c r="D4212" t="inlineStr">
        <is>
          <t>Essential Notebook</t>
        </is>
      </c>
      <c r="E4212" t="inlineStr">
        <is>
          <t>Books</t>
        </is>
      </c>
      <c r="F4212" t="inlineStr">
        <is>
          <t>Sophie Wilson</t>
        </is>
      </c>
      <c r="G4212" t="inlineStr">
        <is>
          <t>Germany</t>
        </is>
      </c>
      <c r="H4212" t="inlineStr">
        <is>
          <t>Web Store</t>
        </is>
      </c>
      <c r="I4212" t="n">
        <v>5</v>
      </c>
      <c r="J4212" s="3" t="n">
        <v>566.9</v>
      </c>
      <c r="K4212" s="3" t="n">
        <v>113.38</v>
      </c>
      <c r="L4212" s="3" t="n">
        <v>453.52</v>
      </c>
      <c r="M4212" s="3" t="n">
        <v>395.5</v>
      </c>
      <c r="N4212" s="3" t="n">
        <v>58.02</v>
      </c>
      <c r="O4212">
        <f>TEXT(A4212,"yyyy-mm")</f>
        <v/>
      </c>
    </row>
    <row r="4213">
      <c r="A4213" s="2" t="n">
        <v>46185</v>
      </c>
      <c r="B4213" t="n">
        <v>2026</v>
      </c>
      <c r="C4213" t="inlineStr">
        <is>
          <t>June</t>
        </is>
      </c>
      <c r="D4213" t="inlineStr">
        <is>
          <t>Premium Tent</t>
        </is>
      </c>
      <c r="E4213" t="inlineStr">
        <is>
          <t>Sports &amp; Outdoors</t>
        </is>
      </c>
      <c r="F4213" t="inlineStr">
        <is>
          <t>Sophie Wilson</t>
        </is>
      </c>
      <c r="G4213" t="inlineStr">
        <is>
          <t>Germany</t>
        </is>
      </c>
      <c r="H4213" t="inlineStr">
        <is>
          <t>Web Store</t>
        </is>
      </c>
      <c r="I4213" t="n">
        <v>2</v>
      </c>
      <c r="J4213" s="3" t="n">
        <v>484.28</v>
      </c>
      <c r="K4213" s="3" t="n">
        <v>0</v>
      </c>
      <c r="L4213" s="3" t="n">
        <v>484.28</v>
      </c>
      <c r="M4213" s="3" t="n">
        <v>330.62</v>
      </c>
      <c r="N4213" s="3" t="n">
        <v>153.66</v>
      </c>
      <c r="O4213">
        <f>TEXT(A4213,"yyyy-mm")</f>
        <v/>
      </c>
    </row>
    <row r="4214">
      <c r="A4214" s="2" t="n">
        <v>46185</v>
      </c>
      <c r="B4214" t="n">
        <v>2026</v>
      </c>
      <c r="C4214" t="inlineStr">
        <is>
          <t>June</t>
        </is>
      </c>
      <c r="D4214" t="inlineStr">
        <is>
          <t>Portable Puzzle</t>
        </is>
      </c>
      <c r="E4214" t="inlineStr">
        <is>
          <t>Toys &amp; Games</t>
        </is>
      </c>
      <c r="F4214" t="inlineStr">
        <is>
          <t>Sophie Wilson</t>
        </is>
      </c>
      <c r="G4214" t="inlineStr">
        <is>
          <t>Germany</t>
        </is>
      </c>
      <c r="H4214" t="inlineStr">
        <is>
          <t>Web Store</t>
        </is>
      </c>
      <c r="I4214" t="n">
        <v>5</v>
      </c>
      <c r="J4214" s="3" t="n">
        <v>1602.75</v>
      </c>
      <c r="K4214" s="3" t="n">
        <v>80.14</v>
      </c>
      <c r="L4214" s="3" t="n">
        <v>1522.61</v>
      </c>
      <c r="M4214" s="3" t="n">
        <v>868.3</v>
      </c>
      <c r="N4214" s="3" t="n">
        <v>654.3099999999999</v>
      </c>
      <c r="O4214">
        <f>TEXT(A4214,"yyyy-mm")</f>
        <v/>
      </c>
    </row>
    <row r="4215">
      <c r="A4215" s="2" t="n">
        <v>46185</v>
      </c>
      <c r="B4215" t="n">
        <v>2026</v>
      </c>
      <c r="C4215" t="inlineStr">
        <is>
          <t>June</t>
        </is>
      </c>
      <c r="D4215" t="inlineStr">
        <is>
          <t>Portable Toolset</t>
        </is>
      </c>
      <c r="E4215" t="inlineStr">
        <is>
          <t>Home &amp; Garden</t>
        </is>
      </c>
      <c r="F4215" t="inlineStr">
        <is>
          <t>Sophie Wilson</t>
        </is>
      </c>
      <c r="G4215" t="inlineStr">
        <is>
          <t>Germany</t>
        </is>
      </c>
      <c r="H4215" t="inlineStr">
        <is>
          <t>Web Store</t>
        </is>
      </c>
      <c r="I4215" t="n">
        <v>5</v>
      </c>
      <c r="J4215" s="3" t="n">
        <v>430.7</v>
      </c>
      <c r="K4215" s="3" t="n">
        <v>86.14</v>
      </c>
      <c r="L4215" s="3" t="n">
        <v>344.56</v>
      </c>
      <c r="M4215" s="3" t="n">
        <v>252.7</v>
      </c>
      <c r="N4215" s="3" t="n">
        <v>91.86</v>
      </c>
      <c r="O4215">
        <f>TEXT(A4215,"yyyy-mm")</f>
        <v/>
      </c>
    </row>
    <row r="4216">
      <c r="A4216" s="2" t="n">
        <v>46185</v>
      </c>
      <c r="B4216" t="n">
        <v>2026</v>
      </c>
      <c r="C4216" t="inlineStr">
        <is>
          <t>June</t>
        </is>
      </c>
      <c r="D4216" t="inlineStr">
        <is>
          <t>Essential Cushion</t>
        </is>
      </c>
      <c r="E4216" t="inlineStr">
        <is>
          <t>Home &amp; Garden</t>
        </is>
      </c>
      <c r="F4216" t="inlineStr">
        <is>
          <t>Emily Dubois</t>
        </is>
      </c>
      <c r="G4216" t="inlineStr">
        <is>
          <t>Italy</t>
        </is>
      </c>
      <c r="H4216" t="inlineStr">
        <is>
          <t>Marketplace</t>
        </is>
      </c>
      <c r="I4216" t="n">
        <v>1</v>
      </c>
      <c r="J4216" s="3" t="n">
        <v>43.83</v>
      </c>
      <c r="K4216" s="3" t="n">
        <v>0</v>
      </c>
      <c r="L4216" s="3" t="n">
        <v>43.83</v>
      </c>
      <c r="M4216" s="3" t="n">
        <v>30.55</v>
      </c>
      <c r="N4216" s="3" t="n">
        <v>13.28</v>
      </c>
      <c r="O4216">
        <f>TEXT(A4216,"yyyy-mm")</f>
        <v/>
      </c>
    </row>
    <row r="4217">
      <c r="A4217" s="2" t="n">
        <v>46185</v>
      </c>
      <c r="B4217" t="n">
        <v>2026</v>
      </c>
      <c r="C4217" t="inlineStr">
        <is>
          <t>June</t>
        </is>
      </c>
      <c r="D4217" t="inlineStr">
        <is>
          <t>Premium Water Bottle</t>
        </is>
      </c>
      <c r="E4217" t="inlineStr">
        <is>
          <t>Sports &amp; Outdoors</t>
        </is>
      </c>
      <c r="F4217" t="inlineStr">
        <is>
          <t>Emily Dubois</t>
        </is>
      </c>
      <c r="G4217" t="inlineStr">
        <is>
          <t>Italy</t>
        </is>
      </c>
      <c r="H4217" t="inlineStr">
        <is>
          <t>Marketplace</t>
        </is>
      </c>
      <c r="I4217" t="n">
        <v>1</v>
      </c>
      <c r="J4217" s="3" t="n">
        <v>300.38</v>
      </c>
      <c r="K4217" s="3" t="n">
        <v>0</v>
      </c>
      <c r="L4217" s="3" t="n">
        <v>300.38</v>
      </c>
      <c r="M4217" s="3" t="n">
        <v>181.16</v>
      </c>
      <c r="N4217" s="3" t="n">
        <v>119.22</v>
      </c>
      <c r="O4217">
        <f>TEXT(A4217,"yyyy-mm")</f>
        <v/>
      </c>
    </row>
    <row r="4218">
      <c r="A4218" s="2" t="n">
        <v>46185</v>
      </c>
      <c r="B4218" t="n">
        <v>2026</v>
      </c>
      <c r="C4218" t="inlineStr">
        <is>
          <t>June</t>
        </is>
      </c>
      <c r="D4218" t="inlineStr">
        <is>
          <t>Classic Sunscreen</t>
        </is>
      </c>
      <c r="E4218" t="inlineStr">
        <is>
          <t>Beauty &amp; Health</t>
        </is>
      </c>
      <c r="F4218" t="inlineStr">
        <is>
          <t>Emily Dubois</t>
        </is>
      </c>
      <c r="G4218" t="inlineStr">
        <is>
          <t>Italy</t>
        </is>
      </c>
      <c r="H4218" t="inlineStr">
        <is>
          <t>Marketplace</t>
        </is>
      </c>
      <c r="I4218" t="n">
        <v>4</v>
      </c>
      <c r="J4218" s="3" t="n">
        <v>532.72</v>
      </c>
      <c r="K4218" s="3" t="n">
        <v>0</v>
      </c>
      <c r="L4218" s="3" t="n">
        <v>532.72</v>
      </c>
      <c r="M4218" s="3" t="n">
        <v>374.76</v>
      </c>
      <c r="N4218" s="3" t="n">
        <v>157.96</v>
      </c>
      <c r="O4218">
        <f>TEXT(A4218,"yyyy-mm")</f>
        <v/>
      </c>
    </row>
    <row r="4219">
      <c r="A4219" s="2" t="n">
        <v>46186</v>
      </c>
      <c r="B4219" t="n">
        <v>2026</v>
      </c>
      <c r="C4219" t="inlineStr">
        <is>
          <t>June</t>
        </is>
      </c>
      <c r="D4219" t="inlineStr">
        <is>
          <t>Eco Tent</t>
        </is>
      </c>
      <c r="E4219" t="inlineStr">
        <is>
          <t>Sports &amp; Outdoors</t>
        </is>
      </c>
      <c r="F4219" t="inlineStr">
        <is>
          <t>Maria Weber</t>
        </is>
      </c>
      <c r="G4219" t="inlineStr">
        <is>
          <t>Spain</t>
        </is>
      </c>
      <c r="H4219" t="inlineStr">
        <is>
          <t>Mobile App</t>
        </is>
      </c>
      <c r="I4219" t="n">
        <v>2</v>
      </c>
      <c r="J4219" s="3" t="n">
        <v>515.9400000000001</v>
      </c>
      <c r="K4219" s="3" t="n">
        <v>0</v>
      </c>
      <c r="L4219" s="3" t="n">
        <v>515.9400000000001</v>
      </c>
      <c r="M4219" s="3" t="n">
        <v>270.06</v>
      </c>
      <c r="N4219" s="3" t="n">
        <v>245.88</v>
      </c>
      <c r="O4219">
        <f>TEXT(A4219,"yyyy-mm")</f>
        <v/>
      </c>
    </row>
    <row r="4220">
      <c r="A4220" s="2" t="n">
        <v>46186</v>
      </c>
      <c r="B4220" t="n">
        <v>2026</v>
      </c>
      <c r="C4220" t="inlineStr">
        <is>
          <t>June</t>
        </is>
      </c>
      <c r="D4220" t="inlineStr">
        <is>
          <t>Smart Charger</t>
        </is>
      </c>
      <c r="E4220" t="inlineStr">
        <is>
          <t>Electronics</t>
        </is>
      </c>
      <c r="F4220" t="inlineStr">
        <is>
          <t>Olivia Conti</t>
        </is>
      </c>
      <c r="G4220" t="inlineStr">
        <is>
          <t>Poland</t>
        </is>
      </c>
      <c r="H4220" t="inlineStr">
        <is>
          <t>Web Store</t>
        </is>
      </c>
      <c r="I4220" t="n">
        <v>4</v>
      </c>
      <c r="J4220" s="3" t="n">
        <v>992.2</v>
      </c>
      <c r="K4220" s="3" t="n">
        <v>0</v>
      </c>
      <c r="L4220" s="3" t="n">
        <v>992.2</v>
      </c>
      <c r="M4220" s="3" t="n">
        <v>570.08</v>
      </c>
      <c r="N4220" s="3" t="n">
        <v>422.12</v>
      </c>
      <c r="O4220">
        <f>TEXT(A4220,"yyyy-mm")</f>
        <v/>
      </c>
    </row>
    <row r="4221">
      <c r="A4221" s="2" t="n">
        <v>46186</v>
      </c>
      <c r="B4221" t="n">
        <v>2026</v>
      </c>
      <c r="C4221" t="inlineStr">
        <is>
          <t>June</t>
        </is>
      </c>
      <c r="D4221" t="inlineStr">
        <is>
          <t>Smart Jeans</t>
        </is>
      </c>
      <c r="E4221" t="inlineStr">
        <is>
          <t>Clothing</t>
        </is>
      </c>
      <c r="F4221" t="inlineStr">
        <is>
          <t>Olivia Conti</t>
        </is>
      </c>
      <c r="G4221" t="inlineStr">
        <is>
          <t>Poland</t>
        </is>
      </c>
      <c r="H4221" t="inlineStr">
        <is>
          <t>Web Store</t>
        </is>
      </c>
      <c r="I4221" t="n">
        <v>2</v>
      </c>
      <c r="J4221" s="3" t="n">
        <v>564.66</v>
      </c>
      <c r="K4221" s="3" t="n">
        <v>84.7</v>
      </c>
      <c r="L4221" s="3" t="n">
        <v>479.96</v>
      </c>
      <c r="M4221" s="3" t="n">
        <v>387.28</v>
      </c>
      <c r="N4221" s="3" t="n">
        <v>92.68000000000001</v>
      </c>
      <c r="O4221">
        <f>TEXT(A4221,"yyyy-mm")</f>
        <v/>
      </c>
    </row>
    <row r="4222">
      <c r="A4222" s="2" t="n">
        <v>46186</v>
      </c>
      <c r="B4222" t="n">
        <v>2026</v>
      </c>
      <c r="C4222" t="inlineStr">
        <is>
          <t>June</t>
        </is>
      </c>
      <c r="D4222" t="inlineStr">
        <is>
          <t>Portable Speaker</t>
        </is>
      </c>
      <c r="E4222" t="inlineStr">
        <is>
          <t>Electronics</t>
        </is>
      </c>
      <c r="F4222" t="inlineStr">
        <is>
          <t>Olivia Conti</t>
        </is>
      </c>
      <c r="G4222" t="inlineStr">
        <is>
          <t>Poland</t>
        </is>
      </c>
      <c r="H4222" t="inlineStr">
        <is>
          <t>Web Store</t>
        </is>
      </c>
      <c r="I4222" t="n">
        <v>5</v>
      </c>
      <c r="J4222" s="3" t="n">
        <v>1640</v>
      </c>
      <c r="K4222" s="3" t="n">
        <v>82</v>
      </c>
      <c r="L4222" s="3" t="n">
        <v>1558</v>
      </c>
      <c r="M4222" s="3" t="n">
        <v>874.15</v>
      </c>
      <c r="N4222" s="3" t="n">
        <v>683.85</v>
      </c>
      <c r="O4222">
        <f>TEXT(A4222,"yyyy-mm")</f>
        <v/>
      </c>
    </row>
    <row r="4223">
      <c r="A4223" s="2" t="n">
        <v>46187</v>
      </c>
      <c r="B4223" t="n">
        <v>2026</v>
      </c>
      <c r="C4223" t="inlineStr">
        <is>
          <t>June</t>
        </is>
      </c>
      <c r="D4223" t="inlineStr">
        <is>
          <t>Deluxe Scarf</t>
        </is>
      </c>
      <c r="E4223" t="inlineStr">
        <is>
          <t>Clothing</t>
        </is>
      </c>
      <c r="F4223" t="inlineStr">
        <is>
          <t>Nina Wojcik</t>
        </is>
      </c>
      <c r="G4223" t="inlineStr">
        <is>
          <t>Germany</t>
        </is>
      </c>
      <c r="H4223" t="inlineStr">
        <is>
          <t>Marketplace</t>
        </is>
      </c>
      <c r="I4223" t="n">
        <v>1</v>
      </c>
      <c r="J4223" s="3" t="n">
        <v>202.73</v>
      </c>
      <c r="K4223" s="3" t="n">
        <v>20.27</v>
      </c>
      <c r="L4223" s="3" t="n">
        <v>182.46</v>
      </c>
      <c r="M4223" s="3" t="n">
        <v>108.52</v>
      </c>
      <c r="N4223" s="3" t="n">
        <v>73.94</v>
      </c>
      <c r="O4223">
        <f>TEXT(A4223,"yyyy-mm")</f>
        <v/>
      </c>
    </row>
    <row r="4224">
      <c r="A4224" s="2" t="n">
        <v>46187</v>
      </c>
      <c r="B4224" t="n">
        <v>2026</v>
      </c>
      <c r="C4224" t="inlineStr">
        <is>
          <t>June</t>
        </is>
      </c>
      <c r="D4224" t="inlineStr">
        <is>
          <t>Smart Tea Set</t>
        </is>
      </c>
      <c r="E4224" t="inlineStr">
        <is>
          <t>Grocery</t>
        </is>
      </c>
      <c r="F4224" t="inlineStr">
        <is>
          <t>Nina Wojcik</t>
        </is>
      </c>
      <c r="G4224" t="inlineStr">
        <is>
          <t>Germany</t>
        </is>
      </c>
      <c r="H4224" t="inlineStr">
        <is>
          <t>Marketplace</t>
        </is>
      </c>
      <c r="I4224" t="n">
        <v>4</v>
      </c>
      <c r="J4224" s="3" t="n">
        <v>351.48</v>
      </c>
      <c r="K4224" s="3" t="n">
        <v>52.72</v>
      </c>
      <c r="L4224" s="3" t="n">
        <v>298.76</v>
      </c>
      <c r="M4224" s="3" t="n">
        <v>247.2</v>
      </c>
      <c r="N4224" s="3" t="n">
        <v>51.56</v>
      </c>
      <c r="O4224">
        <f>TEXT(A4224,"yyyy-mm")</f>
        <v/>
      </c>
    </row>
    <row r="4225">
      <c r="A4225" s="2" t="n">
        <v>46187</v>
      </c>
      <c r="B4225" t="n">
        <v>2026</v>
      </c>
      <c r="C4225" t="inlineStr">
        <is>
          <t>June</t>
        </is>
      </c>
      <c r="D4225" t="inlineStr">
        <is>
          <t>Classic Tea Set</t>
        </is>
      </c>
      <c r="E4225" t="inlineStr">
        <is>
          <t>Grocery</t>
        </is>
      </c>
      <c r="F4225" t="inlineStr">
        <is>
          <t>Nina Wojcik</t>
        </is>
      </c>
      <c r="G4225" t="inlineStr">
        <is>
          <t>Germany</t>
        </is>
      </c>
      <c r="H4225" t="inlineStr">
        <is>
          <t>Marketplace</t>
        </is>
      </c>
      <c r="I4225" t="n">
        <v>2</v>
      </c>
      <c r="J4225" s="3" t="n">
        <v>361.48</v>
      </c>
      <c r="K4225" s="3" t="n">
        <v>54.22</v>
      </c>
      <c r="L4225" s="3" t="n">
        <v>307.26</v>
      </c>
      <c r="M4225" s="3" t="n">
        <v>250.8</v>
      </c>
      <c r="N4225" s="3" t="n">
        <v>56.46</v>
      </c>
      <c r="O4225">
        <f>TEXT(A4225,"yyyy-mm")</f>
        <v/>
      </c>
    </row>
    <row r="4226">
      <c r="A4226" s="2" t="n">
        <v>46187</v>
      </c>
      <c r="B4226" t="n">
        <v>2026</v>
      </c>
      <c r="C4226" t="inlineStr">
        <is>
          <t>June</t>
        </is>
      </c>
      <c r="D4226" t="inlineStr">
        <is>
          <t>Portable Toolset</t>
        </is>
      </c>
      <c r="E4226" t="inlineStr">
        <is>
          <t>Home &amp; Garden</t>
        </is>
      </c>
      <c r="F4226" t="inlineStr">
        <is>
          <t>Maria Martin</t>
        </is>
      </c>
      <c r="G4226" t="inlineStr">
        <is>
          <t>Poland</t>
        </is>
      </c>
      <c r="H4226" t="inlineStr">
        <is>
          <t>Marketplace</t>
        </is>
      </c>
      <c r="I4226" t="n">
        <v>5</v>
      </c>
      <c r="J4226" s="3" t="n">
        <v>762.8</v>
      </c>
      <c r="K4226" s="3" t="n">
        <v>0</v>
      </c>
      <c r="L4226" s="3" t="n">
        <v>762.8</v>
      </c>
      <c r="M4226" s="3" t="n">
        <v>464.25</v>
      </c>
      <c r="N4226" s="3" t="n">
        <v>298.55</v>
      </c>
      <c r="O4226">
        <f>TEXT(A4226,"yyyy-mm")</f>
        <v/>
      </c>
    </row>
    <row r="4227">
      <c r="A4227" s="2" t="n">
        <v>46187</v>
      </c>
      <c r="B4227" t="n">
        <v>2026</v>
      </c>
      <c r="C4227" t="inlineStr">
        <is>
          <t>June</t>
        </is>
      </c>
      <c r="D4227" t="inlineStr">
        <is>
          <t>Eco Tent</t>
        </is>
      </c>
      <c r="E4227" t="inlineStr">
        <is>
          <t>Sports &amp; Outdoors</t>
        </is>
      </c>
      <c r="F4227" t="inlineStr">
        <is>
          <t>Maria Martin</t>
        </is>
      </c>
      <c r="G4227" t="inlineStr">
        <is>
          <t>Poland</t>
        </is>
      </c>
      <c r="H4227" t="inlineStr">
        <is>
          <t>Marketplace</t>
        </is>
      </c>
      <c r="I4227" t="n">
        <v>3</v>
      </c>
      <c r="J4227" s="3" t="n">
        <v>761.4299999999999</v>
      </c>
      <c r="K4227" s="3" t="n">
        <v>76.14</v>
      </c>
      <c r="L4227" s="3" t="n">
        <v>685.29</v>
      </c>
      <c r="M4227" s="3" t="n">
        <v>405.09</v>
      </c>
      <c r="N4227" s="3" t="n">
        <v>280.2</v>
      </c>
      <c r="O4227">
        <f>TEXT(A4227,"yyyy-mm")</f>
        <v/>
      </c>
    </row>
    <row r="4228">
      <c r="A4228" s="2" t="n">
        <v>46188</v>
      </c>
      <c r="B4228" t="n">
        <v>2026</v>
      </c>
      <c r="C4228" t="inlineStr">
        <is>
          <t>June</t>
        </is>
      </c>
      <c r="D4228" t="inlineStr">
        <is>
          <t>Wireless Cookbook</t>
        </is>
      </c>
      <c r="E4228" t="inlineStr">
        <is>
          <t>Books</t>
        </is>
      </c>
      <c r="F4228" t="inlineStr">
        <is>
          <t>Mark Moreau</t>
        </is>
      </c>
      <c r="G4228" t="inlineStr">
        <is>
          <t>Italy</t>
        </is>
      </c>
      <c r="H4228" t="inlineStr">
        <is>
          <t>Marketplace</t>
        </is>
      </c>
      <c r="I4228" t="n">
        <v>5</v>
      </c>
      <c r="J4228" s="3" t="n">
        <v>399.8</v>
      </c>
      <c r="K4228" s="3" t="n">
        <v>59.97</v>
      </c>
      <c r="L4228" s="3" t="n">
        <v>339.83</v>
      </c>
      <c r="M4228" s="3" t="n">
        <v>283.05</v>
      </c>
      <c r="N4228" s="3" t="n">
        <v>56.78</v>
      </c>
      <c r="O4228">
        <f>TEXT(A4228,"yyyy-mm")</f>
        <v/>
      </c>
    </row>
    <row r="4229">
      <c r="A4229" s="2" t="n">
        <v>46188</v>
      </c>
      <c r="B4229" t="n">
        <v>2026</v>
      </c>
      <c r="C4229" t="inlineStr">
        <is>
          <t>June</t>
        </is>
      </c>
      <c r="D4229" t="inlineStr">
        <is>
          <t>Compact Sunscreen</t>
        </is>
      </c>
      <c r="E4229" t="inlineStr">
        <is>
          <t>Beauty &amp; Health</t>
        </is>
      </c>
      <c r="F4229" t="inlineStr">
        <is>
          <t>Mark Moreau</t>
        </is>
      </c>
      <c r="G4229" t="inlineStr">
        <is>
          <t>Italy</t>
        </is>
      </c>
      <c r="H4229" t="inlineStr">
        <is>
          <t>Marketplace</t>
        </is>
      </c>
      <c r="I4229" t="n">
        <v>4</v>
      </c>
      <c r="J4229" s="3" t="n">
        <v>1161.88</v>
      </c>
      <c r="K4229" s="3" t="n">
        <v>116.19</v>
      </c>
      <c r="L4229" s="3" t="n">
        <v>1045.69</v>
      </c>
      <c r="M4229" s="3" t="n">
        <v>710.64</v>
      </c>
      <c r="N4229" s="3" t="n">
        <v>335.05</v>
      </c>
      <c r="O4229">
        <f>TEXT(A4229,"yyyy-mm")</f>
        <v/>
      </c>
    </row>
    <row r="4230">
      <c r="A4230" s="2" t="n">
        <v>46188</v>
      </c>
      <c r="B4230" t="n">
        <v>2026</v>
      </c>
      <c r="C4230" t="inlineStr">
        <is>
          <t>June</t>
        </is>
      </c>
      <c r="D4230" t="inlineStr">
        <is>
          <t>Smart Charger</t>
        </is>
      </c>
      <c r="E4230" t="inlineStr">
        <is>
          <t>Electronics</t>
        </is>
      </c>
      <c r="F4230" t="inlineStr">
        <is>
          <t>Michael Conti</t>
        </is>
      </c>
      <c r="G4230" t="inlineStr">
        <is>
          <t>Netherlands</t>
        </is>
      </c>
      <c r="H4230" t="inlineStr">
        <is>
          <t>Retail Store</t>
        </is>
      </c>
      <c r="I4230" t="n">
        <v>4</v>
      </c>
      <c r="J4230" s="3" t="n">
        <v>166.04</v>
      </c>
      <c r="K4230" s="3" t="n">
        <v>0</v>
      </c>
      <c r="L4230" s="3" t="n">
        <v>166.04</v>
      </c>
      <c r="M4230" s="3" t="n">
        <v>110.56</v>
      </c>
      <c r="N4230" s="3" t="n">
        <v>55.48</v>
      </c>
      <c r="O4230">
        <f>TEXT(A4230,"yyyy-mm")</f>
        <v/>
      </c>
    </row>
    <row r="4231">
      <c r="A4231" s="2" t="n">
        <v>46188</v>
      </c>
      <c r="B4231" t="n">
        <v>2026</v>
      </c>
      <c r="C4231" t="inlineStr">
        <is>
          <t>June</t>
        </is>
      </c>
      <c r="D4231" t="inlineStr">
        <is>
          <t>Classic Sunscreen</t>
        </is>
      </c>
      <c r="E4231" t="inlineStr">
        <is>
          <t>Beauty &amp; Health</t>
        </is>
      </c>
      <c r="F4231" t="inlineStr">
        <is>
          <t>Clara Nowak</t>
        </is>
      </c>
      <c r="G4231" t="inlineStr">
        <is>
          <t>United Kingdom</t>
        </is>
      </c>
      <c r="H4231" t="inlineStr">
        <is>
          <t>Retail Store</t>
        </is>
      </c>
      <c r="I4231" t="n">
        <v>5</v>
      </c>
      <c r="J4231" s="3" t="n">
        <v>675.25</v>
      </c>
      <c r="K4231" s="3" t="n">
        <v>101.29</v>
      </c>
      <c r="L4231" s="3" t="n">
        <v>573.96</v>
      </c>
      <c r="M4231" s="3" t="n">
        <v>468.45</v>
      </c>
      <c r="N4231" s="3" t="n">
        <v>105.51</v>
      </c>
      <c r="O4231">
        <f>TEXT(A4231,"yyyy-mm")</f>
        <v/>
      </c>
    </row>
    <row r="4232">
      <c r="A4232" s="2" t="n">
        <v>46188</v>
      </c>
      <c r="B4232" t="n">
        <v>2026</v>
      </c>
      <c r="C4232" t="inlineStr">
        <is>
          <t>June</t>
        </is>
      </c>
      <c r="D4232" t="inlineStr">
        <is>
          <t>Portable Puzzle</t>
        </is>
      </c>
      <c r="E4232" t="inlineStr">
        <is>
          <t>Toys &amp; Games</t>
        </is>
      </c>
      <c r="F4232" t="inlineStr">
        <is>
          <t>Michael Conti</t>
        </is>
      </c>
      <c r="G4232" t="inlineStr">
        <is>
          <t>Netherlands</t>
        </is>
      </c>
      <c r="H4232" t="inlineStr">
        <is>
          <t>Retail Store</t>
        </is>
      </c>
      <c r="I4232" t="n">
        <v>3</v>
      </c>
      <c r="J4232" s="3" t="n">
        <v>964.65</v>
      </c>
      <c r="K4232" s="3" t="n">
        <v>192.93</v>
      </c>
      <c r="L4232" s="3" t="n">
        <v>771.72</v>
      </c>
      <c r="M4232" s="3" t="n">
        <v>520.98</v>
      </c>
      <c r="N4232" s="3" t="n">
        <v>250.74</v>
      </c>
      <c r="O4232">
        <f>TEXT(A4232,"yyyy-mm")</f>
        <v/>
      </c>
    </row>
    <row r="4233">
      <c r="A4233" s="2" t="n">
        <v>46189</v>
      </c>
      <c r="B4233" t="n">
        <v>2026</v>
      </c>
      <c r="C4233" t="inlineStr">
        <is>
          <t>June</t>
        </is>
      </c>
      <c r="D4233" t="inlineStr">
        <is>
          <t>Classic Sunscreen</t>
        </is>
      </c>
      <c r="E4233" t="inlineStr">
        <is>
          <t>Beauty &amp; Health</t>
        </is>
      </c>
      <c r="F4233" t="inlineStr">
        <is>
          <t>Anna Nowak</t>
        </is>
      </c>
      <c r="G4233" t="inlineStr">
        <is>
          <t>Poland</t>
        </is>
      </c>
      <c r="H4233" t="inlineStr">
        <is>
          <t>Web Store</t>
        </is>
      </c>
      <c r="I4233" t="n">
        <v>1</v>
      </c>
      <c r="J4233" s="3" t="n">
        <v>143.2</v>
      </c>
      <c r="K4233" s="3" t="n">
        <v>0</v>
      </c>
      <c r="L4233" s="3" t="n">
        <v>143.2</v>
      </c>
      <c r="M4233" s="3" t="n">
        <v>93.69</v>
      </c>
      <c r="N4233" s="3" t="n">
        <v>49.51</v>
      </c>
      <c r="O4233">
        <f>TEXT(A4233,"yyyy-mm")</f>
        <v/>
      </c>
    </row>
    <row r="4234">
      <c r="A4234" s="2" t="n">
        <v>46189</v>
      </c>
      <c r="B4234" t="n">
        <v>2026</v>
      </c>
      <c r="C4234" t="inlineStr">
        <is>
          <t>June</t>
        </is>
      </c>
      <c r="D4234" t="inlineStr">
        <is>
          <t>Eco Backpack</t>
        </is>
      </c>
      <c r="E4234" t="inlineStr">
        <is>
          <t>Sports &amp; Outdoors</t>
        </is>
      </c>
      <c r="F4234" t="inlineStr">
        <is>
          <t>Anna Nowak</t>
        </is>
      </c>
      <c r="G4234" t="inlineStr">
        <is>
          <t>Poland</t>
        </is>
      </c>
      <c r="H4234" t="inlineStr">
        <is>
          <t>Web Store</t>
        </is>
      </c>
      <c r="I4234" t="n">
        <v>3</v>
      </c>
      <c r="J4234" s="3" t="n">
        <v>773.34</v>
      </c>
      <c r="K4234" s="3" t="n">
        <v>154.67</v>
      </c>
      <c r="L4234" s="3" t="n">
        <v>618.67</v>
      </c>
      <c r="M4234" s="3" t="n">
        <v>439.74</v>
      </c>
      <c r="N4234" s="3" t="n">
        <v>178.93</v>
      </c>
      <c r="O4234">
        <f>TEXT(A4234,"yyyy-mm")</f>
        <v/>
      </c>
    </row>
    <row r="4235">
      <c r="A4235" s="2" t="n">
        <v>46189</v>
      </c>
      <c r="B4235" t="n">
        <v>2026</v>
      </c>
      <c r="C4235" t="inlineStr">
        <is>
          <t>June</t>
        </is>
      </c>
      <c r="D4235" t="inlineStr">
        <is>
          <t>Wireless Coffee Beans</t>
        </is>
      </c>
      <c r="E4235" t="inlineStr">
        <is>
          <t>Grocery</t>
        </is>
      </c>
      <c r="F4235" t="inlineStr">
        <is>
          <t>Anna Nowak</t>
        </is>
      </c>
      <c r="G4235" t="inlineStr">
        <is>
          <t>Poland</t>
        </is>
      </c>
      <c r="H4235" t="inlineStr">
        <is>
          <t>Web Store</t>
        </is>
      </c>
      <c r="I4235" t="n">
        <v>2</v>
      </c>
      <c r="J4235" s="3" t="n">
        <v>410.74</v>
      </c>
      <c r="K4235" s="3" t="n">
        <v>20.54</v>
      </c>
      <c r="L4235" s="3" t="n">
        <v>390.2</v>
      </c>
      <c r="M4235" s="3" t="n">
        <v>260.26</v>
      </c>
      <c r="N4235" s="3" t="n">
        <v>129.94</v>
      </c>
      <c r="O4235">
        <f>TEXT(A4235,"yyyy-mm")</f>
        <v/>
      </c>
    </row>
    <row r="4236">
      <c r="A4236" s="2" t="n">
        <v>46189</v>
      </c>
      <c r="B4236" t="n">
        <v>2026</v>
      </c>
      <c r="C4236" t="inlineStr">
        <is>
          <t>June</t>
        </is>
      </c>
      <c r="D4236" t="inlineStr">
        <is>
          <t>Classic Charger</t>
        </is>
      </c>
      <c r="E4236" t="inlineStr">
        <is>
          <t>Electronics</t>
        </is>
      </c>
      <c r="F4236" t="inlineStr">
        <is>
          <t>Anna Nowak</t>
        </is>
      </c>
      <c r="G4236" t="inlineStr">
        <is>
          <t>Poland</t>
        </is>
      </c>
      <c r="H4236" t="inlineStr">
        <is>
          <t>Web Store</t>
        </is>
      </c>
      <c r="I4236" t="n">
        <v>3</v>
      </c>
      <c r="J4236" s="3" t="n">
        <v>293.16</v>
      </c>
      <c r="K4236" s="3" t="n">
        <v>43.97</v>
      </c>
      <c r="L4236" s="3" t="n">
        <v>249.19</v>
      </c>
      <c r="M4236" s="3" t="n">
        <v>186.63</v>
      </c>
      <c r="N4236" s="3" t="n">
        <v>62.56</v>
      </c>
      <c r="O4236">
        <f>TEXT(A4236,"yyyy-mm")</f>
        <v/>
      </c>
    </row>
    <row r="4237">
      <c r="A4237" s="2" t="n">
        <v>46190</v>
      </c>
      <c r="B4237" t="n">
        <v>2026</v>
      </c>
      <c r="C4237" t="inlineStr">
        <is>
          <t>June</t>
        </is>
      </c>
      <c r="D4237" t="inlineStr">
        <is>
          <t>Portable Puzzle</t>
        </is>
      </c>
      <c r="E4237" t="inlineStr">
        <is>
          <t>Toys &amp; Games</t>
        </is>
      </c>
      <c r="F4237" t="inlineStr">
        <is>
          <t>Michael Martin</t>
        </is>
      </c>
      <c r="G4237" t="inlineStr">
        <is>
          <t>Germany</t>
        </is>
      </c>
      <c r="H4237" t="inlineStr">
        <is>
          <t>Marketplace</t>
        </is>
      </c>
      <c r="I4237" t="n">
        <v>5</v>
      </c>
      <c r="J4237" s="3" t="n">
        <v>1594.3</v>
      </c>
      <c r="K4237" s="3" t="n">
        <v>318.86</v>
      </c>
      <c r="L4237" s="3" t="n">
        <v>1275.44</v>
      </c>
      <c r="M4237" s="3" t="n">
        <v>868.3</v>
      </c>
      <c r="N4237" s="3" t="n">
        <v>407.14</v>
      </c>
      <c r="O4237">
        <f>TEXT(A4237,"yyyy-mm")</f>
        <v/>
      </c>
    </row>
    <row r="4238">
      <c r="A4238" s="2" t="n">
        <v>46190</v>
      </c>
      <c r="B4238" t="n">
        <v>2026</v>
      </c>
      <c r="C4238" t="inlineStr">
        <is>
          <t>June</t>
        </is>
      </c>
      <c r="D4238" t="inlineStr">
        <is>
          <t>Premium Tent</t>
        </is>
      </c>
      <c r="E4238" t="inlineStr">
        <is>
          <t>Sports &amp; Outdoors</t>
        </is>
      </c>
      <c r="F4238" t="inlineStr">
        <is>
          <t>Michael Martin</t>
        </is>
      </c>
      <c r="G4238" t="inlineStr">
        <is>
          <t>Germany</t>
        </is>
      </c>
      <c r="H4238" t="inlineStr">
        <is>
          <t>Marketplace</t>
        </is>
      </c>
      <c r="I4238" t="n">
        <v>1</v>
      </c>
      <c r="J4238" s="3" t="n">
        <v>250.2</v>
      </c>
      <c r="K4238" s="3" t="n">
        <v>0</v>
      </c>
      <c r="L4238" s="3" t="n">
        <v>250.2</v>
      </c>
      <c r="M4238" s="3" t="n">
        <v>139.04</v>
      </c>
      <c r="N4238" s="3" t="n">
        <v>111.16</v>
      </c>
      <c r="O4238">
        <f>TEXT(A4238,"yyyy-mm")</f>
        <v/>
      </c>
    </row>
    <row r="4239">
      <c r="A4239" s="2" t="n">
        <v>46190</v>
      </c>
      <c r="B4239" t="n">
        <v>2026</v>
      </c>
      <c r="C4239" t="inlineStr">
        <is>
          <t>June</t>
        </is>
      </c>
      <c r="D4239" t="inlineStr">
        <is>
          <t>Smart Coffee Beans</t>
        </is>
      </c>
      <c r="E4239" t="inlineStr">
        <is>
          <t>Grocery</t>
        </is>
      </c>
      <c r="F4239" t="inlineStr">
        <is>
          <t>Michael Martin</t>
        </is>
      </c>
      <c r="G4239" t="inlineStr">
        <is>
          <t>Germany</t>
        </is>
      </c>
      <c r="H4239" t="inlineStr">
        <is>
          <t>Marketplace</t>
        </is>
      </c>
      <c r="I4239" t="n">
        <v>2</v>
      </c>
      <c r="J4239" s="3" t="n">
        <v>223.68</v>
      </c>
      <c r="K4239" s="3" t="n">
        <v>11.18</v>
      </c>
      <c r="L4239" s="3" t="n">
        <v>212.5</v>
      </c>
      <c r="M4239" s="3" t="n">
        <v>145.7</v>
      </c>
      <c r="N4239" s="3" t="n">
        <v>66.8</v>
      </c>
      <c r="O4239">
        <f>TEXT(A4239,"yyyy-mm")</f>
        <v/>
      </c>
    </row>
    <row r="4240">
      <c r="A4240" s="2" t="n">
        <v>46190</v>
      </c>
      <c r="B4240" t="n">
        <v>2026</v>
      </c>
      <c r="C4240" t="inlineStr">
        <is>
          <t>June</t>
        </is>
      </c>
      <c r="D4240" t="inlineStr">
        <is>
          <t>Deluxe Smartwatch</t>
        </is>
      </c>
      <c r="E4240" t="inlineStr">
        <is>
          <t>Electronics</t>
        </is>
      </c>
      <c r="F4240" t="inlineStr">
        <is>
          <t>Michael Martin</t>
        </is>
      </c>
      <c r="G4240" t="inlineStr">
        <is>
          <t>Germany</t>
        </is>
      </c>
      <c r="H4240" t="inlineStr">
        <is>
          <t>Marketplace</t>
        </is>
      </c>
      <c r="I4240" t="n">
        <v>3</v>
      </c>
      <c r="J4240" s="3" t="n">
        <v>471.15</v>
      </c>
      <c r="K4240" s="3" t="n">
        <v>0</v>
      </c>
      <c r="L4240" s="3" t="n">
        <v>471.15</v>
      </c>
      <c r="M4240" s="3" t="n">
        <v>368.16</v>
      </c>
      <c r="N4240" s="3" t="n">
        <v>102.99</v>
      </c>
      <c r="O4240">
        <f>TEXT(A4240,"yyyy-mm")</f>
        <v/>
      </c>
    </row>
    <row r="4241">
      <c r="A4241" s="2" t="n">
        <v>46191</v>
      </c>
      <c r="B4241" t="n">
        <v>2026</v>
      </c>
      <c r="C4241" t="inlineStr">
        <is>
          <t>June</t>
        </is>
      </c>
      <c r="D4241" t="inlineStr">
        <is>
          <t>Essential Lamp</t>
        </is>
      </c>
      <c r="E4241" t="inlineStr">
        <is>
          <t>Home &amp; Garden</t>
        </is>
      </c>
      <c r="F4241" t="inlineStr">
        <is>
          <t>Emily Johnson</t>
        </is>
      </c>
      <c r="G4241" t="inlineStr">
        <is>
          <t>Italy</t>
        </is>
      </c>
      <c r="H4241" t="inlineStr">
        <is>
          <t>Marketplace</t>
        </is>
      </c>
      <c r="I4241" t="n">
        <v>4</v>
      </c>
      <c r="J4241" s="3" t="n">
        <v>257.44</v>
      </c>
      <c r="K4241" s="3" t="n">
        <v>0</v>
      </c>
      <c r="L4241" s="3" t="n">
        <v>257.44</v>
      </c>
      <c r="M4241" s="3" t="n">
        <v>181.6</v>
      </c>
      <c r="N4241" s="3" t="n">
        <v>75.84</v>
      </c>
      <c r="O4241">
        <f>TEXT(A4241,"yyyy-mm")</f>
        <v/>
      </c>
    </row>
    <row r="4242">
      <c r="A4242" s="2" t="n">
        <v>46191</v>
      </c>
      <c r="B4242" t="n">
        <v>2026</v>
      </c>
      <c r="C4242" t="inlineStr">
        <is>
          <t>June</t>
        </is>
      </c>
      <c r="D4242" t="inlineStr">
        <is>
          <t>Portable Speaker</t>
        </is>
      </c>
      <c r="E4242" t="inlineStr">
        <is>
          <t>Electronics</t>
        </is>
      </c>
      <c r="F4242" t="inlineStr">
        <is>
          <t>James Dubois</t>
        </is>
      </c>
      <c r="G4242" t="inlineStr">
        <is>
          <t>France</t>
        </is>
      </c>
      <c r="H4242" t="inlineStr">
        <is>
          <t>Retail Store</t>
        </is>
      </c>
      <c r="I4242" t="n">
        <v>5</v>
      </c>
      <c r="J4242" s="3" t="n">
        <v>1656.8</v>
      </c>
      <c r="K4242" s="3" t="n">
        <v>82.84</v>
      </c>
      <c r="L4242" s="3" t="n">
        <v>1573.96</v>
      </c>
      <c r="M4242" s="3" t="n">
        <v>874.15</v>
      </c>
      <c r="N4242" s="3" t="n">
        <v>699.8099999999999</v>
      </c>
      <c r="O4242">
        <f>TEXT(A4242,"yyyy-mm")</f>
        <v/>
      </c>
    </row>
    <row r="4243">
      <c r="A4243" s="2" t="n">
        <v>46191</v>
      </c>
      <c r="B4243" t="n">
        <v>2026</v>
      </c>
      <c r="C4243" t="inlineStr">
        <is>
          <t>June</t>
        </is>
      </c>
      <c r="D4243" t="inlineStr">
        <is>
          <t>Premium Rug</t>
        </is>
      </c>
      <c r="E4243" t="inlineStr">
        <is>
          <t>Home &amp; Garden</t>
        </is>
      </c>
      <c r="F4243" t="inlineStr">
        <is>
          <t>James Dubois</t>
        </is>
      </c>
      <c r="G4243" t="inlineStr">
        <is>
          <t>France</t>
        </is>
      </c>
      <c r="H4243" t="inlineStr">
        <is>
          <t>Retail Store</t>
        </is>
      </c>
      <c r="I4243" t="n">
        <v>3</v>
      </c>
      <c r="J4243" s="3" t="n">
        <v>547.5</v>
      </c>
      <c r="K4243" s="3" t="n">
        <v>54.75</v>
      </c>
      <c r="L4243" s="3" t="n">
        <v>492.75</v>
      </c>
      <c r="M4243" s="3" t="n">
        <v>333.57</v>
      </c>
      <c r="N4243" s="3" t="n">
        <v>159.18</v>
      </c>
      <c r="O4243">
        <f>TEXT(A4243,"yyyy-mm")</f>
        <v/>
      </c>
    </row>
    <row r="4244">
      <c r="A4244" s="2" t="n">
        <v>46191</v>
      </c>
      <c r="B4244" t="n">
        <v>2026</v>
      </c>
      <c r="C4244" t="inlineStr">
        <is>
          <t>June</t>
        </is>
      </c>
      <c r="D4244" t="inlineStr">
        <is>
          <t>Deluxe Puzzle</t>
        </is>
      </c>
      <c r="E4244" t="inlineStr">
        <is>
          <t>Toys &amp; Games</t>
        </is>
      </c>
      <c r="F4244" t="inlineStr">
        <is>
          <t>Paul Nowak</t>
        </is>
      </c>
      <c r="G4244" t="inlineStr">
        <is>
          <t>France</t>
        </is>
      </c>
      <c r="H4244" t="inlineStr">
        <is>
          <t>Marketplace</t>
        </is>
      </c>
      <c r="I4244" t="n">
        <v>1</v>
      </c>
      <c r="J4244" s="3" t="n">
        <v>219.37</v>
      </c>
      <c r="K4244" s="3" t="n">
        <v>0</v>
      </c>
      <c r="L4244" s="3" t="n">
        <v>219.37</v>
      </c>
      <c r="M4244" s="3" t="n">
        <v>111.17</v>
      </c>
      <c r="N4244" s="3" t="n">
        <v>108.2</v>
      </c>
      <c r="O4244">
        <f>TEXT(A4244,"yyyy-mm")</f>
        <v/>
      </c>
    </row>
    <row r="4245">
      <c r="A4245" s="2" t="n">
        <v>46191</v>
      </c>
      <c r="B4245" t="n">
        <v>2026</v>
      </c>
      <c r="C4245" t="inlineStr">
        <is>
          <t>June</t>
        </is>
      </c>
      <c r="D4245" t="inlineStr">
        <is>
          <t>Wireless Honey</t>
        </is>
      </c>
      <c r="E4245" t="inlineStr">
        <is>
          <t>Grocery</t>
        </is>
      </c>
      <c r="F4245" t="inlineStr">
        <is>
          <t>Paul Nowak</t>
        </is>
      </c>
      <c r="G4245" t="inlineStr">
        <is>
          <t>France</t>
        </is>
      </c>
      <c r="H4245" t="inlineStr">
        <is>
          <t>Marketplace</t>
        </is>
      </c>
      <c r="I4245" t="n">
        <v>1</v>
      </c>
      <c r="J4245" s="3" t="n">
        <v>134.35</v>
      </c>
      <c r="K4245" s="3" t="n">
        <v>26.87</v>
      </c>
      <c r="L4245" s="3" t="n">
        <v>107.48</v>
      </c>
      <c r="M4245" s="3" t="n">
        <v>94.06999999999999</v>
      </c>
      <c r="N4245" s="3" t="n">
        <v>13.41</v>
      </c>
      <c r="O4245">
        <f>TEXT(A4245,"yyyy-mm")</f>
        <v/>
      </c>
    </row>
    <row r="4246">
      <c r="A4246" s="2" t="n">
        <v>46192</v>
      </c>
      <c r="B4246" t="n">
        <v>2026</v>
      </c>
      <c r="C4246" t="inlineStr">
        <is>
          <t>June</t>
        </is>
      </c>
      <c r="D4246" t="inlineStr">
        <is>
          <t>Smart Camera</t>
        </is>
      </c>
      <c r="E4246" t="inlineStr">
        <is>
          <t>Electronics</t>
        </is>
      </c>
      <c r="F4246" t="inlineStr">
        <is>
          <t>Anna Bianchi</t>
        </is>
      </c>
      <c r="G4246" t="inlineStr">
        <is>
          <t>Germany</t>
        </is>
      </c>
      <c r="H4246" t="inlineStr">
        <is>
          <t>Web Store</t>
        </is>
      </c>
      <c r="I4246" t="n">
        <v>3</v>
      </c>
      <c r="J4246" s="3" t="n">
        <v>896.7</v>
      </c>
      <c r="K4246" s="3" t="n">
        <v>179.34</v>
      </c>
      <c r="L4246" s="3" t="n">
        <v>717.36</v>
      </c>
      <c r="M4246" s="3" t="n">
        <v>502.2</v>
      </c>
      <c r="N4246" s="3" t="n">
        <v>215.16</v>
      </c>
      <c r="O4246">
        <f>TEXT(A4246,"yyyy-mm")</f>
        <v/>
      </c>
    </row>
    <row r="4247">
      <c r="A4247" s="2" t="n">
        <v>46192</v>
      </c>
      <c r="B4247" t="n">
        <v>2026</v>
      </c>
      <c r="C4247" t="inlineStr">
        <is>
          <t>June</t>
        </is>
      </c>
      <c r="D4247" t="inlineStr">
        <is>
          <t>Premium Tent</t>
        </is>
      </c>
      <c r="E4247" t="inlineStr">
        <is>
          <t>Sports &amp; Outdoors</t>
        </is>
      </c>
      <c r="F4247" t="inlineStr">
        <is>
          <t>Anna Bianchi</t>
        </is>
      </c>
      <c r="G4247" t="inlineStr">
        <is>
          <t>Germany</t>
        </is>
      </c>
      <c r="H4247" t="inlineStr">
        <is>
          <t>Web Store</t>
        </is>
      </c>
      <c r="I4247" t="n">
        <v>5</v>
      </c>
      <c r="J4247" s="3" t="n">
        <v>1274.6</v>
      </c>
      <c r="K4247" s="3" t="n">
        <v>191.19</v>
      </c>
      <c r="L4247" s="3" t="n">
        <v>1083.41</v>
      </c>
      <c r="M4247" s="3" t="n">
        <v>826.55</v>
      </c>
      <c r="N4247" s="3" t="n">
        <v>256.86</v>
      </c>
      <c r="O4247">
        <f>TEXT(A4247,"yyyy-mm")</f>
        <v/>
      </c>
    </row>
    <row r="4248">
      <c r="A4248" s="2" t="n">
        <v>46192</v>
      </c>
      <c r="B4248" t="n">
        <v>2026</v>
      </c>
      <c r="C4248" t="inlineStr">
        <is>
          <t>June</t>
        </is>
      </c>
      <c r="D4248" t="inlineStr">
        <is>
          <t>Classic Coffee Beans</t>
        </is>
      </c>
      <c r="E4248" t="inlineStr">
        <is>
          <t>Grocery</t>
        </is>
      </c>
      <c r="F4248" t="inlineStr">
        <is>
          <t>Anna Bianchi</t>
        </is>
      </c>
      <c r="G4248" t="inlineStr">
        <is>
          <t>Germany</t>
        </is>
      </c>
      <c r="H4248" t="inlineStr">
        <is>
          <t>Web Store</t>
        </is>
      </c>
      <c r="I4248" t="n">
        <v>2</v>
      </c>
      <c r="J4248" s="3" t="n">
        <v>656.16</v>
      </c>
      <c r="K4248" s="3" t="n">
        <v>98.42</v>
      </c>
      <c r="L4248" s="3" t="n">
        <v>557.74</v>
      </c>
      <c r="M4248" s="3" t="n">
        <v>389.52</v>
      </c>
      <c r="N4248" s="3" t="n">
        <v>168.22</v>
      </c>
      <c r="O4248">
        <f>TEXT(A4248,"yyyy-mm")</f>
        <v/>
      </c>
    </row>
    <row r="4249">
      <c r="A4249" s="2" t="n">
        <v>46192</v>
      </c>
      <c r="B4249" t="n">
        <v>2026</v>
      </c>
      <c r="C4249" t="inlineStr">
        <is>
          <t>June</t>
        </is>
      </c>
      <c r="D4249" t="inlineStr">
        <is>
          <t>Portable Bike Helmet</t>
        </is>
      </c>
      <c r="E4249" t="inlineStr">
        <is>
          <t>Sports &amp; Outdoors</t>
        </is>
      </c>
      <c r="F4249" t="inlineStr">
        <is>
          <t>Anna Bianchi</t>
        </is>
      </c>
      <c r="G4249" t="inlineStr">
        <is>
          <t>Germany</t>
        </is>
      </c>
      <c r="H4249" t="inlineStr">
        <is>
          <t>Web Store</t>
        </is>
      </c>
      <c r="I4249" t="n">
        <v>1</v>
      </c>
      <c r="J4249" s="3" t="n">
        <v>303.96</v>
      </c>
      <c r="K4249" s="3" t="n">
        <v>45.59</v>
      </c>
      <c r="L4249" s="3" t="n">
        <v>258.37</v>
      </c>
      <c r="M4249" s="3" t="n">
        <v>165.37</v>
      </c>
      <c r="N4249" s="3" t="n">
        <v>93</v>
      </c>
      <c r="O4249">
        <f>TEXT(A4249,"yyyy-mm")</f>
        <v/>
      </c>
    </row>
    <row r="4250">
      <c r="A4250" s="2" t="n">
        <v>46192</v>
      </c>
      <c r="B4250" t="n">
        <v>2026</v>
      </c>
      <c r="C4250" t="inlineStr">
        <is>
          <t>June</t>
        </is>
      </c>
      <c r="D4250" t="inlineStr">
        <is>
          <t>Smart Tea Set</t>
        </is>
      </c>
      <c r="E4250" t="inlineStr">
        <is>
          <t>Grocery</t>
        </is>
      </c>
      <c r="F4250" t="inlineStr">
        <is>
          <t>Robert Martin</t>
        </is>
      </c>
      <c r="G4250" t="inlineStr">
        <is>
          <t>Italy</t>
        </is>
      </c>
      <c r="H4250" t="inlineStr">
        <is>
          <t>Mobile App</t>
        </is>
      </c>
      <c r="I4250" t="n">
        <v>2</v>
      </c>
      <c r="J4250" s="3" t="n">
        <v>180.82</v>
      </c>
      <c r="K4250" s="3" t="n">
        <v>27.12</v>
      </c>
      <c r="L4250" s="3" t="n">
        <v>153.7</v>
      </c>
      <c r="M4250" s="3" t="n">
        <v>123.6</v>
      </c>
      <c r="N4250" s="3" t="n">
        <v>30.1</v>
      </c>
      <c r="O4250">
        <f>TEXT(A4250,"yyyy-mm")</f>
        <v/>
      </c>
    </row>
    <row r="4251">
      <c r="A4251" s="2" t="n">
        <v>46192</v>
      </c>
      <c r="B4251" t="n">
        <v>2026</v>
      </c>
      <c r="C4251" t="inlineStr">
        <is>
          <t>June</t>
        </is>
      </c>
      <c r="D4251" t="inlineStr">
        <is>
          <t>Premium Water Bottle</t>
        </is>
      </c>
      <c r="E4251" t="inlineStr">
        <is>
          <t>Sports &amp; Outdoors</t>
        </is>
      </c>
      <c r="F4251" t="inlineStr">
        <is>
          <t>Robert Martin</t>
        </is>
      </c>
      <c r="G4251" t="inlineStr">
        <is>
          <t>Italy</t>
        </is>
      </c>
      <c r="H4251" t="inlineStr">
        <is>
          <t>Mobile App</t>
        </is>
      </c>
      <c r="I4251" t="n">
        <v>4</v>
      </c>
      <c r="J4251" s="3" t="n">
        <v>492.08</v>
      </c>
      <c r="K4251" s="3" t="n">
        <v>0</v>
      </c>
      <c r="L4251" s="3" t="n">
        <v>492.08</v>
      </c>
      <c r="M4251" s="3" t="n">
        <v>358.48</v>
      </c>
      <c r="N4251" s="3" t="n">
        <v>133.6</v>
      </c>
      <c r="O4251">
        <f>TEXT(A4251,"yyyy-mm")</f>
        <v/>
      </c>
    </row>
    <row r="4252">
      <c r="A4252" s="2" t="n">
        <v>46192</v>
      </c>
      <c r="B4252" t="n">
        <v>2026</v>
      </c>
      <c r="C4252" t="inlineStr">
        <is>
          <t>June</t>
        </is>
      </c>
      <c r="D4252" t="inlineStr">
        <is>
          <t>Wireless Coffee Beans</t>
        </is>
      </c>
      <c r="E4252" t="inlineStr">
        <is>
          <t>Grocery</t>
        </is>
      </c>
      <c r="F4252" t="inlineStr">
        <is>
          <t>Paul Wojcik</t>
        </is>
      </c>
      <c r="G4252" t="inlineStr">
        <is>
          <t>United States</t>
        </is>
      </c>
      <c r="H4252" t="inlineStr">
        <is>
          <t>Mobile App</t>
        </is>
      </c>
      <c r="I4252" t="n">
        <v>4</v>
      </c>
      <c r="J4252" s="3" t="n">
        <v>880.6</v>
      </c>
      <c r="K4252" s="3" t="n">
        <v>0</v>
      </c>
      <c r="L4252" s="3" t="n">
        <v>880.6</v>
      </c>
      <c r="M4252" s="3" t="n">
        <v>520.52</v>
      </c>
      <c r="N4252" s="3" t="n">
        <v>360.08</v>
      </c>
      <c r="O4252">
        <f>TEXT(A4252,"yyyy-mm")</f>
        <v/>
      </c>
    </row>
    <row r="4253">
      <c r="A4253" s="2" t="n">
        <v>46192</v>
      </c>
      <c r="B4253" t="n">
        <v>2026</v>
      </c>
      <c r="C4253" t="inlineStr">
        <is>
          <t>June</t>
        </is>
      </c>
      <c r="D4253" t="inlineStr">
        <is>
          <t>Eco Tent</t>
        </is>
      </c>
      <c r="E4253" t="inlineStr">
        <is>
          <t>Sports &amp; Outdoors</t>
        </is>
      </c>
      <c r="F4253" t="inlineStr">
        <is>
          <t>Nina Muller</t>
        </is>
      </c>
      <c r="G4253" t="inlineStr">
        <is>
          <t>Spain</t>
        </is>
      </c>
      <c r="H4253" t="inlineStr">
        <is>
          <t>Web Store</t>
        </is>
      </c>
      <c r="I4253" t="n">
        <v>2</v>
      </c>
      <c r="J4253" s="3" t="n">
        <v>501.96</v>
      </c>
      <c r="K4253" s="3" t="n">
        <v>25.1</v>
      </c>
      <c r="L4253" s="3" t="n">
        <v>476.86</v>
      </c>
      <c r="M4253" s="3" t="n">
        <v>270.06</v>
      </c>
      <c r="N4253" s="3" t="n">
        <v>206.8</v>
      </c>
      <c r="O4253">
        <f>TEXT(A4253,"yyyy-mm")</f>
        <v/>
      </c>
    </row>
    <row r="4254">
      <c r="A4254" s="2" t="n">
        <v>46192</v>
      </c>
      <c r="B4254" t="n">
        <v>2026</v>
      </c>
      <c r="C4254" t="inlineStr">
        <is>
          <t>June</t>
        </is>
      </c>
      <c r="D4254" t="inlineStr">
        <is>
          <t>Smart Cookbook</t>
        </is>
      </c>
      <c r="E4254" t="inlineStr">
        <is>
          <t>Books</t>
        </is>
      </c>
      <c r="F4254" t="inlineStr">
        <is>
          <t>Nina Muller</t>
        </is>
      </c>
      <c r="G4254" t="inlineStr">
        <is>
          <t>Spain</t>
        </is>
      </c>
      <c r="H4254" t="inlineStr">
        <is>
          <t>Web Store</t>
        </is>
      </c>
      <c r="I4254" t="n">
        <v>2</v>
      </c>
      <c r="J4254" s="3" t="n">
        <v>34.54</v>
      </c>
      <c r="K4254" s="3" t="n">
        <v>0</v>
      </c>
      <c r="L4254" s="3" t="n">
        <v>34.54</v>
      </c>
      <c r="M4254" s="3" t="n">
        <v>19.76</v>
      </c>
      <c r="N4254" s="3" t="n">
        <v>14.78</v>
      </c>
      <c r="O4254">
        <f>TEXT(A4254,"yyyy-mm")</f>
        <v/>
      </c>
    </row>
    <row r="4255">
      <c r="A4255" s="2" t="n">
        <v>46193</v>
      </c>
      <c r="B4255" t="n">
        <v>2026</v>
      </c>
      <c r="C4255" t="inlineStr">
        <is>
          <t>June</t>
        </is>
      </c>
      <c r="D4255" t="inlineStr">
        <is>
          <t>Compact Sunscreen</t>
        </is>
      </c>
      <c r="E4255" t="inlineStr">
        <is>
          <t>Beauty &amp; Health</t>
        </is>
      </c>
      <c r="F4255" t="inlineStr">
        <is>
          <t>David Garcia</t>
        </is>
      </c>
      <c r="G4255" t="inlineStr">
        <is>
          <t>United Kingdom</t>
        </is>
      </c>
      <c r="H4255" t="inlineStr">
        <is>
          <t>Web Store</t>
        </is>
      </c>
      <c r="I4255" t="n">
        <v>4</v>
      </c>
      <c r="J4255" s="3" t="n">
        <v>1212.68</v>
      </c>
      <c r="K4255" s="3" t="n">
        <v>121.27</v>
      </c>
      <c r="L4255" s="3" t="n">
        <v>1091.41</v>
      </c>
      <c r="M4255" s="3" t="n">
        <v>710.64</v>
      </c>
      <c r="N4255" s="3" t="n">
        <v>380.77</v>
      </c>
      <c r="O4255">
        <f>TEXT(A4255,"yyyy-mm")</f>
        <v/>
      </c>
    </row>
    <row r="4256">
      <c r="A4256" s="2" t="n">
        <v>46193</v>
      </c>
      <c r="B4256" t="n">
        <v>2026</v>
      </c>
      <c r="C4256" t="inlineStr">
        <is>
          <t>June</t>
        </is>
      </c>
      <c r="D4256" t="inlineStr">
        <is>
          <t>Smart Sweater</t>
        </is>
      </c>
      <c r="E4256" t="inlineStr">
        <is>
          <t>Clothing</t>
        </is>
      </c>
      <c r="F4256" t="inlineStr">
        <is>
          <t>David Garcia</t>
        </is>
      </c>
      <c r="G4256" t="inlineStr">
        <is>
          <t>United Kingdom</t>
        </is>
      </c>
      <c r="H4256" t="inlineStr">
        <is>
          <t>Web Store</t>
        </is>
      </c>
      <c r="I4256" t="n">
        <v>2</v>
      </c>
      <c r="J4256" s="3" t="n">
        <v>277.24</v>
      </c>
      <c r="K4256" s="3" t="n">
        <v>13.86</v>
      </c>
      <c r="L4256" s="3" t="n">
        <v>263.38</v>
      </c>
      <c r="M4256" s="3" t="n">
        <v>154.7</v>
      </c>
      <c r="N4256" s="3" t="n">
        <v>108.68</v>
      </c>
      <c r="O4256">
        <f>TEXT(A4256,"yyyy-mm")</f>
        <v/>
      </c>
    </row>
    <row r="4257">
      <c r="A4257" s="2" t="n">
        <v>46193</v>
      </c>
      <c r="B4257" t="n">
        <v>2026</v>
      </c>
      <c r="C4257" t="inlineStr">
        <is>
          <t>June</t>
        </is>
      </c>
      <c r="D4257" t="inlineStr">
        <is>
          <t>Portable Speaker</t>
        </is>
      </c>
      <c r="E4257" t="inlineStr">
        <is>
          <t>Electronics</t>
        </is>
      </c>
      <c r="F4257" t="inlineStr">
        <is>
          <t>David Garcia</t>
        </is>
      </c>
      <c r="G4257" t="inlineStr">
        <is>
          <t>United Kingdom</t>
        </is>
      </c>
      <c r="H4257" t="inlineStr">
        <is>
          <t>Web Store</t>
        </is>
      </c>
      <c r="I4257" t="n">
        <v>5</v>
      </c>
      <c r="J4257" s="3" t="n">
        <v>1666.1</v>
      </c>
      <c r="K4257" s="3" t="n">
        <v>83.3</v>
      </c>
      <c r="L4257" s="3" t="n">
        <v>1582.8</v>
      </c>
      <c r="M4257" s="3" t="n">
        <v>874.15</v>
      </c>
      <c r="N4257" s="3" t="n">
        <v>708.64</v>
      </c>
      <c r="O4257">
        <f>TEXT(A4257,"yyyy-mm")</f>
        <v/>
      </c>
    </row>
    <row r="4258">
      <c r="A4258" s="2" t="n">
        <v>46193</v>
      </c>
      <c r="B4258" t="n">
        <v>2026</v>
      </c>
      <c r="C4258" t="inlineStr">
        <is>
          <t>June</t>
        </is>
      </c>
      <c r="D4258" t="inlineStr">
        <is>
          <t>Deluxe Toolset</t>
        </is>
      </c>
      <c r="E4258" t="inlineStr">
        <is>
          <t>Home &amp; Garden</t>
        </is>
      </c>
      <c r="F4258" t="inlineStr">
        <is>
          <t>David Garcia</t>
        </is>
      </c>
      <c r="G4258" t="inlineStr">
        <is>
          <t>United Kingdom</t>
        </is>
      </c>
      <c r="H4258" t="inlineStr">
        <is>
          <t>Web Store</t>
        </is>
      </c>
      <c r="I4258" t="n">
        <v>3</v>
      </c>
      <c r="J4258" s="3" t="n">
        <v>202.92</v>
      </c>
      <c r="K4258" s="3" t="n">
        <v>20.29</v>
      </c>
      <c r="L4258" s="3" t="n">
        <v>182.63</v>
      </c>
      <c r="M4258" s="3" t="n">
        <v>143.13</v>
      </c>
      <c r="N4258" s="3" t="n">
        <v>39.5</v>
      </c>
      <c r="O4258">
        <f>TEXT(A4258,"yyyy-mm")</f>
        <v/>
      </c>
    </row>
    <row r="4259">
      <c r="A4259" s="2" t="n">
        <v>46194</v>
      </c>
      <c r="B4259" t="n">
        <v>2026</v>
      </c>
      <c r="C4259" t="inlineStr">
        <is>
          <t>June</t>
        </is>
      </c>
      <c r="D4259" t="inlineStr">
        <is>
          <t>Eco Planter</t>
        </is>
      </c>
      <c r="E4259" t="inlineStr">
        <is>
          <t>Home &amp; Garden</t>
        </is>
      </c>
      <c r="F4259" t="inlineStr">
        <is>
          <t>Nina Wojcik</t>
        </is>
      </c>
      <c r="G4259" t="inlineStr">
        <is>
          <t>Germany</t>
        </is>
      </c>
      <c r="H4259" t="inlineStr">
        <is>
          <t>Marketplace</t>
        </is>
      </c>
      <c r="I4259" t="n">
        <v>1</v>
      </c>
      <c r="J4259" s="3" t="n">
        <v>174.24</v>
      </c>
      <c r="K4259" s="3" t="n">
        <v>0</v>
      </c>
      <c r="L4259" s="3" t="n">
        <v>174.24</v>
      </c>
      <c r="M4259" s="3" t="n">
        <v>112.41</v>
      </c>
      <c r="N4259" s="3" t="n">
        <v>61.83</v>
      </c>
      <c r="O4259">
        <f>TEXT(A4259,"yyyy-mm")</f>
        <v/>
      </c>
    </row>
    <row r="4260">
      <c r="A4260" s="2" t="n">
        <v>46194</v>
      </c>
      <c r="B4260" t="n">
        <v>2026</v>
      </c>
      <c r="C4260" t="inlineStr">
        <is>
          <t>June</t>
        </is>
      </c>
      <c r="D4260" t="inlineStr">
        <is>
          <t>Wireless Drone</t>
        </is>
      </c>
      <c r="E4260" t="inlineStr">
        <is>
          <t>Toys &amp; Games</t>
        </is>
      </c>
      <c r="F4260" t="inlineStr">
        <is>
          <t>Nina Wojcik</t>
        </is>
      </c>
      <c r="G4260" t="inlineStr">
        <is>
          <t>Germany</t>
        </is>
      </c>
      <c r="H4260" t="inlineStr">
        <is>
          <t>Marketplace</t>
        </is>
      </c>
      <c r="I4260" t="n">
        <v>5</v>
      </c>
      <c r="J4260" s="3" t="n">
        <v>1155.75</v>
      </c>
      <c r="K4260" s="3" t="n">
        <v>0</v>
      </c>
      <c r="L4260" s="3" t="n">
        <v>1155.75</v>
      </c>
      <c r="M4260" s="3" t="n">
        <v>656.45</v>
      </c>
      <c r="N4260" s="3" t="n">
        <v>499.3</v>
      </c>
      <c r="O4260">
        <f>TEXT(A4260,"yyyy-mm")</f>
        <v/>
      </c>
    </row>
    <row r="4261">
      <c r="A4261" s="2" t="n">
        <v>46194</v>
      </c>
      <c r="B4261" t="n">
        <v>2026</v>
      </c>
      <c r="C4261" t="inlineStr">
        <is>
          <t>June</t>
        </is>
      </c>
      <c r="D4261" t="inlineStr">
        <is>
          <t>Ultra Vitamins</t>
        </is>
      </c>
      <c r="E4261" t="inlineStr">
        <is>
          <t>Beauty &amp; Health</t>
        </is>
      </c>
      <c r="F4261" t="inlineStr">
        <is>
          <t>Daniel Conti</t>
        </is>
      </c>
      <c r="G4261" t="inlineStr">
        <is>
          <t>United Kingdom</t>
        </is>
      </c>
      <c r="H4261" t="inlineStr">
        <is>
          <t>Web Store</t>
        </is>
      </c>
      <c r="I4261" t="n">
        <v>1</v>
      </c>
      <c r="J4261" s="3" t="n">
        <v>217.68</v>
      </c>
      <c r="K4261" s="3" t="n">
        <v>10.88</v>
      </c>
      <c r="L4261" s="3" t="n">
        <v>206.8</v>
      </c>
      <c r="M4261" s="3" t="n">
        <v>126.1</v>
      </c>
      <c r="N4261" s="3" t="n">
        <v>80.7</v>
      </c>
      <c r="O4261">
        <f>TEXT(A4261,"yyyy-mm")</f>
        <v/>
      </c>
    </row>
    <row r="4262">
      <c r="A4262" s="2" t="n">
        <v>46194</v>
      </c>
      <c r="B4262" t="n">
        <v>2026</v>
      </c>
      <c r="C4262" t="inlineStr">
        <is>
          <t>June</t>
        </is>
      </c>
      <c r="D4262" t="inlineStr">
        <is>
          <t>Portable Toolset</t>
        </is>
      </c>
      <c r="E4262" t="inlineStr">
        <is>
          <t>Home &amp; Garden</t>
        </is>
      </c>
      <c r="F4262" t="inlineStr">
        <is>
          <t>Daniel Conti</t>
        </is>
      </c>
      <c r="G4262" t="inlineStr">
        <is>
          <t>United Kingdom</t>
        </is>
      </c>
      <c r="H4262" t="inlineStr">
        <is>
          <t>Web Store</t>
        </is>
      </c>
      <c r="I4262" t="n">
        <v>2</v>
      </c>
      <c r="J4262" s="3" t="n">
        <v>177.96</v>
      </c>
      <c r="K4262" s="3" t="n">
        <v>35.59</v>
      </c>
      <c r="L4262" s="3" t="n">
        <v>142.37</v>
      </c>
      <c r="M4262" s="3" t="n">
        <v>101.08</v>
      </c>
      <c r="N4262" s="3" t="n">
        <v>41.29</v>
      </c>
      <c r="O4262">
        <f>TEXT(A4262,"yyyy-mm")</f>
        <v/>
      </c>
    </row>
    <row r="4263">
      <c r="A4263" s="2" t="n">
        <v>46194</v>
      </c>
      <c r="B4263" t="n">
        <v>2026</v>
      </c>
      <c r="C4263" t="inlineStr">
        <is>
          <t>June</t>
        </is>
      </c>
      <c r="D4263" t="inlineStr">
        <is>
          <t>Portable Puzzle</t>
        </is>
      </c>
      <c r="E4263" t="inlineStr">
        <is>
          <t>Toys &amp; Games</t>
        </is>
      </c>
      <c r="F4263" t="inlineStr">
        <is>
          <t>Thomas Kowalski</t>
        </is>
      </c>
      <c r="G4263" t="inlineStr">
        <is>
          <t>Poland</t>
        </is>
      </c>
      <c r="H4263" t="inlineStr">
        <is>
          <t>Marketplace</t>
        </is>
      </c>
      <c r="I4263" t="n">
        <v>2</v>
      </c>
      <c r="J4263" s="3" t="n">
        <v>625.78</v>
      </c>
      <c r="K4263" s="3" t="n">
        <v>0</v>
      </c>
      <c r="L4263" s="3" t="n">
        <v>625.78</v>
      </c>
      <c r="M4263" s="3" t="n">
        <v>347.32</v>
      </c>
      <c r="N4263" s="3" t="n">
        <v>278.46</v>
      </c>
      <c r="O4263">
        <f>TEXT(A4263,"yyyy-mm")</f>
        <v/>
      </c>
    </row>
    <row r="4264">
      <c r="A4264" s="2" t="n">
        <v>46194</v>
      </c>
      <c r="B4264" t="n">
        <v>2026</v>
      </c>
      <c r="C4264" t="inlineStr">
        <is>
          <t>June</t>
        </is>
      </c>
      <c r="D4264" t="inlineStr">
        <is>
          <t>Portable Toolset</t>
        </is>
      </c>
      <c r="E4264" t="inlineStr">
        <is>
          <t>Home &amp; Garden</t>
        </is>
      </c>
      <c r="F4264" t="inlineStr">
        <is>
          <t>Thomas Kowalski</t>
        </is>
      </c>
      <c r="G4264" t="inlineStr">
        <is>
          <t>Poland</t>
        </is>
      </c>
      <c r="H4264" t="inlineStr">
        <is>
          <t>Marketplace</t>
        </is>
      </c>
      <c r="I4264" t="n">
        <v>4</v>
      </c>
      <c r="J4264" s="3" t="n">
        <v>572.5599999999999</v>
      </c>
      <c r="K4264" s="3" t="n">
        <v>114.51</v>
      </c>
      <c r="L4264" s="3" t="n">
        <v>458.05</v>
      </c>
      <c r="M4264" s="3" t="n">
        <v>371.4</v>
      </c>
      <c r="N4264" s="3" t="n">
        <v>86.65000000000001</v>
      </c>
      <c r="O4264">
        <f>TEXT(A4264,"yyyy-mm")</f>
        <v/>
      </c>
    </row>
    <row r="4265">
      <c r="A4265" s="2" t="n">
        <v>46194</v>
      </c>
      <c r="B4265" t="n">
        <v>2026</v>
      </c>
      <c r="C4265" t="inlineStr">
        <is>
          <t>June</t>
        </is>
      </c>
      <c r="D4265" t="inlineStr">
        <is>
          <t>Smart Board Game</t>
        </is>
      </c>
      <c r="E4265" t="inlineStr">
        <is>
          <t>Toys &amp; Games</t>
        </is>
      </c>
      <c r="F4265" t="inlineStr">
        <is>
          <t>Thomas Kowalski</t>
        </is>
      </c>
      <c r="G4265" t="inlineStr">
        <is>
          <t>Poland</t>
        </is>
      </c>
      <c r="H4265" t="inlineStr">
        <is>
          <t>Marketplace</t>
        </is>
      </c>
      <c r="I4265" t="n">
        <v>3</v>
      </c>
      <c r="J4265" s="3" t="n">
        <v>385.08</v>
      </c>
      <c r="K4265" s="3" t="n">
        <v>57.76</v>
      </c>
      <c r="L4265" s="3" t="n">
        <v>327.32</v>
      </c>
      <c r="M4265" s="3" t="n">
        <v>275.16</v>
      </c>
      <c r="N4265" s="3" t="n">
        <v>52.16</v>
      </c>
      <c r="O4265">
        <f>TEXT(A4265,"yyyy-mm")</f>
        <v/>
      </c>
    </row>
    <row r="4266">
      <c r="A4266" s="2" t="n">
        <v>46194</v>
      </c>
      <c r="B4266" t="n">
        <v>2026</v>
      </c>
      <c r="C4266" t="inlineStr">
        <is>
          <t>June</t>
        </is>
      </c>
      <c r="D4266" t="inlineStr">
        <is>
          <t>Eco Tent</t>
        </is>
      </c>
      <c r="E4266" t="inlineStr">
        <is>
          <t>Sports &amp; Outdoors</t>
        </is>
      </c>
      <c r="F4266" t="inlineStr">
        <is>
          <t>Thomas Kowalski</t>
        </is>
      </c>
      <c r="G4266" t="inlineStr">
        <is>
          <t>Poland</t>
        </is>
      </c>
      <c r="H4266" t="inlineStr">
        <is>
          <t>Marketplace</t>
        </is>
      </c>
      <c r="I4266" t="n">
        <v>5</v>
      </c>
      <c r="J4266" s="3" t="n">
        <v>1248.25</v>
      </c>
      <c r="K4266" s="3" t="n">
        <v>187.24</v>
      </c>
      <c r="L4266" s="3" t="n">
        <v>1061.01</v>
      </c>
      <c r="M4266" s="3" t="n">
        <v>675.15</v>
      </c>
      <c r="N4266" s="3" t="n">
        <v>385.86</v>
      </c>
      <c r="O4266">
        <f>TEXT(A4266,"yyyy-mm")</f>
        <v/>
      </c>
    </row>
    <row r="4267">
      <c r="A4267" s="2" t="n">
        <v>46194</v>
      </c>
      <c r="B4267" t="n">
        <v>2026</v>
      </c>
      <c r="C4267" t="inlineStr">
        <is>
          <t>June</t>
        </is>
      </c>
      <c r="D4267" t="inlineStr">
        <is>
          <t>Classic Yoga Mat</t>
        </is>
      </c>
      <c r="E4267" t="inlineStr">
        <is>
          <t>Sports &amp; Outdoors</t>
        </is>
      </c>
      <c r="F4267" t="inlineStr">
        <is>
          <t>Olivia Fischer</t>
        </is>
      </c>
      <c r="G4267" t="inlineStr">
        <is>
          <t>France</t>
        </is>
      </c>
      <c r="H4267" t="inlineStr">
        <is>
          <t>Mobile App</t>
        </is>
      </c>
      <c r="I4267" t="n">
        <v>5</v>
      </c>
      <c r="J4267" s="3" t="n">
        <v>1585.55</v>
      </c>
      <c r="K4267" s="3" t="n">
        <v>158.56</v>
      </c>
      <c r="L4267" s="3" t="n">
        <v>1427</v>
      </c>
      <c r="M4267" s="3" t="n">
        <v>978.5</v>
      </c>
      <c r="N4267" s="3" t="n">
        <v>448.5</v>
      </c>
      <c r="O4267">
        <f>TEXT(A4267,"yyyy-mm")</f>
        <v/>
      </c>
    </row>
    <row r="4268">
      <c r="A4268" s="2" t="n">
        <v>46194</v>
      </c>
      <c r="B4268" t="n">
        <v>2026</v>
      </c>
      <c r="C4268" t="inlineStr">
        <is>
          <t>June</t>
        </is>
      </c>
      <c r="D4268" t="inlineStr">
        <is>
          <t>Essential Pasta</t>
        </is>
      </c>
      <c r="E4268" t="inlineStr">
        <is>
          <t>Grocery</t>
        </is>
      </c>
      <c r="F4268" t="inlineStr">
        <is>
          <t>Olivia Fischer</t>
        </is>
      </c>
      <c r="G4268" t="inlineStr">
        <is>
          <t>France</t>
        </is>
      </c>
      <c r="H4268" t="inlineStr">
        <is>
          <t>Mobile App</t>
        </is>
      </c>
      <c r="I4268" t="n">
        <v>3</v>
      </c>
      <c r="J4268" s="3" t="n">
        <v>159.99</v>
      </c>
      <c r="K4268" s="3" t="n">
        <v>8</v>
      </c>
      <c r="L4268" s="3" t="n">
        <v>151.99</v>
      </c>
      <c r="M4268" s="3" t="n">
        <v>107.43</v>
      </c>
      <c r="N4268" s="3" t="n">
        <v>44.56</v>
      </c>
      <c r="O4268">
        <f>TEXT(A4268,"yyyy-mm")</f>
        <v/>
      </c>
    </row>
    <row r="4269">
      <c r="A4269" s="2" t="n">
        <v>46194</v>
      </c>
      <c r="B4269" t="n">
        <v>2026</v>
      </c>
      <c r="C4269" t="inlineStr">
        <is>
          <t>June</t>
        </is>
      </c>
      <c r="D4269" t="inlineStr">
        <is>
          <t>Portable Puzzle</t>
        </is>
      </c>
      <c r="E4269" t="inlineStr">
        <is>
          <t>Toys &amp; Games</t>
        </is>
      </c>
      <c r="F4269" t="inlineStr">
        <is>
          <t>Mark Bianchi</t>
        </is>
      </c>
      <c r="G4269" t="inlineStr">
        <is>
          <t>Spain</t>
        </is>
      </c>
      <c r="H4269" t="inlineStr">
        <is>
          <t>Web Store</t>
        </is>
      </c>
      <c r="I4269" t="n">
        <v>5</v>
      </c>
      <c r="J4269" s="3" t="n">
        <v>561.9</v>
      </c>
      <c r="K4269" s="3" t="n">
        <v>112.38</v>
      </c>
      <c r="L4269" s="3" t="n">
        <v>449.52</v>
      </c>
      <c r="M4269" s="3" t="n">
        <v>294</v>
      </c>
      <c r="N4269" s="3" t="n">
        <v>155.52</v>
      </c>
      <c r="O4269">
        <f>TEXT(A4269,"yyyy-mm")</f>
        <v/>
      </c>
    </row>
    <row r="4270">
      <c r="A4270" s="2" t="n">
        <v>46194</v>
      </c>
      <c r="B4270" t="n">
        <v>2026</v>
      </c>
      <c r="C4270" t="inlineStr">
        <is>
          <t>June</t>
        </is>
      </c>
      <c r="D4270" t="inlineStr">
        <is>
          <t>Ultra Toolset</t>
        </is>
      </c>
      <c r="E4270" t="inlineStr">
        <is>
          <t>Home &amp; Garden</t>
        </is>
      </c>
      <c r="F4270" t="inlineStr">
        <is>
          <t>Mark Bianchi</t>
        </is>
      </c>
      <c r="G4270" t="inlineStr">
        <is>
          <t>Spain</t>
        </is>
      </c>
      <c r="H4270" t="inlineStr">
        <is>
          <t>Web Store</t>
        </is>
      </c>
      <c r="I4270" t="n">
        <v>5</v>
      </c>
      <c r="J4270" s="3" t="n">
        <v>1851.1</v>
      </c>
      <c r="K4270" s="3" t="n">
        <v>370.22</v>
      </c>
      <c r="L4270" s="3" t="n">
        <v>1480.88</v>
      </c>
      <c r="M4270" s="3" t="n">
        <v>952</v>
      </c>
      <c r="N4270" s="3" t="n">
        <v>528.88</v>
      </c>
      <c r="O4270">
        <f>TEXT(A4270,"yyyy-mm")</f>
        <v/>
      </c>
    </row>
    <row r="4271">
      <c r="A4271" s="2" t="n">
        <v>46194</v>
      </c>
      <c r="B4271" t="n">
        <v>2026</v>
      </c>
      <c r="C4271" t="inlineStr">
        <is>
          <t>June</t>
        </is>
      </c>
      <c r="D4271" t="inlineStr">
        <is>
          <t>Essential Toolset</t>
        </is>
      </c>
      <c r="E4271" t="inlineStr">
        <is>
          <t>Home &amp; Garden</t>
        </is>
      </c>
      <c r="F4271" t="inlineStr">
        <is>
          <t>Mark Bianchi</t>
        </is>
      </c>
      <c r="G4271" t="inlineStr">
        <is>
          <t>Spain</t>
        </is>
      </c>
      <c r="H4271" t="inlineStr">
        <is>
          <t>Web Store</t>
        </is>
      </c>
      <c r="I4271" t="n">
        <v>2</v>
      </c>
      <c r="J4271" s="3" t="n">
        <v>417.56</v>
      </c>
      <c r="K4271" s="3" t="n">
        <v>41.76</v>
      </c>
      <c r="L4271" s="3" t="n">
        <v>375.8</v>
      </c>
      <c r="M4271" s="3" t="n">
        <v>301.06</v>
      </c>
      <c r="N4271" s="3" t="n">
        <v>74.73999999999999</v>
      </c>
      <c r="O4271">
        <f>TEXT(A4271,"yyyy-mm")</f>
        <v/>
      </c>
    </row>
    <row r="4272">
      <c r="A4272" s="2" t="n">
        <v>46194</v>
      </c>
      <c r="B4272" t="n">
        <v>2026</v>
      </c>
      <c r="C4272" t="inlineStr">
        <is>
          <t>June</t>
        </is>
      </c>
      <c r="D4272" t="inlineStr">
        <is>
          <t>Essential Pasta</t>
        </is>
      </c>
      <c r="E4272" t="inlineStr">
        <is>
          <t>Grocery</t>
        </is>
      </c>
      <c r="F4272" t="inlineStr">
        <is>
          <t>Daniel Conti</t>
        </is>
      </c>
      <c r="G4272" t="inlineStr">
        <is>
          <t>United Kingdom</t>
        </is>
      </c>
      <c r="H4272" t="inlineStr">
        <is>
          <t>Web Store</t>
        </is>
      </c>
      <c r="I4272" t="n">
        <v>1</v>
      </c>
      <c r="J4272" s="3" t="n">
        <v>58.68</v>
      </c>
      <c r="K4272" s="3" t="n">
        <v>11.74</v>
      </c>
      <c r="L4272" s="3" t="n">
        <v>46.94</v>
      </c>
      <c r="M4272" s="3" t="n">
        <v>35.81</v>
      </c>
      <c r="N4272" s="3" t="n">
        <v>11.13</v>
      </c>
      <c r="O4272">
        <f>TEXT(A4272,"yyyy-mm")</f>
        <v/>
      </c>
    </row>
    <row r="4273">
      <c r="A4273" s="2" t="n">
        <v>46194</v>
      </c>
      <c r="B4273" t="n">
        <v>2026</v>
      </c>
      <c r="C4273" t="inlineStr">
        <is>
          <t>June</t>
        </is>
      </c>
      <c r="D4273" t="inlineStr">
        <is>
          <t>Wireless Cookbook</t>
        </is>
      </c>
      <c r="E4273" t="inlineStr">
        <is>
          <t>Books</t>
        </is>
      </c>
      <c r="F4273" t="inlineStr">
        <is>
          <t>Olivia Fischer</t>
        </is>
      </c>
      <c r="G4273" t="inlineStr">
        <is>
          <t>France</t>
        </is>
      </c>
      <c r="H4273" t="inlineStr">
        <is>
          <t>Mobile App</t>
        </is>
      </c>
      <c r="I4273" t="n">
        <v>3</v>
      </c>
      <c r="J4273" s="3" t="n">
        <v>235.71</v>
      </c>
      <c r="K4273" s="3" t="n">
        <v>11.79</v>
      </c>
      <c r="L4273" s="3" t="n">
        <v>223.92</v>
      </c>
      <c r="M4273" s="3" t="n">
        <v>169.83</v>
      </c>
      <c r="N4273" s="3" t="n">
        <v>54.09</v>
      </c>
      <c r="O4273">
        <f>TEXT(A4273,"yyyy-mm")</f>
        <v/>
      </c>
    </row>
    <row r="4274">
      <c r="A4274" s="2" t="n">
        <v>46194</v>
      </c>
      <c r="B4274" t="n">
        <v>2026</v>
      </c>
      <c r="C4274" t="inlineStr">
        <is>
          <t>June</t>
        </is>
      </c>
      <c r="D4274" t="inlineStr">
        <is>
          <t>Eco Backpack</t>
        </is>
      </c>
      <c r="E4274" t="inlineStr">
        <is>
          <t>Sports &amp; Outdoors</t>
        </is>
      </c>
      <c r="F4274" t="inlineStr">
        <is>
          <t>Daniel Conti</t>
        </is>
      </c>
      <c r="G4274" t="inlineStr">
        <is>
          <t>United Kingdom</t>
        </is>
      </c>
      <c r="H4274" t="inlineStr">
        <is>
          <t>Web Store</t>
        </is>
      </c>
      <c r="I4274" t="n">
        <v>5</v>
      </c>
      <c r="J4274" s="3" t="n">
        <v>1338.5</v>
      </c>
      <c r="K4274" s="3" t="n">
        <v>66.92</v>
      </c>
      <c r="L4274" s="3" t="n">
        <v>1271.58</v>
      </c>
      <c r="M4274" s="3" t="n">
        <v>732.9</v>
      </c>
      <c r="N4274" s="3" t="n">
        <v>538.67</v>
      </c>
      <c r="O4274">
        <f>TEXT(A4274,"yyyy-mm")</f>
        <v/>
      </c>
    </row>
    <row r="4275">
      <c r="A4275" s="2" t="n">
        <v>46194</v>
      </c>
      <c r="B4275" t="n">
        <v>2026</v>
      </c>
      <c r="C4275" t="inlineStr">
        <is>
          <t>June</t>
        </is>
      </c>
      <c r="D4275" t="inlineStr">
        <is>
          <t>Smart Jeans</t>
        </is>
      </c>
      <c r="E4275" t="inlineStr">
        <is>
          <t>Clothing</t>
        </is>
      </c>
      <c r="F4275" t="inlineStr">
        <is>
          <t>Olivia Fischer</t>
        </is>
      </c>
      <c r="G4275" t="inlineStr">
        <is>
          <t>France</t>
        </is>
      </c>
      <c r="H4275" t="inlineStr">
        <is>
          <t>Mobile App</t>
        </is>
      </c>
      <c r="I4275" t="n">
        <v>1</v>
      </c>
      <c r="J4275" s="3" t="n">
        <v>299.17</v>
      </c>
      <c r="K4275" s="3" t="n">
        <v>59.83</v>
      </c>
      <c r="L4275" s="3" t="n">
        <v>239.34</v>
      </c>
      <c r="M4275" s="3" t="n">
        <v>193.64</v>
      </c>
      <c r="N4275" s="3" t="n">
        <v>45.7</v>
      </c>
      <c r="O4275">
        <f>TEXT(A4275,"yyyy-mm")</f>
        <v/>
      </c>
    </row>
    <row r="4276">
      <c r="A4276" s="2" t="n">
        <v>46195</v>
      </c>
      <c r="B4276" t="n">
        <v>2026</v>
      </c>
      <c r="C4276" t="inlineStr">
        <is>
          <t>June</t>
        </is>
      </c>
      <c r="D4276" t="inlineStr">
        <is>
          <t>Smart Honey</t>
        </is>
      </c>
      <c r="E4276" t="inlineStr">
        <is>
          <t>Grocery</t>
        </is>
      </c>
      <c r="F4276" t="inlineStr">
        <is>
          <t>Robert Rossi</t>
        </is>
      </c>
      <c r="G4276" t="inlineStr">
        <is>
          <t>United States</t>
        </is>
      </c>
      <c r="H4276" t="inlineStr">
        <is>
          <t>Mobile App</t>
        </is>
      </c>
      <c r="I4276" t="n">
        <v>3</v>
      </c>
      <c r="J4276" s="3" t="n">
        <v>387.39</v>
      </c>
      <c r="K4276" s="3" t="n">
        <v>58.11</v>
      </c>
      <c r="L4276" s="3" t="n">
        <v>329.28</v>
      </c>
      <c r="M4276" s="3" t="n">
        <v>214.32</v>
      </c>
      <c r="N4276" s="3" t="n">
        <v>114.96</v>
      </c>
      <c r="O4276">
        <f>TEXT(A4276,"yyyy-mm")</f>
        <v/>
      </c>
    </row>
    <row r="4277">
      <c r="A4277" s="2" t="n">
        <v>46195</v>
      </c>
      <c r="B4277" t="n">
        <v>2026</v>
      </c>
      <c r="C4277" t="inlineStr">
        <is>
          <t>June</t>
        </is>
      </c>
      <c r="D4277" t="inlineStr">
        <is>
          <t>Ultra Backpack</t>
        </is>
      </c>
      <c r="E4277" t="inlineStr">
        <is>
          <t>Sports &amp; Outdoors</t>
        </is>
      </c>
      <c r="F4277" t="inlineStr">
        <is>
          <t>Robert Rossi</t>
        </is>
      </c>
      <c r="G4277" t="inlineStr">
        <is>
          <t>United States</t>
        </is>
      </c>
      <c r="H4277" t="inlineStr">
        <is>
          <t>Mobile App</t>
        </is>
      </c>
      <c r="I4277" t="n">
        <v>3</v>
      </c>
      <c r="J4277" s="3" t="n">
        <v>962.76</v>
      </c>
      <c r="K4277" s="3" t="n">
        <v>96.28</v>
      </c>
      <c r="L4277" s="3" t="n">
        <v>866.48</v>
      </c>
      <c r="M4277" s="3" t="n">
        <v>521.0700000000001</v>
      </c>
      <c r="N4277" s="3" t="n">
        <v>345.41</v>
      </c>
      <c r="O4277">
        <f>TEXT(A4277,"yyyy-mm")</f>
        <v/>
      </c>
    </row>
    <row r="4278">
      <c r="A4278" s="2" t="n">
        <v>46195</v>
      </c>
      <c r="B4278" t="n">
        <v>2026</v>
      </c>
      <c r="C4278" t="inlineStr">
        <is>
          <t>June</t>
        </is>
      </c>
      <c r="D4278" t="inlineStr">
        <is>
          <t>Smart Puzzle</t>
        </is>
      </c>
      <c r="E4278" t="inlineStr">
        <is>
          <t>Toys &amp; Games</t>
        </is>
      </c>
      <c r="F4278" t="inlineStr">
        <is>
          <t>Emma Rossi</t>
        </is>
      </c>
      <c r="G4278" t="inlineStr">
        <is>
          <t>France</t>
        </is>
      </c>
      <c r="H4278" t="inlineStr">
        <is>
          <t>Web Store</t>
        </is>
      </c>
      <c r="I4278" t="n">
        <v>1</v>
      </c>
      <c r="J4278" s="3" t="n">
        <v>264.9</v>
      </c>
      <c r="K4278" s="3" t="n">
        <v>13.24</v>
      </c>
      <c r="L4278" s="3" t="n">
        <v>251.65</v>
      </c>
      <c r="M4278" s="3" t="n">
        <v>192.76</v>
      </c>
      <c r="N4278" s="3" t="n">
        <v>58.89</v>
      </c>
      <c r="O4278">
        <f>TEXT(A4278,"yyyy-mm")</f>
        <v/>
      </c>
    </row>
    <row r="4279">
      <c r="A4279" s="2" t="n">
        <v>46195</v>
      </c>
      <c r="B4279" t="n">
        <v>2026</v>
      </c>
      <c r="C4279" t="inlineStr">
        <is>
          <t>June</t>
        </is>
      </c>
      <c r="D4279" t="inlineStr">
        <is>
          <t>Essential Toolset</t>
        </is>
      </c>
      <c r="E4279" t="inlineStr">
        <is>
          <t>Home &amp; Garden</t>
        </is>
      </c>
      <c r="F4279" t="inlineStr">
        <is>
          <t>Michael Martin</t>
        </is>
      </c>
      <c r="G4279" t="inlineStr">
        <is>
          <t>Germany</t>
        </is>
      </c>
      <c r="H4279" t="inlineStr">
        <is>
          <t>Web Store</t>
        </is>
      </c>
      <c r="I4279" t="n">
        <v>3</v>
      </c>
      <c r="J4279" s="3" t="n">
        <v>626.61</v>
      </c>
      <c r="K4279" s="3" t="n">
        <v>93.98999999999999</v>
      </c>
      <c r="L4279" s="3" t="n">
        <v>532.62</v>
      </c>
      <c r="M4279" s="3" t="n">
        <v>451.59</v>
      </c>
      <c r="N4279" s="3" t="n">
        <v>81.03</v>
      </c>
      <c r="O4279">
        <f>TEXT(A4279,"yyyy-mm")</f>
        <v/>
      </c>
    </row>
    <row r="4280">
      <c r="A4280" s="2" t="n">
        <v>46195</v>
      </c>
      <c r="B4280" t="n">
        <v>2026</v>
      </c>
      <c r="C4280" t="inlineStr">
        <is>
          <t>June</t>
        </is>
      </c>
      <c r="D4280" t="inlineStr">
        <is>
          <t>Eco Planter</t>
        </is>
      </c>
      <c r="E4280" t="inlineStr">
        <is>
          <t>Home &amp; Garden</t>
        </is>
      </c>
      <c r="F4280" t="inlineStr">
        <is>
          <t>Michael Martin</t>
        </is>
      </c>
      <c r="G4280" t="inlineStr">
        <is>
          <t>Germany</t>
        </is>
      </c>
      <c r="H4280" t="inlineStr">
        <is>
          <t>Web Store</t>
        </is>
      </c>
      <c r="I4280" t="n">
        <v>5</v>
      </c>
      <c r="J4280" s="3" t="n">
        <v>881.95</v>
      </c>
      <c r="K4280" s="3" t="n">
        <v>176.39</v>
      </c>
      <c r="L4280" s="3" t="n">
        <v>705.5599999999999</v>
      </c>
      <c r="M4280" s="3" t="n">
        <v>562.05</v>
      </c>
      <c r="N4280" s="3" t="n">
        <v>143.51</v>
      </c>
      <c r="O4280">
        <f>TEXT(A4280,"yyyy-mm")</f>
        <v/>
      </c>
    </row>
    <row r="4281">
      <c r="A4281" s="2" t="n">
        <v>46195</v>
      </c>
      <c r="B4281" t="n">
        <v>2026</v>
      </c>
      <c r="C4281" t="inlineStr">
        <is>
          <t>June</t>
        </is>
      </c>
      <c r="D4281" t="inlineStr">
        <is>
          <t>Premium Water Bottle</t>
        </is>
      </c>
      <c r="E4281" t="inlineStr">
        <is>
          <t>Sports &amp; Outdoors</t>
        </is>
      </c>
      <c r="F4281" t="inlineStr">
        <is>
          <t>Michael Martin</t>
        </is>
      </c>
      <c r="G4281" t="inlineStr">
        <is>
          <t>Germany</t>
        </is>
      </c>
      <c r="H4281" t="inlineStr">
        <is>
          <t>Web Store</t>
        </is>
      </c>
      <c r="I4281" t="n">
        <v>3</v>
      </c>
      <c r="J4281" s="3" t="n">
        <v>91.17</v>
      </c>
      <c r="K4281" s="3" t="n">
        <v>9.119999999999999</v>
      </c>
      <c r="L4281" s="3" t="n">
        <v>82.05</v>
      </c>
      <c r="M4281" s="3" t="n">
        <v>49.89</v>
      </c>
      <c r="N4281" s="3" t="n">
        <v>32.16</v>
      </c>
      <c r="O4281">
        <f>TEXT(A4281,"yyyy-mm")</f>
        <v/>
      </c>
    </row>
    <row r="4282">
      <c r="A4282" s="2" t="n">
        <v>46195</v>
      </c>
      <c r="B4282" t="n">
        <v>2026</v>
      </c>
      <c r="C4282" t="inlineStr">
        <is>
          <t>June</t>
        </is>
      </c>
      <c r="D4282" t="inlineStr">
        <is>
          <t>Premium Water Bottle</t>
        </is>
      </c>
      <c r="E4282" t="inlineStr">
        <is>
          <t>Sports &amp; Outdoors</t>
        </is>
      </c>
      <c r="F4282" t="inlineStr">
        <is>
          <t>Michael Martin</t>
        </is>
      </c>
      <c r="G4282" t="inlineStr">
        <is>
          <t>Germany</t>
        </is>
      </c>
      <c r="H4282" t="inlineStr">
        <is>
          <t>Web Store</t>
        </is>
      </c>
      <c r="I4282" t="n">
        <v>2</v>
      </c>
      <c r="J4282" s="3" t="n">
        <v>232.5</v>
      </c>
      <c r="K4282" s="3" t="n">
        <v>34.88</v>
      </c>
      <c r="L4282" s="3" t="n">
        <v>197.62</v>
      </c>
      <c r="M4282" s="3" t="n">
        <v>179.24</v>
      </c>
      <c r="N4282" s="3" t="n">
        <v>18.38</v>
      </c>
      <c r="O4282">
        <f>TEXT(A4282,"yyyy-mm")</f>
        <v/>
      </c>
    </row>
    <row r="4283">
      <c r="A4283" s="2" t="n">
        <v>46196</v>
      </c>
      <c r="B4283" t="n">
        <v>2026</v>
      </c>
      <c r="C4283" t="inlineStr">
        <is>
          <t>June</t>
        </is>
      </c>
      <c r="D4283" t="inlineStr">
        <is>
          <t>Portable Toolset</t>
        </is>
      </c>
      <c r="E4283" t="inlineStr">
        <is>
          <t>Home &amp; Garden</t>
        </is>
      </c>
      <c r="F4283" t="inlineStr">
        <is>
          <t>Sophie Martin</t>
        </is>
      </c>
      <c r="G4283" t="inlineStr">
        <is>
          <t>Italy</t>
        </is>
      </c>
      <c r="H4283" t="inlineStr">
        <is>
          <t>Web Store</t>
        </is>
      </c>
      <c r="I4283" t="n">
        <v>5</v>
      </c>
      <c r="J4283" s="3" t="n">
        <v>745.35</v>
      </c>
      <c r="K4283" s="3" t="n">
        <v>0</v>
      </c>
      <c r="L4283" s="3" t="n">
        <v>745.35</v>
      </c>
      <c r="M4283" s="3" t="n">
        <v>464.25</v>
      </c>
      <c r="N4283" s="3" t="n">
        <v>281.1</v>
      </c>
      <c r="O4283">
        <f>TEXT(A4283,"yyyy-mm")</f>
        <v/>
      </c>
    </row>
    <row r="4284">
      <c r="A4284" s="2" t="n">
        <v>46196</v>
      </c>
      <c r="B4284" t="n">
        <v>2026</v>
      </c>
      <c r="C4284" t="inlineStr">
        <is>
          <t>June</t>
        </is>
      </c>
      <c r="D4284" t="inlineStr">
        <is>
          <t>Smart Puzzle</t>
        </is>
      </c>
      <c r="E4284" t="inlineStr">
        <is>
          <t>Toys &amp; Games</t>
        </is>
      </c>
      <c r="F4284" t="inlineStr">
        <is>
          <t>Sophie Martin</t>
        </is>
      </c>
      <c r="G4284" t="inlineStr">
        <is>
          <t>Italy</t>
        </is>
      </c>
      <c r="H4284" t="inlineStr">
        <is>
          <t>Web Store</t>
        </is>
      </c>
      <c r="I4284" t="n">
        <v>4</v>
      </c>
      <c r="J4284" s="3" t="n">
        <v>1084.72</v>
      </c>
      <c r="K4284" s="3" t="n">
        <v>108.47</v>
      </c>
      <c r="L4284" s="3" t="n">
        <v>976.25</v>
      </c>
      <c r="M4284" s="3" t="n">
        <v>771.04</v>
      </c>
      <c r="N4284" s="3" t="n">
        <v>205.21</v>
      </c>
      <c r="O4284">
        <f>TEXT(A4284,"yyyy-mm")</f>
        <v/>
      </c>
    </row>
    <row r="4285">
      <c r="A4285" s="2" t="n">
        <v>46196</v>
      </c>
      <c r="B4285" t="n">
        <v>2026</v>
      </c>
      <c r="C4285" t="inlineStr">
        <is>
          <t>June</t>
        </is>
      </c>
      <c r="D4285" t="inlineStr">
        <is>
          <t>Portable Toolset</t>
        </is>
      </c>
      <c r="E4285" t="inlineStr">
        <is>
          <t>Home &amp; Garden</t>
        </is>
      </c>
      <c r="F4285" t="inlineStr">
        <is>
          <t>Sophie Martin</t>
        </is>
      </c>
      <c r="G4285" t="inlineStr">
        <is>
          <t>Italy</t>
        </is>
      </c>
      <c r="H4285" t="inlineStr">
        <is>
          <t>Web Store</t>
        </is>
      </c>
      <c r="I4285" t="n">
        <v>3</v>
      </c>
      <c r="J4285" s="3" t="n">
        <v>258.27</v>
      </c>
      <c r="K4285" s="3" t="n">
        <v>0</v>
      </c>
      <c r="L4285" s="3" t="n">
        <v>258.27</v>
      </c>
      <c r="M4285" s="3" t="n">
        <v>151.62</v>
      </c>
      <c r="N4285" s="3" t="n">
        <v>106.65</v>
      </c>
      <c r="O4285">
        <f>TEXT(A4285,"yyyy-mm")</f>
        <v/>
      </c>
    </row>
    <row r="4286">
      <c r="A4286" s="2" t="n">
        <v>46196</v>
      </c>
      <c r="B4286" t="n">
        <v>2026</v>
      </c>
      <c r="C4286" t="inlineStr">
        <is>
          <t>June</t>
        </is>
      </c>
      <c r="D4286" t="inlineStr">
        <is>
          <t>Portable Puzzle</t>
        </is>
      </c>
      <c r="E4286" t="inlineStr">
        <is>
          <t>Toys &amp; Games</t>
        </is>
      </c>
      <c r="F4286" t="inlineStr">
        <is>
          <t>Sophie Martin</t>
        </is>
      </c>
      <c r="G4286" t="inlineStr">
        <is>
          <t>Italy</t>
        </is>
      </c>
      <c r="H4286" t="inlineStr">
        <is>
          <t>Web Store</t>
        </is>
      </c>
      <c r="I4286" t="n">
        <v>2</v>
      </c>
      <c r="J4286" s="3" t="n">
        <v>606.4</v>
      </c>
      <c r="K4286" s="3" t="n">
        <v>0</v>
      </c>
      <c r="L4286" s="3" t="n">
        <v>606.4</v>
      </c>
      <c r="M4286" s="3" t="n">
        <v>347.32</v>
      </c>
      <c r="N4286" s="3" t="n">
        <v>259.08</v>
      </c>
      <c r="O4286">
        <f>TEXT(A4286,"yyyy-mm")</f>
        <v/>
      </c>
    </row>
    <row r="4287">
      <c r="A4287" s="2" t="n">
        <v>46196</v>
      </c>
      <c r="B4287" t="n">
        <v>2026</v>
      </c>
      <c r="C4287" t="inlineStr">
        <is>
          <t>June</t>
        </is>
      </c>
      <c r="D4287" t="inlineStr">
        <is>
          <t>Portable Toolset</t>
        </is>
      </c>
      <c r="E4287" t="inlineStr">
        <is>
          <t>Home &amp; Garden</t>
        </is>
      </c>
      <c r="F4287" t="inlineStr">
        <is>
          <t>Emily Brown</t>
        </is>
      </c>
      <c r="G4287" t="inlineStr">
        <is>
          <t>United States</t>
        </is>
      </c>
      <c r="H4287" t="inlineStr">
        <is>
          <t>Mobile App</t>
        </is>
      </c>
      <c r="I4287" t="n">
        <v>2</v>
      </c>
      <c r="J4287" s="3" t="n">
        <v>299.82</v>
      </c>
      <c r="K4287" s="3" t="n">
        <v>29.98</v>
      </c>
      <c r="L4287" s="3" t="n">
        <v>269.84</v>
      </c>
      <c r="M4287" s="3" t="n">
        <v>185.7</v>
      </c>
      <c r="N4287" s="3" t="n">
        <v>84.14</v>
      </c>
      <c r="O4287">
        <f>TEXT(A4287,"yyyy-mm")</f>
        <v/>
      </c>
    </row>
    <row r="4288">
      <c r="A4288" s="2" t="n">
        <v>46196</v>
      </c>
      <c r="B4288" t="n">
        <v>2026</v>
      </c>
      <c r="C4288" t="inlineStr">
        <is>
          <t>June</t>
        </is>
      </c>
      <c r="D4288" t="inlineStr">
        <is>
          <t>Classic Yoga Mat</t>
        </is>
      </c>
      <c r="E4288" t="inlineStr">
        <is>
          <t>Sports &amp; Outdoors</t>
        </is>
      </c>
      <c r="F4288" t="inlineStr">
        <is>
          <t>Emily Brown</t>
        </is>
      </c>
      <c r="G4288" t="inlineStr">
        <is>
          <t>United States</t>
        </is>
      </c>
      <c r="H4288" t="inlineStr">
        <is>
          <t>Mobile App</t>
        </is>
      </c>
      <c r="I4288" t="n">
        <v>5</v>
      </c>
      <c r="J4288" s="3" t="n">
        <v>1654.25</v>
      </c>
      <c r="K4288" s="3" t="n">
        <v>165.42</v>
      </c>
      <c r="L4288" s="3" t="n">
        <v>1488.82</v>
      </c>
      <c r="M4288" s="3" t="n">
        <v>978.5</v>
      </c>
      <c r="N4288" s="3" t="n">
        <v>510.33</v>
      </c>
      <c r="O4288">
        <f>TEXT(A4288,"yyyy-mm")</f>
        <v/>
      </c>
    </row>
    <row r="4289">
      <c r="A4289" s="2" t="n">
        <v>46196</v>
      </c>
      <c r="B4289" t="n">
        <v>2026</v>
      </c>
      <c r="C4289" t="inlineStr">
        <is>
          <t>June</t>
        </is>
      </c>
      <c r="D4289" t="inlineStr">
        <is>
          <t>Deluxe Notebook</t>
        </is>
      </c>
      <c r="E4289" t="inlineStr">
        <is>
          <t>Books</t>
        </is>
      </c>
      <c r="F4289" t="inlineStr">
        <is>
          <t>David Dubois</t>
        </is>
      </c>
      <c r="G4289" t="inlineStr">
        <is>
          <t>United Kingdom</t>
        </is>
      </c>
      <c r="H4289" t="inlineStr">
        <is>
          <t>Marketplace</t>
        </is>
      </c>
      <c r="I4289" t="n">
        <v>5</v>
      </c>
      <c r="J4289" s="3" t="n">
        <v>1026.95</v>
      </c>
      <c r="K4289" s="3" t="n">
        <v>154.04</v>
      </c>
      <c r="L4289" s="3" t="n">
        <v>872.91</v>
      </c>
      <c r="M4289" s="3" t="n">
        <v>753.8</v>
      </c>
      <c r="N4289" s="3" t="n">
        <v>119.11</v>
      </c>
      <c r="O4289">
        <f>TEXT(A4289,"yyyy-mm")</f>
        <v/>
      </c>
    </row>
    <row r="4290">
      <c r="A4290" s="2" t="n">
        <v>46196</v>
      </c>
      <c r="B4290" t="n">
        <v>2026</v>
      </c>
      <c r="C4290" t="inlineStr">
        <is>
          <t>June</t>
        </is>
      </c>
      <c r="D4290" t="inlineStr">
        <is>
          <t>Smart Charger</t>
        </is>
      </c>
      <c r="E4290" t="inlineStr">
        <is>
          <t>Electronics</t>
        </is>
      </c>
      <c r="F4290" t="inlineStr">
        <is>
          <t>David Dubois</t>
        </is>
      </c>
      <c r="G4290" t="inlineStr">
        <is>
          <t>United Kingdom</t>
        </is>
      </c>
      <c r="H4290" t="inlineStr">
        <is>
          <t>Marketplace</t>
        </is>
      </c>
      <c r="I4290" t="n">
        <v>4</v>
      </c>
      <c r="J4290" s="3" t="n">
        <v>165.4</v>
      </c>
      <c r="K4290" s="3" t="n">
        <v>0</v>
      </c>
      <c r="L4290" s="3" t="n">
        <v>165.4</v>
      </c>
      <c r="M4290" s="3" t="n">
        <v>110.56</v>
      </c>
      <c r="N4290" s="3" t="n">
        <v>54.84</v>
      </c>
      <c r="O4290">
        <f>TEXT(A4290,"yyyy-mm")</f>
        <v/>
      </c>
    </row>
    <row r="4291">
      <c r="A4291" s="2" t="n">
        <v>46197</v>
      </c>
      <c r="B4291" t="n">
        <v>2026</v>
      </c>
      <c r="C4291" t="inlineStr">
        <is>
          <t>June</t>
        </is>
      </c>
      <c r="D4291" t="inlineStr">
        <is>
          <t>Deluxe Headphones</t>
        </is>
      </c>
      <c r="E4291" t="inlineStr">
        <is>
          <t>Electronics</t>
        </is>
      </c>
      <c r="F4291" t="inlineStr">
        <is>
          <t>Maria Martin</t>
        </is>
      </c>
      <c r="G4291" t="inlineStr">
        <is>
          <t>Germany</t>
        </is>
      </c>
      <c r="H4291" t="inlineStr">
        <is>
          <t>Marketplace</t>
        </is>
      </c>
      <c r="I4291" t="n">
        <v>5</v>
      </c>
      <c r="J4291" s="3" t="n">
        <v>361.35</v>
      </c>
      <c r="K4291" s="3" t="n">
        <v>18.07</v>
      </c>
      <c r="L4291" s="3" t="n">
        <v>343.28</v>
      </c>
      <c r="M4291" s="3" t="n">
        <v>262.5</v>
      </c>
      <c r="N4291" s="3" t="n">
        <v>80.78</v>
      </c>
      <c r="O4291">
        <f>TEXT(A4291,"yyyy-mm")</f>
        <v/>
      </c>
    </row>
    <row r="4292">
      <c r="A4292" s="2" t="n">
        <v>46197</v>
      </c>
      <c r="B4292" t="n">
        <v>2026</v>
      </c>
      <c r="C4292" t="inlineStr">
        <is>
          <t>June</t>
        </is>
      </c>
      <c r="D4292" t="inlineStr">
        <is>
          <t>Wireless Drone</t>
        </is>
      </c>
      <c r="E4292" t="inlineStr">
        <is>
          <t>Toys &amp; Games</t>
        </is>
      </c>
      <c r="F4292" t="inlineStr">
        <is>
          <t>Clara Nowak</t>
        </is>
      </c>
      <c r="G4292" t="inlineStr">
        <is>
          <t>United Kingdom</t>
        </is>
      </c>
      <c r="H4292" t="inlineStr">
        <is>
          <t>Web Store</t>
        </is>
      </c>
      <c r="I4292" t="n">
        <v>2</v>
      </c>
      <c r="J4292" s="3" t="n">
        <v>440.92</v>
      </c>
      <c r="K4292" s="3" t="n">
        <v>0</v>
      </c>
      <c r="L4292" s="3" t="n">
        <v>440.92</v>
      </c>
      <c r="M4292" s="3" t="n">
        <v>262.58</v>
      </c>
      <c r="N4292" s="3" t="n">
        <v>178.34</v>
      </c>
      <c r="O4292">
        <f>TEXT(A4292,"yyyy-mm")</f>
        <v/>
      </c>
    </row>
    <row r="4293">
      <c r="A4293" s="2" t="n">
        <v>46197</v>
      </c>
      <c r="B4293" t="n">
        <v>2026</v>
      </c>
      <c r="C4293" t="inlineStr">
        <is>
          <t>June</t>
        </is>
      </c>
      <c r="D4293" t="inlineStr">
        <is>
          <t>Essential Vitamins</t>
        </is>
      </c>
      <c r="E4293" t="inlineStr">
        <is>
          <t>Beauty &amp; Health</t>
        </is>
      </c>
      <c r="F4293" t="inlineStr">
        <is>
          <t>Clara Nowak</t>
        </is>
      </c>
      <c r="G4293" t="inlineStr">
        <is>
          <t>United Kingdom</t>
        </is>
      </c>
      <c r="H4293" t="inlineStr">
        <is>
          <t>Web Store</t>
        </is>
      </c>
      <c r="I4293" t="n">
        <v>5</v>
      </c>
      <c r="J4293" s="3" t="n">
        <v>886.65</v>
      </c>
      <c r="K4293" s="3" t="n">
        <v>177.33</v>
      </c>
      <c r="L4293" s="3" t="n">
        <v>709.3200000000001</v>
      </c>
      <c r="M4293" s="3" t="n">
        <v>551.5</v>
      </c>
      <c r="N4293" s="3" t="n">
        <v>157.82</v>
      </c>
      <c r="O4293">
        <f>TEXT(A4293,"yyyy-mm")</f>
        <v/>
      </c>
    </row>
    <row r="4294">
      <c r="A4294" s="2" t="n">
        <v>46197</v>
      </c>
      <c r="B4294" t="n">
        <v>2026</v>
      </c>
      <c r="C4294" t="inlineStr">
        <is>
          <t>June</t>
        </is>
      </c>
      <c r="D4294" t="inlineStr">
        <is>
          <t>Smart Sweater</t>
        </is>
      </c>
      <c r="E4294" t="inlineStr">
        <is>
          <t>Clothing</t>
        </is>
      </c>
      <c r="F4294" t="inlineStr">
        <is>
          <t>Daniel Zielinski</t>
        </is>
      </c>
      <c r="G4294" t="inlineStr">
        <is>
          <t>United States</t>
        </is>
      </c>
      <c r="H4294" t="inlineStr">
        <is>
          <t>Web Store</t>
        </is>
      </c>
      <c r="I4294" t="n">
        <v>1</v>
      </c>
      <c r="J4294" s="3" t="n">
        <v>151.33</v>
      </c>
      <c r="K4294" s="3" t="n">
        <v>7.57</v>
      </c>
      <c r="L4294" s="3" t="n">
        <v>143.76</v>
      </c>
      <c r="M4294" s="3" t="n">
        <v>77.34999999999999</v>
      </c>
      <c r="N4294" s="3" t="n">
        <v>66.41</v>
      </c>
      <c r="O4294">
        <f>TEXT(A4294,"yyyy-mm")</f>
        <v/>
      </c>
    </row>
    <row r="4295">
      <c r="A4295" s="2" t="n">
        <v>46197</v>
      </c>
      <c r="B4295" t="n">
        <v>2026</v>
      </c>
      <c r="C4295" t="inlineStr">
        <is>
          <t>June</t>
        </is>
      </c>
      <c r="D4295" t="inlineStr">
        <is>
          <t>Smart Drone</t>
        </is>
      </c>
      <c r="E4295" t="inlineStr">
        <is>
          <t>Toys &amp; Games</t>
        </is>
      </c>
      <c r="F4295" t="inlineStr">
        <is>
          <t>Daniel Zielinski</t>
        </is>
      </c>
      <c r="G4295" t="inlineStr">
        <is>
          <t>United States</t>
        </is>
      </c>
      <c r="H4295" t="inlineStr">
        <is>
          <t>Web Store</t>
        </is>
      </c>
      <c r="I4295" t="n">
        <v>4</v>
      </c>
      <c r="J4295" s="3" t="n">
        <v>929.4</v>
      </c>
      <c r="K4295" s="3" t="n">
        <v>185.88</v>
      </c>
      <c r="L4295" s="3" t="n">
        <v>743.52</v>
      </c>
      <c r="M4295" s="3" t="n">
        <v>507.8</v>
      </c>
      <c r="N4295" s="3" t="n">
        <v>235.72</v>
      </c>
      <c r="O4295">
        <f>TEXT(A4295,"yyyy-mm")</f>
        <v/>
      </c>
    </row>
    <row r="4296">
      <c r="A4296" s="2" t="n">
        <v>46197</v>
      </c>
      <c r="B4296" t="n">
        <v>2026</v>
      </c>
      <c r="C4296" t="inlineStr">
        <is>
          <t>June</t>
        </is>
      </c>
      <c r="D4296" t="inlineStr">
        <is>
          <t>Portable Toolset</t>
        </is>
      </c>
      <c r="E4296" t="inlineStr">
        <is>
          <t>Home &amp; Garden</t>
        </is>
      </c>
      <c r="F4296" t="inlineStr">
        <is>
          <t>John Lopez</t>
        </is>
      </c>
      <c r="G4296" t="inlineStr">
        <is>
          <t>Germany</t>
        </is>
      </c>
      <c r="H4296" t="inlineStr">
        <is>
          <t>Retail Store</t>
        </is>
      </c>
      <c r="I4296" t="n">
        <v>4</v>
      </c>
      <c r="J4296" s="3" t="n">
        <v>344.04</v>
      </c>
      <c r="K4296" s="3" t="n">
        <v>17.2</v>
      </c>
      <c r="L4296" s="3" t="n">
        <v>326.84</v>
      </c>
      <c r="M4296" s="3" t="n">
        <v>202.16</v>
      </c>
      <c r="N4296" s="3" t="n">
        <v>124.68</v>
      </c>
      <c r="O4296">
        <f>TEXT(A4296,"yyyy-mm")</f>
        <v/>
      </c>
    </row>
    <row r="4297">
      <c r="A4297" s="2" t="n">
        <v>46197</v>
      </c>
      <c r="B4297" t="n">
        <v>2026</v>
      </c>
      <c r="C4297" t="inlineStr">
        <is>
          <t>June</t>
        </is>
      </c>
      <c r="D4297" t="inlineStr">
        <is>
          <t>Portable Toolset</t>
        </is>
      </c>
      <c r="E4297" t="inlineStr">
        <is>
          <t>Home &amp; Garden</t>
        </is>
      </c>
      <c r="F4297" t="inlineStr">
        <is>
          <t>John Lopez</t>
        </is>
      </c>
      <c r="G4297" t="inlineStr">
        <is>
          <t>Germany</t>
        </is>
      </c>
      <c r="H4297" t="inlineStr">
        <is>
          <t>Retail Store</t>
        </is>
      </c>
      <c r="I4297" t="n">
        <v>4</v>
      </c>
      <c r="J4297" s="3" t="n">
        <v>564.16</v>
      </c>
      <c r="K4297" s="3" t="n">
        <v>0</v>
      </c>
      <c r="L4297" s="3" t="n">
        <v>564.16</v>
      </c>
      <c r="M4297" s="3" t="n">
        <v>371.4</v>
      </c>
      <c r="N4297" s="3" t="n">
        <v>192.76</v>
      </c>
      <c r="O4297">
        <f>TEXT(A4297,"yyyy-mm")</f>
        <v/>
      </c>
    </row>
    <row r="4298">
      <c r="A4298" s="2" t="n">
        <v>46197</v>
      </c>
      <c r="B4298" t="n">
        <v>2026</v>
      </c>
      <c r="C4298" t="inlineStr">
        <is>
          <t>June</t>
        </is>
      </c>
      <c r="D4298" t="inlineStr">
        <is>
          <t>Essential Charger</t>
        </is>
      </c>
      <c r="E4298" t="inlineStr">
        <is>
          <t>Electronics</t>
        </is>
      </c>
      <c r="F4298" t="inlineStr">
        <is>
          <t>Maria Rossi</t>
        </is>
      </c>
      <c r="G4298" t="inlineStr">
        <is>
          <t>Spain</t>
        </is>
      </c>
      <c r="H4298" t="inlineStr">
        <is>
          <t>Mobile App</t>
        </is>
      </c>
      <c r="I4298" t="n">
        <v>1</v>
      </c>
      <c r="J4298" s="3" t="n">
        <v>43.54</v>
      </c>
      <c r="K4298" s="3" t="n">
        <v>8.710000000000001</v>
      </c>
      <c r="L4298" s="3" t="n">
        <v>34.83</v>
      </c>
      <c r="M4298" s="3" t="n">
        <v>29.1</v>
      </c>
      <c r="N4298" s="3" t="n">
        <v>5.73</v>
      </c>
      <c r="O4298">
        <f>TEXT(A4298,"yyyy-mm")</f>
        <v/>
      </c>
    </row>
    <row r="4299">
      <c r="A4299" s="2" t="n">
        <v>46197</v>
      </c>
      <c r="B4299" t="n">
        <v>2026</v>
      </c>
      <c r="C4299" t="inlineStr">
        <is>
          <t>June</t>
        </is>
      </c>
      <c r="D4299" t="inlineStr">
        <is>
          <t>Portable Bike Helmet</t>
        </is>
      </c>
      <c r="E4299" t="inlineStr">
        <is>
          <t>Sports &amp; Outdoors</t>
        </is>
      </c>
      <c r="F4299" t="inlineStr">
        <is>
          <t>Maria Rossi</t>
        </is>
      </c>
      <c r="G4299" t="inlineStr">
        <is>
          <t>Spain</t>
        </is>
      </c>
      <c r="H4299" t="inlineStr">
        <is>
          <t>Mobile App</t>
        </is>
      </c>
      <c r="I4299" t="n">
        <v>4</v>
      </c>
      <c r="J4299" s="3" t="n">
        <v>1210.44</v>
      </c>
      <c r="K4299" s="3" t="n">
        <v>242.09</v>
      </c>
      <c r="L4299" s="3" t="n">
        <v>968.35</v>
      </c>
      <c r="M4299" s="3" t="n">
        <v>661.48</v>
      </c>
      <c r="N4299" s="3" t="n">
        <v>306.87</v>
      </c>
      <c r="O4299">
        <f>TEXT(A4299,"yyyy-mm")</f>
        <v/>
      </c>
    </row>
    <row r="4300">
      <c r="A4300" s="2" t="n">
        <v>46197</v>
      </c>
      <c r="B4300" t="n">
        <v>2026</v>
      </c>
      <c r="C4300" t="inlineStr">
        <is>
          <t>June</t>
        </is>
      </c>
      <c r="D4300" t="inlineStr">
        <is>
          <t>Essential Planter</t>
        </is>
      </c>
      <c r="E4300" t="inlineStr">
        <is>
          <t>Home &amp; Garden</t>
        </is>
      </c>
      <c r="F4300" t="inlineStr">
        <is>
          <t>John Lopez</t>
        </is>
      </c>
      <c r="G4300" t="inlineStr">
        <is>
          <t>Germany</t>
        </is>
      </c>
      <c r="H4300" t="inlineStr">
        <is>
          <t>Retail Store</t>
        </is>
      </c>
      <c r="I4300" t="n">
        <v>2</v>
      </c>
      <c r="J4300" s="3" t="n">
        <v>49.4</v>
      </c>
      <c r="K4300" s="3" t="n">
        <v>9.880000000000001</v>
      </c>
      <c r="L4300" s="3" t="n">
        <v>39.52</v>
      </c>
      <c r="M4300" s="3" t="n">
        <v>39.28</v>
      </c>
      <c r="N4300" s="3" t="n">
        <v>0.24</v>
      </c>
      <c r="O4300">
        <f>TEXT(A4300,"yyyy-mm")</f>
        <v/>
      </c>
    </row>
    <row r="4301">
      <c r="A4301" s="2" t="n">
        <v>46197</v>
      </c>
      <c r="B4301" t="n">
        <v>2026</v>
      </c>
      <c r="C4301" t="inlineStr">
        <is>
          <t>June</t>
        </is>
      </c>
      <c r="D4301" t="inlineStr">
        <is>
          <t>Ultra Rug</t>
        </is>
      </c>
      <c r="E4301" t="inlineStr">
        <is>
          <t>Home &amp; Garden</t>
        </is>
      </c>
      <c r="F4301" t="inlineStr">
        <is>
          <t>John Lopez</t>
        </is>
      </c>
      <c r="G4301" t="inlineStr">
        <is>
          <t>Germany</t>
        </is>
      </c>
      <c r="H4301" t="inlineStr">
        <is>
          <t>Retail Store</t>
        </is>
      </c>
      <c r="I4301" t="n">
        <v>1</v>
      </c>
      <c r="J4301" s="3" t="n">
        <v>50.63</v>
      </c>
      <c r="K4301" s="3" t="n">
        <v>0</v>
      </c>
      <c r="L4301" s="3" t="n">
        <v>50.63</v>
      </c>
      <c r="M4301" s="3" t="n">
        <v>32.91</v>
      </c>
      <c r="N4301" s="3" t="n">
        <v>17.72</v>
      </c>
      <c r="O4301">
        <f>TEXT(A4301,"yyyy-mm")</f>
        <v/>
      </c>
    </row>
    <row r="4302">
      <c r="A4302" s="2" t="n">
        <v>46198</v>
      </c>
      <c r="B4302" t="n">
        <v>2026</v>
      </c>
      <c r="C4302" t="inlineStr">
        <is>
          <t>June</t>
        </is>
      </c>
      <c r="D4302" t="inlineStr">
        <is>
          <t>Ultra Rug</t>
        </is>
      </c>
      <c r="E4302" t="inlineStr">
        <is>
          <t>Home &amp; Garden</t>
        </is>
      </c>
      <c r="F4302" t="inlineStr">
        <is>
          <t>Daniel Zielinski</t>
        </is>
      </c>
      <c r="G4302" t="inlineStr">
        <is>
          <t>United States</t>
        </is>
      </c>
      <c r="H4302" t="inlineStr">
        <is>
          <t>Mobile App</t>
        </is>
      </c>
      <c r="I4302" t="n">
        <v>4</v>
      </c>
      <c r="J4302" s="3" t="n">
        <v>210.16</v>
      </c>
      <c r="K4302" s="3" t="n">
        <v>21.02</v>
      </c>
      <c r="L4302" s="3" t="n">
        <v>189.14</v>
      </c>
      <c r="M4302" s="3" t="n">
        <v>131.64</v>
      </c>
      <c r="N4302" s="3" t="n">
        <v>57.5</v>
      </c>
      <c r="O4302">
        <f>TEXT(A4302,"yyyy-mm")</f>
        <v/>
      </c>
    </row>
    <row r="4303">
      <c r="A4303" s="2" t="n">
        <v>46198</v>
      </c>
      <c r="B4303" t="n">
        <v>2026</v>
      </c>
      <c r="C4303" t="inlineStr">
        <is>
          <t>June</t>
        </is>
      </c>
      <c r="D4303" t="inlineStr">
        <is>
          <t>Eco Sweater</t>
        </is>
      </c>
      <c r="E4303" t="inlineStr">
        <is>
          <t>Clothing</t>
        </is>
      </c>
      <c r="F4303" t="inlineStr">
        <is>
          <t>Daniel Zielinski</t>
        </is>
      </c>
      <c r="G4303" t="inlineStr">
        <is>
          <t>United States</t>
        </is>
      </c>
      <c r="H4303" t="inlineStr">
        <is>
          <t>Mobile App</t>
        </is>
      </c>
      <c r="I4303" t="n">
        <v>5</v>
      </c>
      <c r="J4303" s="3" t="n">
        <v>786.45</v>
      </c>
      <c r="K4303" s="3" t="n">
        <v>117.97</v>
      </c>
      <c r="L4303" s="3" t="n">
        <v>668.48</v>
      </c>
      <c r="M4303" s="3" t="n">
        <v>521.15</v>
      </c>
      <c r="N4303" s="3" t="n">
        <v>147.33</v>
      </c>
      <c r="O4303">
        <f>TEXT(A4303,"yyyy-mm")</f>
        <v/>
      </c>
    </row>
    <row r="4304">
      <c r="A4304" s="2" t="n">
        <v>46198</v>
      </c>
      <c r="B4304" t="n">
        <v>2026</v>
      </c>
      <c r="C4304" t="inlineStr">
        <is>
          <t>June</t>
        </is>
      </c>
      <c r="D4304" t="inlineStr">
        <is>
          <t>Smart Olive Oil</t>
        </is>
      </c>
      <c r="E4304" t="inlineStr">
        <is>
          <t>Grocery</t>
        </is>
      </c>
      <c r="F4304" t="inlineStr">
        <is>
          <t>Daniel Zielinski</t>
        </is>
      </c>
      <c r="G4304" t="inlineStr">
        <is>
          <t>United States</t>
        </is>
      </c>
      <c r="H4304" t="inlineStr">
        <is>
          <t>Mobile App</t>
        </is>
      </c>
      <c r="I4304" t="n">
        <v>3</v>
      </c>
      <c r="J4304" s="3" t="n">
        <v>486.72</v>
      </c>
      <c r="K4304" s="3" t="n">
        <v>73.01000000000001</v>
      </c>
      <c r="L4304" s="3" t="n">
        <v>413.71</v>
      </c>
      <c r="M4304" s="3" t="n">
        <v>330.06</v>
      </c>
      <c r="N4304" s="3" t="n">
        <v>83.65000000000001</v>
      </c>
      <c r="O4304">
        <f>TEXT(A4304,"yyyy-mm")</f>
        <v/>
      </c>
    </row>
    <row r="4305">
      <c r="A4305" s="2" t="n">
        <v>46198</v>
      </c>
      <c r="B4305" t="n">
        <v>2026</v>
      </c>
      <c r="C4305" t="inlineStr">
        <is>
          <t>June</t>
        </is>
      </c>
      <c r="D4305" t="inlineStr">
        <is>
          <t>Premium Rug</t>
        </is>
      </c>
      <c r="E4305" t="inlineStr">
        <is>
          <t>Home &amp; Garden</t>
        </is>
      </c>
      <c r="F4305" t="inlineStr">
        <is>
          <t>Daniel Zielinski</t>
        </is>
      </c>
      <c r="G4305" t="inlineStr">
        <is>
          <t>United States</t>
        </is>
      </c>
      <c r="H4305" t="inlineStr">
        <is>
          <t>Mobile App</t>
        </is>
      </c>
      <c r="I4305" t="n">
        <v>5</v>
      </c>
      <c r="J4305" s="3" t="n">
        <v>967.75</v>
      </c>
      <c r="K4305" s="3" t="n">
        <v>48.39</v>
      </c>
      <c r="L4305" s="3" t="n">
        <v>919.36</v>
      </c>
      <c r="M4305" s="3" t="n">
        <v>555.95</v>
      </c>
      <c r="N4305" s="3" t="n">
        <v>363.41</v>
      </c>
      <c r="O4305">
        <f>TEXT(A4305,"yyyy-mm")</f>
        <v/>
      </c>
    </row>
    <row r="4306">
      <c r="A4306" s="2" t="n">
        <v>46198</v>
      </c>
      <c r="B4306" t="n">
        <v>2026</v>
      </c>
      <c r="C4306" t="inlineStr">
        <is>
          <t>June</t>
        </is>
      </c>
      <c r="D4306" t="inlineStr">
        <is>
          <t>Premium Water Bottle</t>
        </is>
      </c>
      <c r="E4306" t="inlineStr">
        <is>
          <t>Sports &amp; Outdoors</t>
        </is>
      </c>
      <c r="F4306" t="inlineStr">
        <is>
          <t>Maria Rossi</t>
        </is>
      </c>
      <c r="G4306" t="inlineStr">
        <is>
          <t>Spain</t>
        </is>
      </c>
      <c r="H4306" t="inlineStr">
        <is>
          <t>Retail Store</t>
        </is>
      </c>
      <c r="I4306" t="n">
        <v>1</v>
      </c>
      <c r="J4306" s="3" t="n">
        <v>315.5</v>
      </c>
      <c r="K4306" s="3" t="n">
        <v>0</v>
      </c>
      <c r="L4306" s="3" t="n">
        <v>315.5</v>
      </c>
      <c r="M4306" s="3" t="n">
        <v>181.16</v>
      </c>
      <c r="N4306" s="3" t="n">
        <v>134.34</v>
      </c>
      <c r="O4306">
        <f>TEXT(A4306,"yyyy-mm")</f>
        <v/>
      </c>
    </row>
    <row r="4307">
      <c r="A4307" s="2" t="n">
        <v>46198</v>
      </c>
      <c r="B4307" t="n">
        <v>2026</v>
      </c>
      <c r="C4307" t="inlineStr">
        <is>
          <t>June</t>
        </is>
      </c>
      <c r="D4307" t="inlineStr">
        <is>
          <t>Portable Toolset</t>
        </is>
      </c>
      <c r="E4307" t="inlineStr">
        <is>
          <t>Home &amp; Garden</t>
        </is>
      </c>
      <c r="F4307" t="inlineStr">
        <is>
          <t>Maria Rossi</t>
        </is>
      </c>
      <c r="G4307" t="inlineStr">
        <is>
          <t>Spain</t>
        </is>
      </c>
      <c r="H4307" t="inlineStr">
        <is>
          <t>Retail Store</t>
        </is>
      </c>
      <c r="I4307" t="n">
        <v>2</v>
      </c>
      <c r="J4307" s="3" t="n">
        <v>181.34</v>
      </c>
      <c r="K4307" s="3" t="n">
        <v>0</v>
      </c>
      <c r="L4307" s="3" t="n">
        <v>181.34</v>
      </c>
      <c r="M4307" s="3" t="n">
        <v>101.08</v>
      </c>
      <c r="N4307" s="3" t="n">
        <v>80.26000000000001</v>
      </c>
      <c r="O4307">
        <f>TEXT(A4307,"yyyy-mm")</f>
        <v/>
      </c>
    </row>
    <row r="4308">
      <c r="A4308" s="2" t="n">
        <v>46198</v>
      </c>
      <c r="B4308" t="n">
        <v>2026</v>
      </c>
      <c r="C4308" t="inlineStr">
        <is>
          <t>June</t>
        </is>
      </c>
      <c r="D4308" t="inlineStr">
        <is>
          <t>Wireless Backpack</t>
        </is>
      </c>
      <c r="E4308" t="inlineStr">
        <is>
          <t>Sports &amp; Outdoors</t>
        </is>
      </c>
      <c r="F4308" t="inlineStr">
        <is>
          <t>John Weber</t>
        </is>
      </c>
      <c r="G4308" t="inlineStr">
        <is>
          <t>Italy</t>
        </is>
      </c>
      <c r="H4308" t="inlineStr">
        <is>
          <t>Mobile App</t>
        </is>
      </c>
      <c r="I4308" t="n">
        <v>2</v>
      </c>
      <c r="J4308" s="3" t="n">
        <v>103.62</v>
      </c>
      <c r="K4308" s="3" t="n">
        <v>10.36</v>
      </c>
      <c r="L4308" s="3" t="n">
        <v>93.26000000000001</v>
      </c>
      <c r="M4308" s="3" t="n">
        <v>56.2</v>
      </c>
      <c r="N4308" s="3" t="n">
        <v>37.06</v>
      </c>
      <c r="O4308">
        <f>TEXT(A4308,"yyyy-mm")</f>
        <v/>
      </c>
    </row>
    <row r="4309">
      <c r="A4309" s="2" t="n">
        <v>46198</v>
      </c>
      <c r="B4309" t="n">
        <v>2026</v>
      </c>
      <c r="C4309" t="inlineStr">
        <is>
          <t>June</t>
        </is>
      </c>
      <c r="D4309" t="inlineStr">
        <is>
          <t>Essential Pasta</t>
        </is>
      </c>
      <c r="E4309" t="inlineStr">
        <is>
          <t>Grocery</t>
        </is>
      </c>
      <c r="F4309" t="inlineStr">
        <is>
          <t>John Weber</t>
        </is>
      </c>
      <c r="G4309" t="inlineStr">
        <is>
          <t>Italy</t>
        </is>
      </c>
      <c r="H4309" t="inlineStr">
        <is>
          <t>Mobile App</t>
        </is>
      </c>
      <c r="I4309" t="n">
        <v>5</v>
      </c>
      <c r="J4309" s="3" t="n">
        <v>292.1</v>
      </c>
      <c r="K4309" s="3" t="n">
        <v>43.82</v>
      </c>
      <c r="L4309" s="3" t="n">
        <v>248.29</v>
      </c>
      <c r="M4309" s="3" t="n">
        <v>179.05</v>
      </c>
      <c r="N4309" s="3" t="n">
        <v>69.23999999999999</v>
      </c>
      <c r="O4309">
        <f>TEXT(A4309,"yyyy-mm")</f>
        <v/>
      </c>
    </row>
    <row r="4310">
      <c r="A4310" s="2" t="n">
        <v>46198</v>
      </c>
      <c r="B4310" t="n">
        <v>2026</v>
      </c>
      <c r="C4310" t="inlineStr">
        <is>
          <t>June</t>
        </is>
      </c>
      <c r="D4310" t="inlineStr">
        <is>
          <t>Classic Sunscreen</t>
        </is>
      </c>
      <c r="E4310" t="inlineStr">
        <is>
          <t>Beauty &amp; Health</t>
        </is>
      </c>
      <c r="F4310" t="inlineStr">
        <is>
          <t>John Weber</t>
        </is>
      </c>
      <c r="G4310" t="inlineStr">
        <is>
          <t>Italy</t>
        </is>
      </c>
      <c r="H4310" t="inlineStr">
        <is>
          <t>Mobile App</t>
        </is>
      </c>
      <c r="I4310" t="n">
        <v>5</v>
      </c>
      <c r="J4310" s="3" t="n">
        <v>701.4</v>
      </c>
      <c r="K4310" s="3" t="n">
        <v>0</v>
      </c>
      <c r="L4310" s="3" t="n">
        <v>701.4</v>
      </c>
      <c r="M4310" s="3" t="n">
        <v>468.45</v>
      </c>
      <c r="N4310" s="3" t="n">
        <v>232.95</v>
      </c>
      <c r="O4310">
        <f>TEXT(A4310,"yyyy-mm")</f>
        <v/>
      </c>
    </row>
    <row r="4311">
      <c r="A4311" s="2" t="n">
        <v>46198</v>
      </c>
      <c r="B4311" t="n">
        <v>2026</v>
      </c>
      <c r="C4311" t="inlineStr">
        <is>
          <t>June</t>
        </is>
      </c>
      <c r="D4311" t="inlineStr">
        <is>
          <t>Compact Sunscreen</t>
        </is>
      </c>
      <c r="E4311" t="inlineStr">
        <is>
          <t>Beauty &amp; Health</t>
        </is>
      </c>
      <c r="F4311" t="inlineStr">
        <is>
          <t>John Weber</t>
        </is>
      </c>
      <c r="G4311" t="inlineStr">
        <is>
          <t>Italy</t>
        </is>
      </c>
      <c r="H4311" t="inlineStr">
        <is>
          <t>Mobile App</t>
        </is>
      </c>
      <c r="I4311" t="n">
        <v>2</v>
      </c>
      <c r="J4311" s="3" t="n">
        <v>580.22</v>
      </c>
      <c r="K4311" s="3" t="n">
        <v>0</v>
      </c>
      <c r="L4311" s="3" t="n">
        <v>580.22</v>
      </c>
      <c r="M4311" s="3" t="n">
        <v>355.32</v>
      </c>
      <c r="N4311" s="3" t="n">
        <v>224.9</v>
      </c>
      <c r="O4311">
        <f>TEXT(A4311,"yyyy-mm")</f>
        <v/>
      </c>
    </row>
    <row r="4312">
      <c r="A4312" s="2" t="n">
        <v>46199</v>
      </c>
      <c r="B4312" t="n">
        <v>2026</v>
      </c>
      <c r="C4312" t="inlineStr">
        <is>
          <t>June</t>
        </is>
      </c>
      <c r="D4312" t="inlineStr">
        <is>
          <t>Smart Charger</t>
        </is>
      </c>
      <c r="E4312" t="inlineStr">
        <is>
          <t>Electronics</t>
        </is>
      </c>
      <c r="F4312" t="inlineStr">
        <is>
          <t>Emily Wojcik</t>
        </is>
      </c>
      <c r="G4312" t="inlineStr">
        <is>
          <t>Germany</t>
        </is>
      </c>
      <c r="H4312" t="inlineStr">
        <is>
          <t>Web Store</t>
        </is>
      </c>
      <c r="I4312" t="n">
        <v>1</v>
      </c>
      <c r="J4312" s="3" t="n">
        <v>249.01</v>
      </c>
      <c r="K4312" s="3" t="n">
        <v>0</v>
      </c>
      <c r="L4312" s="3" t="n">
        <v>249.01</v>
      </c>
      <c r="M4312" s="3" t="n">
        <v>142.52</v>
      </c>
      <c r="N4312" s="3" t="n">
        <v>106.49</v>
      </c>
      <c r="O4312">
        <f>TEXT(A4312,"yyyy-mm")</f>
        <v/>
      </c>
    </row>
    <row r="4313">
      <c r="A4313" s="2" t="n">
        <v>46199</v>
      </c>
      <c r="B4313" t="n">
        <v>2026</v>
      </c>
      <c r="C4313" t="inlineStr">
        <is>
          <t>June</t>
        </is>
      </c>
      <c r="D4313" t="inlineStr">
        <is>
          <t>Portable Toolset</t>
        </is>
      </c>
      <c r="E4313" t="inlineStr">
        <is>
          <t>Home &amp; Garden</t>
        </is>
      </c>
      <c r="F4313" t="inlineStr">
        <is>
          <t>Clara Dubois</t>
        </is>
      </c>
      <c r="G4313" t="inlineStr">
        <is>
          <t>Poland</t>
        </is>
      </c>
      <c r="H4313" t="inlineStr">
        <is>
          <t>Marketplace</t>
        </is>
      </c>
      <c r="I4313" t="n">
        <v>5</v>
      </c>
      <c r="J4313" s="3" t="n">
        <v>753.6</v>
      </c>
      <c r="K4313" s="3" t="n">
        <v>75.36</v>
      </c>
      <c r="L4313" s="3" t="n">
        <v>678.24</v>
      </c>
      <c r="M4313" s="3" t="n">
        <v>464.25</v>
      </c>
      <c r="N4313" s="3" t="n">
        <v>213.99</v>
      </c>
      <c r="O4313">
        <f>TEXT(A4313,"yyyy-mm")</f>
        <v/>
      </c>
    </row>
    <row r="4314">
      <c r="A4314" s="2" t="n">
        <v>46199</v>
      </c>
      <c r="B4314" t="n">
        <v>2026</v>
      </c>
      <c r="C4314" t="inlineStr">
        <is>
          <t>June</t>
        </is>
      </c>
      <c r="D4314" t="inlineStr">
        <is>
          <t>Eco Drone</t>
        </is>
      </c>
      <c r="E4314" t="inlineStr">
        <is>
          <t>Toys &amp; Games</t>
        </is>
      </c>
      <c r="F4314" t="inlineStr">
        <is>
          <t>Clara Dubois</t>
        </is>
      </c>
      <c r="G4314" t="inlineStr">
        <is>
          <t>Poland</t>
        </is>
      </c>
      <c r="H4314" t="inlineStr">
        <is>
          <t>Marketplace</t>
        </is>
      </c>
      <c r="I4314" t="n">
        <v>1</v>
      </c>
      <c r="J4314" s="3" t="n">
        <v>206.09</v>
      </c>
      <c r="K4314" s="3" t="n">
        <v>0</v>
      </c>
      <c r="L4314" s="3" t="n">
        <v>206.09</v>
      </c>
      <c r="M4314" s="3" t="n">
        <v>129.59</v>
      </c>
      <c r="N4314" s="3" t="n">
        <v>76.5</v>
      </c>
      <c r="O4314">
        <f>TEXT(A4314,"yyyy-mm")</f>
        <v/>
      </c>
    </row>
    <row r="4315">
      <c r="A4315" s="2" t="n">
        <v>46199</v>
      </c>
      <c r="B4315" t="n">
        <v>2026</v>
      </c>
      <c r="C4315" t="inlineStr">
        <is>
          <t>June</t>
        </is>
      </c>
      <c r="D4315" t="inlineStr">
        <is>
          <t>Portable Notebook</t>
        </is>
      </c>
      <c r="E4315" t="inlineStr">
        <is>
          <t>Books</t>
        </is>
      </c>
      <c r="F4315" t="inlineStr">
        <is>
          <t>Clara Dubois</t>
        </is>
      </c>
      <c r="G4315" t="inlineStr">
        <is>
          <t>Poland</t>
        </is>
      </c>
      <c r="H4315" t="inlineStr">
        <is>
          <t>Marketplace</t>
        </is>
      </c>
      <c r="I4315" t="n">
        <v>3</v>
      </c>
      <c r="J4315" s="3" t="n">
        <v>368.13</v>
      </c>
      <c r="K4315" s="3" t="n">
        <v>55.22</v>
      </c>
      <c r="L4315" s="3" t="n">
        <v>312.91</v>
      </c>
      <c r="M4315" s="3" t="n">
        <v>213.84</v>
      </c>
      <c r="N4315" s="3" t="n">
        <v>99.06999999999999</v>
      </c>
      <c r="O4315">
        <f>TEXT(A4315,"yyyy-mm")</f>
        <v/>
      </c>
    </row>
    <row r="4316">
      <c r="A4316" s="2" t="n">
        <v>46199</v>
      </c>
      <c r="B4316" t="n">
        <v>2026</v>
      </c>
      <c r="C4316" t="inlineStr">
        <is>
          <t>June</t>
        </is>
      </c>
      <c r="D4316" t="inlineStr">
        <is>
          <t>Wireless Coffee Beans</t>
        </is>
      </c>
      <c r="E4316" t="inlineStr">
        <is>
          <t>Grocery</t>
        </is>
      </c>
      <c r="F4316" t="inlineStr">
        <is>
          <t>Clara Dubois</t>
        </is>
      </c>
      <c r="G4316" t="inlineStr">
        <is>
          <t>Poland</t>
        </is>
      </c>
      <c r="H4316" t="inlineStr">
        <is>
          <t>Marketplace</t>
        </is>
      </c>
      <c r="I4316" t="n">
        <v>5</v>
      </c>
      <c r="J4316" s="3" t="n">
        <v>1026.95</v>
      </c>
      <c r="K4316" s="3" t="n">
        <v>154.04</v>
      </c>
      <c r="L4316" s="3" t="n">
        <v>872.91</v>
      </c>
      <c r="M4316" s="3" t="n">
        <v>650.65</v>
      </c>
      <c r="N4316" s="3" t="n">
        <v>222.26</v>
      </c>
      <c r="O4316">
        <f>TEXT(A4316,"yyyy-mm")</f>
        <v/>
      </c>
    </row>
    <row r="4317">
      <c r="A4317" s="2" t="n">
        <v>46200</v>
      </c>
      <c r="B4317" t="n">
        <v>2026</v>
      </c>
      <c r="C4317" t="inlineStr">
        <is>
          <t>June</t>
        </is>
      </c>
      <c r="D4317" t="inlineStr">
        <is>
          <t>Portable Speaker</t>
        </is>
      </c>
      <c r="E4317" t="inlineStr">
        <is>
          <t>Electronics</t>
        </is>
      </c>
      <c r="F4317" t="inlineStr">
        <is>
          <t>Thomas Conti</t>
        </is>
      </c>
      <c r="G4317" t="inlineStr">
        <is>
          <t>United States</t>
        </is>
      </c>
      <c r="H4317" t="inlineStr">
        <is>
          <t>Retail Store</t>
        </is>
      </c>
      <c r="I4317" t="n">
        <v>5</v>
      </c>
      <c r="J4317" s="3" t="n">
        <v>1633.4</v>
      </c>
      <c r="K4317" s="3" t="n">
        <v>0</v>
      </c>
      <c r="L4317" s="3" t="n">
        <v>1633.4</v>
      </c>
      <c r="M4317" s="3" t="n">
        <v>874.15</v>
      </c>
      <c r="N4317" s="3" t="n">
        <v>759.25</v>
      </c>
      <c r="O4317">
        <f>TEXT(A4317,"yyyy-mm")</f>
        <v/>
      </c>
    </row>
    <row r="4318">
      <c r="A4318" s="2" t="n">
        <v>46200</v>
      </c>
      <c r="B4318" t="n">
        <v>2026</v>
      </c>
      <c r="C4318" t="inlineStr">
        <is>
          <t>June</t>
        </is>
      </c>
      <c r="D4318" t="inlineStr">
        <is>
          <t>Wireless Drone</t>
        </is>
      </c>
      <c r="E4318" t="inlineStr">
        <is>
          <t>Toys &amp; Games</t>
        </is>
      </c>
      <c r="F4318" t="inlineStr">
        <is>
          <t>Thomas Bianchi</t>
        </is>
      </c>
      <c r="G4318" t="inlineStr">
        <is>
          <t>Germany</t>
        </is>
      </c>
      <c r="H4318" t="inlineStr">
        <is>
          <t>Mobile App</t>
        </is>
      </c>
      <c r="I4318" t="n">
        <v>1</v>
      </c>
      <c r="J4318" s="3" t="n">
        <v>215.69</v>
      </c>
      <c r="K4318" s="3" t="n">
        <v>32.35</v>
      </c>
      <c r="L4318" s="3" t="n">
        <v>183.34</v>
      </c>
      <c r="M4318" s="3" t="n">
        <v>131.29</v>
      </c>
      <c r="N4318" s="3" t="n">
        <v>52.05</v>
      </c>
      <c r="O4318">
        <f>TEXT(A4318,"yyyy-mm")</f>
        <v/>
      </c>
    </row>
    <row r="4319">
      <c r="A4319" s="2" t="n">
        <v>46200</v>
      </c>
      <c r="B4319" t="n">
        <v>2026</v>
      </c>
      <c r="C4319" t="inlineStr">
        <is>
          <t>June</t>
        </is>
      </c>
      <c r="D4319" t="inlineStr">
        <is>
          <t>Classic Tea Set</t>
        </is>
      </c>
      <c r="E4319" t="inlineStr">
        <is>
          <t>Grocery</t>
        </is>
      </c>
      <c r="F4319" t="inlineStr">
        <is>
          <t>Michael Martin</t>
        </is>
      </c>
      <c r="G4319" t="inlineStr">
        <is>
          <t>Italy</t>
        </is>
      </c>
      <c r="H4319" t="inlineStr">
        <is>
          <t>Retail Store</t>
        </is>
      </c>
      <c r="I4319" t="n">
        <v>3</v>
      </c>
      <c r="J4319" s="3" t="n">
        <v>547.2</v>
      </c>
      <c r="K4319" s="3" t="n">
        <v>82.08</v>
      </c>
      <c r="L4319" s="3" t="n">
        <v>465.12</v>
      </c>
      <c r="M4319" s="3" t="n">
        <v>376.2</v>
      </c>
      <c r="N4319" s="3" t="n">
        <v>88.92</v>
      </c>
      <c r="O4319">
        <f>TEXT(A4319,"yyyy-mm")</f>
        <v/>
      </c>
    </row>
    <row r="4320">
      <c r="A4320" s="2" t="n">
        <v>46200</v>
      </c>
      <c r="B4320" t="n">
        <v>2026</v>
      </c>
      <c r="C4320" t="inlineStr">
        <is>
          <t>June</t>
        </is>
      </c>
      <c r="D4320" t="inlineStr">
        <is>
          <t>Portable Puzzle</t>
        </is>
      </c>
      <c r="E4320" t="inlineStr">
        <is>
          <t>Toys &amp; Games</t>
        </is>
      </c>
      <c r="F4320" t="inlineStr">
        <is>
          <t>Michael Martin</t>
        </is>
      </c>
      <c r="G4320" t="inlineStr">
        <is>
          <t>Italy</t>
        </is>
      </c>
      <c r="H4320" t="inlineStr">
        <is>
          <t>Retail Store</t>
        </is>
      </c>
      <c r="I4320" t="n">
        <v>2</v>
      </c>
      <c r="J4320" s="3" t="n">
        <v>217.8</v>
      </c>
      <c r="K4320" s="3" t="n">
        <v>10.89</v>
      </c>
      <c r="L4320" s="3" t="n">
        <v>206.91</v>
      </c>
      <c r="M4320" s="3" t="n">
        <v>117.6</v>
      </c>
      <c r="N4320" s="3" t="n">
        <v>89.31</v>
      </c>
      <c r="O4320">
        <f>TEXT(A4320,"yyyy-mm")</f>
        <v/>
      </c>
    </row>
    <row r="4321">
      <c r="A4321" s="2" t="n">
        <v>46200</v>
      </c>
      <c r="B4321" t="n">
        <v>2026</v>
      </c>
      <c r="C4321" t="inlineStr">
        <is>
          <t>June</t>
        </is>
      </c>
      <c r="D4321" t="inlineStr">
        <is>
          <t>Classic Yoga Mat</t>
        </is>
      </c>
      <c r="E4321" t="inlineStr">
        <is>
          <t>Sports &amp; Outdoors</t>
        </is>
      </c>
      <c r="F4321" t="inlineStr">
        <is>
          <t>Michael Martin</t>
        </is>
      </c>
      <c r="G4321" t="inlineStr">
        <is>
          <t>Italy</t>
        </is>
      </c>
      <c r="H4321" t="inlineStr">
        <is>
          <t>Retail Store</t>
        </is>
      </c>
      <c r="I4321" t="n">
        <v>5</v>
      </c>
      <c r="J4321" s="3" t="n">
        <v>1702.2</v>
      </c>
      <c r="K4321" s="3" t="n">
        <v>0</v>
      </c>
      <c r="L4321" s="3" t="n">
        <v>1702.2</v>
      </c>
      <c r="M4321" s="3" t="n">
        <v>978.5</v>
      </c>
      <c r="N4321" s="3" t="n">
        <v>723.7</v>
      </c>
      <c r="O4321">
        <f>TEXT(A4321,"yyyy-mm")</f>
        <v/>
      </c>
    </row>
    <row r="4322">
      <c r="A4322" s="2" t="n">
        <v>46200</v>
      </c>
      <c r="B4322" t="n">
        <v>2026</v>
      </c>
      <c r="C4322" t="inlineStr">
        <is>
          <t>June</t>
        </is>
      </c>
      <c r="D4322" t="inlineStr">
        <is>
          <t>Classic Sunscreen</t>
        </is>
      </c>
      <c r="E4322" t="inlineStr">
        <is>
          <t>Beauty &amp; Health</t>
        </is>
      </c>
      <c r="F4322" t="inlineStr">
        <is>
          <t>Maria Weber</t>
        </is>
      </c>
      <c r="G4322" t="inlineStr">
        <is>
          <t>Germany</t>
        </is>
      </c>
      <c r="H4322" t="inlineStr">
        <is>
          <t>Retail Store</t>
        </is>
      </c>
      <c r="I4322" t="n">
        <v>5</v>
      </c>
      <c r="J4322" s="3" t="n">
        <v>724.65</v>
      </c>
      <c r="K4322" s="3" t="n">
        <v>108.7</v>
      </c>
      <c r="L4322" s="3" t="n">
        <v>615.95</v>
      </c>
      <c r="M4322" s="3" t="n">
        <v>468.45</v>
      </c>
      <c r="N4322" s="3" t="n">
        <v>147.5</v>
      </c>
      <c r="O4322">
        <f>TEXT(A4322,"yyyy-mm")</f>
        <v/>
      </c>
    </row>
    <row r="4323">
      <c r="A4323" s="2" t="n">
        <v>46200</v>
      </c>
      <c r="B4323" t="n">
        <v>2026</v>
      </c>
      <c r="C4323" t="inlineStr">
        <is>
          <t>June</t>
        </is>
      </c>
      <c r="D4323" t="inlineStr">
        <is>
          <t>Wireless Honey</t>
        </is>
      </c>
      <c r="E4323" t="inlineStr">
        <is>
          <t>Grocery</t>
        </is>
      </c>
      <c r="F4323" t="inlineStr">
        <is>
          <t>Michael Martin</t>
        </is>
      </c>
      <c r="G4323" t="inlineStr">
        <is>
          <t>Italy</t>
        </is>
      </c>
      <c r="H4323" t="inlineStr">
        <is>
          <t>Retail Store</t>
        </is>
      </c>
      <c r="I4323" t="n">
        <v>4</v>
      </c>
      <c r="J4323" s="3" t="n">
        <v>534.76</v>
      </c>
      <c r="K4323" s="3" t="n">
        <v>0</v>
      </c>
      <c r="L4323" s="3" t="n">
        <v>534.76</v>
      </c>
      <c r="M4323" s="3" t="n">
        <v>376.28</v>
      </c>
      <c r="N4323" s="3" t="n">
        <v>158.48</v>
      </c>
      <c r="O4323">
        <f>TEXT(A4323,"yyyy-mm")</f>
        <v/>
      </c>
    </row>
    <row r="4324">
      <c r="A4324" s="2" t="n">
        <v>46202</v>
      </c>
      <c r="B4324" t="n">
        <v>2026</v>
      </c>
      <c r="C4324" t="inlineStr">
        <is>
          <t>June</t>
        </is>
      </c>
      <c r="D4324" t="inlineStr">
        <is>
          <t>Classic Tea Set</t>
        </is>
      </c>
      <c r="E4324" t="inlineStr">
        <is>
          <t>Grocery</t>
        </is>
      </c>
      <c r="F4324" t="inlineStr">
        <is>
          <t>Anna Dubois</t>
        </is>
      </c>
      <c r="G4324" t="inlineStr">
        <is>
          <t>Germany</t>
        </is>
      </c>
      <c r="H4324" t="inlineStr">
        <is>
          <t>Web Store</t>
        </is>
      </c>
      <c r="I4324" t="n">
        <v>5</v>
      </c>
      <c r="J4324" s="3" t="n">
        <v>867.05</v>
      </c>
      <c r="K4324" s="3" t="n">
        <v>0</v>
      </c>
      <c r="L4324" s="3" t="n">
        <v>867.05</v>
      </c>
      <c r="M4324" s="3" t="n">
        <v>627</v>
      </c>
      <c r="N4324" s="3" t="n">
        <v>240.05</v>
      </c>
      <c r="O4324">
        <f>TEXT(A4324,"yyyy-mm")</f>
        <v/>
      </c>
    </row>
    <row r="4325">
      <c r="A4325" s="2" t="n">
        <v>46202</v>
      </c>
      <c r="B4325" t="n">
        <v>2026</v>
      </c>
      <c r="C4325" t="inlineStr">
        <is>
          <t>June</t>
        </is>
      </c>
      <c r="D4325" t="inlineStr">
        <is>
          <t>Smart Charger</t>
        </is>
      </c>
      <c r="E4325" t="inlineStr">
        <is>
          <t>Electronics</t>
        </is>
      </c>
      <c r="F4325" t="inlineStr">
        <is>
          <t>Nina Muller</t>
        </is>
      </c>
      <c r="G4325" t="inlineStr">
        <is>
          <t>Spain</t>
        </is>
      </c>
      <c r="H4325" t="inlineStr">
        <is>
          <t>Marketplace</t>
        </is>
      </c>
      <c r="I4325" t="n">
        <v>3</v>
      </c>
      <c r="J4325" s="3" t="n">
        <v>736.35</v>
      </c>
      <c r="K4325" s="3" t="n">
        <v>0</v>
      </c>
      <c r="L4325" s="3" t="n">
        <v>736.35</v>
      </c>
      <c r="M4325" s="3" t="n">
        <v>427.56</v>
      </c>
      <c r="N4325" s="3" t="n">
        <v>308.79</v>
      </c>
      <c r="O4325">
        <f>TEXT(A4325,"yyyy-mm")</f>
        <v/>
      </c>
    </row>
    <row r="4326">
      <c r="A4326" s="2" t="n">
        <v>46202</v>
      </c>
      <c r="B4326" t="n">
        <v>2026</v>
      </c>
      <c r="C4326" t="inlineStr">
        <is>
          <t>June</t>
        </is>
      </c>
      <c r="D4326" t="inlineStr">
        <is>
          <t>Essential Rug</t>
        </is>
      </c>
      <c r="E4326" t="inlineStr">
        <is>
          <t>Home &amp; Garden</t>
        </is>
      </c>
      <c r="F4326" t="inlineStr">
        <is>
          <t>Nina Muller</t>
        </is>
      </c>
      <c r="G4326" t="inlineStr">
        <is>
          <t>Spain</t>
        </is>
      </c>
      <c r="H4326" t="inlineStr">
        <is>
          <t>Marketplace</t>
        </is>
      </c>
      <c r="I4326" t="n">
        <v>2</v>
      </c>
      <c r="J4326" s="3" t="n">
        <v>269.42</v>
      </c>
      <c r="K4326" s="3" t="n">
        <v>13.47</v>
      </c>
      <c r="L4326" s="3" t="n">
        <v>255.95</v>
      </c>
      <c r="M4326" s="3" t="n">
        <v>152.66</v>
      </c>
      <c r="N4326" s="3" t="n">
        <v>103.29</v>
      </c>
      <c r="O4326">
        <f>TEXT(A4326,"yyyy-mm")</f>
        <v/>
      </c>
    </row>
    <row r="4327">
      <c r="A4327" s="2" t="n">
        <v>46204</v>
      </c>
      <c r="B4327" t="n">
        <v>2026</v>
      </c>
      <c r="C4327" t="inlineStr">
        <is>
          <t>July</t>
        </is>
      </c>
      <c r="D4327" t="inlineStr">
        <is>
          <t>Essential Charger</t>
        </is>
      </c>
      <c r="E4327" t="inlineStr">
        <is>
          <t>Electronics</t>
        </is>
      </c>
      <c r="F4327" t="inlineStr">
        <is>
          <t>James Weber</t>
        </is>
      </c>
      <c r="G4327" t="inlineStr">
        <is>
          <t>Germany</t>
        </is>
      </c>
      <c r="H4327" t="inlineStr">
        <is>
          <t>Mobile App</t>
        </is>
      </c>
      <c r="I4327" t="n">
        <v>2</v>
      </c>
      <c r="J4327" s="3" t="n">
        <v>89.84</v>
      </c>
      <c r="K4327" s="3" t="n">
        <v>8.98</v>
      </c>
      <c r="L4327" s="3" t="n">
        <v>80.86</v>
      </c>
      <c r="M4327" s="3" t="n">
        <v>58.2</v>
      </c>
      <c r="N4327" s="3" t="n">
        <v>22.66</v>
      </c>
      <c r="O4327">
        <f>TEXT(A4327,"yyyy-mm")</f>
        <v/>
      </c>
    </row>
    <row r="4328">
      <c r="A4328" s="2" t="n">
        <v>46204</v>
      </c>
      <c r="B4328" t="n">
        <v>2026</v>
      </c>
      <c r="C4328" t="inlineStr">
        <is>
          <t>July</t>
        </is>
      </c>
      <c r="D4328" t="inlineStr">
        <is>
          <t>Classic Atlas</t>
        </is>
      </c>
      <c r="E4328" t="inlineStr">
        <is>
          <t>Books</t>
        </is>
      </c>
      <c r="F4328" t="inlineStr">
        <is>
          <t>James Weber</t>
        </is>
      </c>
      <c r="G4328" t="inlineStr">
        <is>
          <t>Germany</t>
        </is>
      </c>
      <c r="H4328" t="inlineStr">
        <is>
          <t>Mobile App</t>
        </is>
      </c>
      <c r="I4328" t="n">
        <v>1</v>
      </c>
      <c r="J4328" s="3" t="n">
        <v>60.09</v>
      </c>
      <c r="K4328" s="3" t="n">
        <v>6.01</v>
      </c>
      <c r="L4328" s="3" t="n">
        <v>54.08</v>
      </c>
      <c r="M4328" s="3" t="n">
        <v>34.59</v>
      </c>
      <c r="N4328" s="3" t="n">
        <v>19.49</v>
      </c>
      <c r="O4328">
        <f>TEXT(A4328,"yyyy-mm")</f>
        <v/>
      </c>
    </row>
    <row r="4329">
      <c r="A4329" s="2" t="n">
        <v>46204</v>
      </c>
      <c r="B4329" t="n">
        <v>2026</v>
      </c>
      <c r="C4329" t="inlineStr">
        <is>
          <t>July</t>
        </is>
      </c>
      <c r="D4329" t="inlineStr">
        <is>
          <t>Premium Tent</t>
        </is>
      </c>
      <c r="E4329" t="inlineStr">
        <is>
          <t>Sports &amp; Outdoors</t>
        </is>
      </c>
      <c r="F4329" t="inlineStr">
        <is>
          <t>James Weber</t>
        </is>
      </c>
      <c r="G4329" t="inlineStr">
        <is>
          <t>Germany</t>
        </is>
      </c>
      <c r="H4329" t="inlineStr">
        <is>
          <t>Mobile App</t>
        </is>
      </c>
      <c r="I4329" t="n">
        <v>3</v>
      </c>
      <c r="J4329" s="3" t="n">
        <v>780.21</v>
      </c>
      <c r="K4329" s="3" t="n">
        <v>117.03</v>
      </c>
      <c r="L4329" s="3" t="n">
        <v>663.1799999999999</v>
      </c>
      <c r="M4329" s="3" t="n">
        <v>495.93</v>
      </c>
      <c r="N4329" s="3" t="n">
        <v>167.25</v>
      </c>
      <c r="O4329">
        <f>TEXT(A4329,"yyyy-mm")</f>
        <v/>
      </c>
    </row>
    <row r="4330">
      <c r="A4330" s="2" t="n">
        <v>46204</v>
      </c>
      <c r="B4330" t="n">
        <v>2026</v>
      </c>
      <c r="C4330" t="inlineStr">
        <is>
          <t>July</t>
        </is>
      </c>
      <c r="D4330" t="inlineStr">
        <is>
          <t>Deluxe Notebook</t>
        </is>
      </c>
      <c r="E4330" t="inlineStr">
        <is>
          <t>Books</t>
        </is>
      </c>
      <c r="F4330" t="inlineStr">
        <is>
          <t>James Weber</t>
        </is>
      </c>
      <c r="G4330" t="inlineStr">
        <is>
          <t>Germany</t>
        </is>
      </c>
      <c r="H4330" t="inlineStr">
        <is>
          <t>Mobile App</t>
        </is>
      </c>
      <c r="I4330" t="n">
        <v>3</v>
      </c>
      <c r="J4330" s="3" t="n">
        <v>630.8099999999999</v>
      </c>
      <c r="K4330" s="3" t="n">
        <v>31.54</v>
      </c>
      <c r="L4330" s="3" t="n">
        <v>599.27</v>
      </c>
      <c r="M4330" s="3" t="n">
        <v>452.28</v>
      </c>
      <c r="N4330" s="3" t="n">
        <v>146.99</v>
      </c>
      <c r="O4330">
        <f>TEXT(A4330,"yyyy-mm")</f>
        <v/>
      </c>
    </row>
    <row r="4331">
      <c r="A4331" s="2" t="n">
        <v>46204</v>
      </c>
      <c r="B4331" t="n">
        <v>2026</v>
      </c>
      <c r="C4331" t="inlineStr">
        <is>
          <t>July</t>
        </is>
      </c>
      <c r="D4331" t="inlineStr">
        <is>
          <t>Premium Water Bottle</t>
        </is>
      </c>
      <c r="E4331" t="inlineStr">
        <is>
          <t>Sports &amp; Outdoors</t>
        </is>
      </c>
      <c r="F4331" t="inlineStr">
        <is>
          <t>Julia Nowak</t>
        </is>
      </c>
      <c r="G4331" t="inlineStr">
        <is>
          <t>Poland</t>
        </is>
      </c>
      <c r="H4331" t="inlineStr">
        <is>
          <t>Retail Store</t>
        </is>
      </c>
      <c r="I4331" t="n">
        <v>4</v>
      </c>
      <c r="J4331" s="3" t="n">
        <v>113.32</v>
      </c>
      <c r="K4331" s="3" t="n">
        <v>5.67</v>
      </c>
      <c r="L4331" s="3" t="n">
        <v>107.65</v>
      </c>
      <c r="M4331" s="3" t="n">
        <v>66.52</v>
      </c>
      <c r="N4331" s="3" t="n">
        <v>41.13</v>
      </c>
      <c r="O4331">
        <f>TEXT(A4331,"yyyy-mm")</f>
        <v/>
      </c>
    </row>
    <row r="4332">
      <c r="A4332" s="2" t="n">
        <v>46204</v>
      </c>
      <c r="B4332" t="n">
        <v>2026</v>
      </c>
      <c r="C4332" t="inlineStr">
        <is>
          <t>July</t>
        </is>
      </c>
      <c r="D4332" t="inlineStr">
        <is>
          <t>Deluxe Cookbook</t>
        </is>
      </c>
      <c r="E4332" t="inlineStr">
        <is>
          <t>Books</t>
        </is>
      </c>
      <c r="F4332" t="inlineStr">
        <is>
          <t>Thomas Kowalski</t>
        </is>
      </c>
      <c r="G4332" t="inlineStr">
        <is>
          <t>Poland</t>
        </is>
      </c>
      <c r="H4332" t="inlineStr">
        <is>
          <t>Web Store</t>
        </is>
      </c>
      <c r="I4332" t="n">
        <v>2</v>
      </c>
      <c r="J4332" s="3" t="n">
        <v>280.74</v>
      </c>
      <c r="K4332" s="3" t="n">
        <v>28.07</v>
      </c>
      <c r="L4332" s="3" t="n">
        <v>252.67</v>
      </c>
      <c r="M4332" s="3" t="n">
        <v>170.54</v>
      </c>
      <c r="N4332" s="3" t="n">
        <v>82.13</v>
      </c>
      <c r="O4332">
        <f>TEXT(A4332,"yyyy-mm")</f>
        <v/>
      </c>
    </row>
    <row r="4333">
      <c r="A4333" s="2" t="n">
        <v>46204</v>
      </c>
      <c r="B4333" t="n">
        <v>2026</v>
      </c>
      <c r="C4333" t="inlineStr">
        <is>
          <t>July</t>
        </is>
      </c>
      <c r="D4333" t="inlineStr">
        <is>
          <t>Premium Water Bottle</t>
        </is>
      </c>
      <c r="E4333" t="inlineStr">
        <is>
          <t>Sports &amp; Outdoors</t>
        </is>
      </c>
      <c r="F4333" t="inlineStr">
        <is>
          <t>Julia Nowak</t>
        </is>
      </c>
      <c r="G4333" t="inlineStr">
        <is>
          <t>Poland</t>
        </is>
      </c>
      <c r="H4333" t="inlineStr">
        <is>
          <t>Retail Store</t>
        </is>
      </c>
      <c r="I4333" t="n">
        <v>1</v>
      </c>
      <c r="J4333" s="3" t="n">
        <v>126.6</v>
      </c>
      <c r="K4333" s="3" t="n">
        <v>0</v>
      </c>
      <c r="L4333" s="3" t="n">
        <v>126.6</v>
      </c>
      <c r="M4333" s="3" t="n">
        <v>89.62</v>
      </c>
      <c r="N4333" s="3" t="n">
        <v>36.98</v>
      </c>
      <c r="O4333">
        <f>TEXT(A4333,"yyyy-mm")</f>
        <v/>
      </c>
    </row>
    <row r="4334">
      <c r="A4334" s="2" t="n">
        <v>46205</v>
      </c>
      <c r="B4334" t="n">
        <v>2026</v>
      </c>
      <c r="C4334" t="inlineStr">
        <is>
          <t>July</t>
        </is>
      </c>
      <c r="D4334" t="inlineStr">
        <is>
          <t>Smart Honey</t>
        </is>
      </c>
      <c r="E4334" t="inlineStr">
        <is>
          <t>Grocery</t>
        </is>
      </c>
      <c r="F4334" t="inlineStr">
        <is>
          <t>Clara Zielinski</t>
        </is>
      </c>
      <c r="G4334" t="inlineStr">
        <is>
          <t>United States</t>
        </is>
      </c>
      <c r="H4334" t="inlineStr">
        <is>
          <t>Marketplace</t>
        </is>
      </c>
      <c r="I4334" t="n">
        <v>5</v>
      </c>
      <c r="J4334" s="3" t="n">
        <v>660.5</v>
      </c>
      <c r="K4334" s="3" t="n">
        <v>66.05</v>
      </c>
      <c r="L4334" s="3" t="n">
        <v>594.45</v>
      </c>
      <c r="M4334" s="3" t="n">
        <v>357.2</v>
      </c>
      <c r="N4334" s="3" t="n">
        <v>237.25</v>
      </c>
      <c r="O4334">
        <f>TEXT(A4334,"yyyy-mm")</f>
        <v/>
      </c>
    </row>
    <row r="4335">
      <c r="A4335" s="2" t="n">
        <v>46205</v>
      </c>
      <c r="B4335" t="n">
        <v>2026</v>
      </c>
      <c r="C4335" t="inlineStr">
        <is>
          <t>July</t>
        </is>
      </c>
      <c r="D4335" t="inlineStr">
        <is>
          <t>Smart Face Cream</t>
        </is>
      </c>
      <c r="E4335" t="inlineStr">
        <is>
          <t>Beauty &amp; Health</t>
        </is>
      </c>
      <c r="F4335" t="inlineStr">
        <is>
          <t>Michael Martin</t>
        </is>
      </c>
      <c r="G4335" t="inlineStr">
        <is>
          <t>Italy</t>
        </is>
      </c>
      <c r="H4335" t="inlineStr">
        <is>
          <t>Marketplace</t>
        </is>
      </c>
      <c r="I4335" t="n">
        <v>3</v>
      </c>
      <c r="J4335" s="3" t="n">
        <v>780.63</v>
      </c>
      <c r="K4335" s="3" t="n">
        <v>78.06</v>
      </c>
      <c r="L4335" s="3" t="n">
        <v>702.5700000000001</v>
      </c>
      <c r="M4335" s="3" t="n">
        <v>579.42</v>
      </c>
      <c r="N4335" s="3" t="n">
        <v>123.15</v>
      </c>
      <c r="O4335">
        <f>TEXT(A4335,"yyyy-mm")</f>
        <v/>
      </c>
    </row>
    <row r="4336">
      <c r="A4336" s="2" t="n">
        <v>46205</v>
      </c>
      <c r="B4336" t="n">
        <v>2026</v>
      </c>
      <c r="C4336" t="inlineStr">
        <is>
          <t>July</t>
        </is>
      </c>
      <c r="D4336" t="inlineStr">
        <is>
          <t>Portable Notebook</t>
        </is>
      </c>
      <c r="E4336" t="inlineStr">
        <is>
          <t>Books</t>
        </is>
      </c>
      <c r="F4336" t="inlineStr">
        <is>
          <t>Michael Conti</t>
        </is>
      </c>
      <c r="G4336" t="inlineStr">
        <is>
          <t>Germany</t>
        </is>
      </c>
      <c r="H4336" t="inlineStr">
        <is>
          <t>Mobile App</t>
        </is>
      </c>
      <c r="I4336" t="n">
        <v>2</v>
      </c>
      <c r="J4336" s="3" t="n">
        <v>248.16</v>
      </c>
      <c r="K4336" s="3" t="n">
        <v>0</v>
      </c>
      <c r="L4336" s="3" t="n">
        <v>248.16</v>
      </c>
      <c r="M4336" s="3" t="n">
        <v>142.56</v>
      </c>
      <c r="N4336" s="3" t="n">
        <v>105.6</v>
      </c>
      <c r="O4336">
        <f>TEXT(A4336,"yyyy-mm")</f>
        <v/>
      </c>
    </row>
    <row r="4337">
      <c r="A4337" s="2" t="n">
        <v>46205</v>
      </c>
      <c r="B4337" t="n">
        <v>2026</v>
      </c>
      <c r="C4337" t="inlineStr">
        <is>
          <t>July</t>
        </is>
      </c>
      <c r="D4337" t="inlineStr">
        <is>
          <t>Portable Tea Set</t>
        </is>
      </c>
      <c r="E4337" t="inlineStr">
        <is>
          <t>Grocery</t>
        </is>
      </c>
      <c r="F4337" t="inlineStr">
        <is>
          <t>Michael Conti</t>
        </is>
      </c>
      <c r="G4337" t="inlineStr">
        <is>
          <t>Germany</t>
        </is>
      </c>
      <c r="H4337" t="inlineStr">
        <is>
          <t>Mobile App</t>
        </is>
      </c>
      <c r="I4337" t="n">
        <v>3</v>
      </c>
      <c r="J4337" s="3" t="n">
        <v>821.58</v>
      </c>
      <c r="K4337" s="3" t="n">
        <v>41.08</v>
      </c>
      <c r="L4337" s="3" t="n">
        <v>780.5</v>
      </c>
      <c r="M4337" s="3" t="n">
        <v>564.36</v>
      </c>
      <c r="N4337" s="3" t="n">
        <v>216.14</v>
      </c>
      <c r="O4337">
        <f>TEXT(A4337,"yyyy-mm")</f>
        <v/>
      </c>
    </row>
    <row r="4338">
      <c r="A4338" s="2" t="n">
        <v>46205</v>
      </c>
      <c r="B4338" t="n">
        <v>2026</v>
      </c>
      <c r="C4338" t="inlineStr">
        <is>
          <t>July</t>
        </is>
      </c>
      <c r="D4338" t="inlineStr">
        <is>
          <t>Portable Pasta</t>
        </is>
      </c>
      <c r="E4338" t="inlineStr">
        <is>
          <t>Grocery</t>
        </is>
      </c>
      <c r="F4338" t="inlineStr">
        <is>
          <t>Michael Conti</t>
        </is>
      </c>
      <c r="G4338" t="inlineStr">
        <is>
          <t>Germany</t>
        </is>
      </c>
      <c r="H4338" t="inlineStr">
        <is>
          <t>Mobile App</t>
        </is>
      </c>
      <c r="I4338" t="n">
        <v>4</v>
      </c>
      <c r="J4338" s="3" t="n">
        <v>150.8</v>
      </c>
      <c r="K4338" s="3" t="n">
        <v>7.54</v>
      </c>
      <c r="L4338" s="3" t="n">
        <v>143.26</v>
      </c>
      <c r="M4338" s="3" t="n">
        <v>111</v>
      </c>
      <c r="N4338" s="3" t="n">
        <v>32.26</v>
      </c>
      <c r="O4338">
        <f>TEXT(A4338,"yyyy-mm")</f>
        <v/>
      </c>
    </row>
    <row r="4339">
      <c r="A4339" s="2" t="n">
        <v>46205</v>
      </c>
      <c r="B4339" t="n">
        <v>2026</v>
      </c>
      <c r="C4339" t="inlineStr">
        <is>
          <t>July</t>
        </is>
      </c>
      <c r="D4339" t="inlineStr">
        <is>
          <t>Deluxe Toothbrush</t>
        </is>
      </c>
      <c r="E4339" t="inlineStr">
        <is>
          <t>Beauty &amp; Health</t>
        </is>
      </c>
      <c r="F4339" t="inlineStr">
        <is>
          <t>Michael Martin</t>
        </is>
      </c>
      <c r="G4339" t="inlineStr">
        <is>
          <t>Italy</t>
        </is>
      </c>
      <c r="H4339" t="inlineStr">
        <is>
          <t>Marketplace</t>
        </is>
      </c>
      <c r="I4339" t="n">
        <v>4</v>
      </c>
      <c r="J4339" s="3" t="n">
        <v>1297.52</v>
      </c>
      <c r="K4339" s="3" t="n">
        <v>129.75</v>
      </c>
      <c r="L4339" s="3" t="n">
        <v>1167.77</v>
      </c>
      <c r="M4339" s="3" t="n">
        <v>698.28</v>
      </c>
      <c r="N4339" s="3" t="n">
        <v>469.49</v>
      </c>
      <c r="O4339">
        <f>TEXT(A4339,"yyyy-mm")</f>
        <v/>
      </c>
    </row>
    <row r="4340">
      <c r="A4340" s="2" t="n">
        <v>46205</v>
      </c>
      <c r="B4340" t="n">
        <v>2026</v>
      </c>
      <c r="C4340" t="inlineStr">
        <is>
          <t>July</t>
        </is>
      </c>
      <c r="D4340" t="inlineStr">
        <is>
          <t>Eco Planter</t>
        </is>
      </c>
      <c r="E4340" t="inlineStr">
        <is>
          <t>Home &amp; Garden</t>
        </is>
      </c>
      <c r="F4340" t="inlineStr">
        <is>
          <t>Michael Martin</t>
        </is>
      </c>
      <c r="G4340" t="inlineStr">
        <is>
          <t>Italy</t>
        </is>
      </c>
      <c r="H4340" t="inlineStr">
        <is>
          <t>Marketplace</t>
        </is>
      </c>
      <c r="I4340" t="n">
        <v>2</v>
      </c>
      <c r="J4340" s="3" t="n">
        <v>351.5</v>
      </c>
      <c r="K4340" s="3" t="n">
        <v>0</v>
      </c>
      <c r="L4340" s="3" t="n">
        <v>351.5</v>
      </c>
      <c r="M4340" s="3" t="n">
        <v>224.82</v>
      </c>
      <c r="N4340" s="3" t="n">
        <v>126.68</v>
      </c>
      <c r="O4340">
        <f>TEXT(A4340,"yyyy-mm")</f>
        <v/>
      </c>
    </row>
    <row r="4341">
      <c r="A4341" s="2" t="n">
        <v>46206</v>
      </c>
      <c r="B4341" t="n">
        <v>2026</v>
      </c>
      <c r="C4341" t="inlineStr">
        <is>
          <t>July</t>
        </is>
      </c>
      <c r="D4341" t="inlineStr">
        <is>
          <t>Wireless Cookbook</t>
        </is>
      </c>
      <c r="E4341" t="inlineStr">
        <is>
          <t>Books</t>
        </is>
      </c>
      <c r="F4341" t="inlineStr">
        <is>
          <t>Emma Rossi</t>
        </is>
      </c>
      <c r="G4341" t="inlineStr">
        <is>
          <t>France</t>
        </is>
      </c>
      <c r="H4341" t="inlineStr">
        <is>
          <t>Web Store</t>
        </is>
      </c>
      <c r="I4341" t="n">
        <v>1</v>
      </c>
      <c r="J4341" s="3" t="n">
        <v>75.70999999999999</v>
      </c>
      <c r="K4341" s="3" t="n">
        <v>3.79</v>
      </c>
      <c r="L4341" s="3" t="n">
        <v>71.92</v>
      </c>
      <c r="M4341" s="3" t="n">
        <v>56.61</v>
      </c>
      <c r="N4341" s="3" t="n">
        <v>15.31</v>
      </c>
      <c r="O4341">
        <f>TEXT(A4341,"yyyy-mm")</f>
        <v/>
      </c>
    </row>
    <row r="4342">
      <c r="A4342" s="2" t="n">
        <v>46206</v>
      </c>
      <c r="B4342" t="n">
        <v>2026</v>
      </c>
      <c r="C4342" t="inlineStr">
        <is>
          <t>July</t>
        </is>
      </c>
      <c r="D4342" t="inlineStr">
        <is>
          <t>Eco Tent</t>
        </is>
      </c>
      <c r="E4342" t="inlineStr">
        <is>
          <t>Sports &amp; Outdoors</t>
        </is>
      </c>
      <c r="F4342" t="inlineStr">
        <is>
          <t>Anna Johnson</t>
        </is>
      </c>
      <c r="G4342" t="inlineStr">
        <is>
          <t>United States</t>
        </is>
      </c>
      <c r="H4342" t="inlineStr">
        <is>
          <t>Marketplace</t>
        </is>
      </c>
      <c r="I4342" t="n">
        <v>4</v>
      </c>
      <c r="J4342" s="3" t="n">
        <v>265.24</v>
      </c>
      <c r="K4342" s="3" t="n">
        <v>53.05</v>
      </c>
      <c r="L4342" s="3" t="n">
        <v>212.19</v>
      </c>
      <c r="M4342" s="3" t="n">
        <v>175.4</v>
      </c>
      <c r="N4342" s="3" t="n">
        <v>36.79</v>
      </c>
      <c r="O4342">
        <f>TEXT(A4342,"yyyy-mm")</f>
        <v/>
      </c>
    </row>
    <row r="4343">
      <c r="A4343" s="2" t="n">
        <v>46206</v>
      </c>
      <c r="B4343" t="n">
        <v>2026</v>
      </c>
      <c r="C4343" t="inlineStr">
        <is>
          <t>July</t>
        </is>
      </c>
      <c r="D4343" t="inlineStr">
        <is>
          <t>Premium Tent</t>
        </is>
      </c>
      <c r="E4343" t="inlineStr">
        <is>
          <t>Sports &amp; Outdoors</t>
        </is>
      </c>
      <c r="F4343" t="inlineStr">
        <is>
          <t>Anna Johnson</t>
        </is>
      </c>
      <c r="G4343" t="inlineStr">
        <is>
          <t>United States</t>
        </is>
      </c>
      <c r="H4343" t="inlineStr">
        <is>
          <t>Marketplace</t>
        </is>
      </c>
      <c r="I4343" t="n">
        <v>2</v>
      </c>
      <c r="J4343" s="3" t="n">
        <v>525.4400000000001</v>
      </c>
      <c r="K4343" s="3" t="n">
        <v>26.27</v>
      </c>
      <c r="L4343" s="3" t="n">
        <v>499.17</v>
      </c>
      <c r="M4343" s="3" t="n">
        <v>330.62</v>
      </c>
      <c r="N4343" s="3" t="n">
        <v>168.55</v>
      </c>
      <c r="O4343">
        <f>TEXT(A4343,"yyyy-mm")</f>
        <v/>
      </c>
    </row>
    <row r="4344">
      <c r="A4344" s="2" t="n">
        <v>46206</v>
      </c>
      <c r="B4344" t="n">
        <v>2026</v>
      </c>
      <c r="C4344" t="inlineStr">
        <is>
          <t>July</t>
        </is>
      </c>
      <c r="D4344" t="inlineStr">
        <is>
          <t>Wireless Coffee Beans</t>
        </is>
      </c>
      <c r="E4344" t="inlineStr">
        <is>
          <t>Grocery</t>
        </is>
      </c>
      <c r="F4344" t="inlineStr">
        <is>
          <t>Anna Johnson</t>
        </is>
      </c>
      <c r="G4344" t="inlineStr">
        <is>
          <t>United States</t>
        </is>
      </c>
      <c r="H4344" t="inlineStr">
        <is>
          <t>Marketplace</t>
        </is>
      </c>
      <c r="I4344" t="n">
        <v>3</v>
      </c>
      <c r="J4344" s="3" t="n">
        <v>364.44</v>
      </c>
      <c r="K4344" s="3" t="n">
        <v>54.67</v>
      </c>
      <c r="L4344" s="3" t="n">
        <v>309.77</v>
      </c>
      <c r="M4344" s="3" t="n">
        <v>238.11</v>
      </c>
      <c r="N4344" s="3" t="n">
        <v>71.66</v>
      </c>
      <c r="O4344">
        <f>TEXT(A4344,"yyyy-mm")</f>
        <v/>
      </c>
    </row>
    <row r="4345">
      <c r="A4345" s="2" t="n">
        <v>46206</v>
      </c>
      <c r="B4345" t="n">
        <v>2026</v>
      </c>
      <c r="C4345" t="inlineStr">
        <is>
          <t>July</t>
        </is>
      </c>
      <c r="D4345" t="inlineStr">
        <is>
          <t>Wireless Cookbook</t>
        </is>
      </c>
      <c r="E4345" t="inlineStr">
        <is>
          <t>Books</t>
        </is>
      </c>
      <c r="F4345" t="inlineStr">
        <is>
          <t>Maria Martin</t>
        </is>
      </c>
      <c r="G4345" t="inlineStr">
        <is>
          <t>United Kingdom</t>
        </is>
      </c>
      <c r="H4345" t="inlineStr">
        <is>
          <t>Web Store</t>
        </is>
      </c>
      <c r="I4345" t="n">
        <v>5</v>
      </c>
      <c r="J4345" s="3" t="n">
        <v>395.45</v>
      </c>
      <c r="K4345" s="3" t="n">
        <v>59.32</v>
      </c>
      <c r="L4345" s="3" t="n">
        <v>336.13</v>
      </c>
      <c r="M4345" s="3" t="n">
        <v>283.05</v>
      </c>
      <c r="N4345" s="3" t="n">
        <v>53.08</v>
      </c>
      <c r="O4345">
        <f>TEXT(A4345,"yyyy-mm")</f>
        <v/>
      </c>
    </row>
    <row r="4346">
      <c r="A4346" s="2" t="n">
        <v>46206</v>
      </c>
      <c r="B4346" t="n">
        <v>2026</v>
      </c>
      <c r="C4346" t="inlineStr">
        <is>
          <t>July</t>
        </is>
      </c>
      <c r="D4346" t="inlineStr">
        <is>
          <t>Essential Charger</t>
        </is>
      </c>
      <c r="E4346" t="inlineStr">
        <is>
          <t>Electronics</t>
        </is>
      </c>
      <c r="F4346" t="inlineStr">
        <is>
          <t>Maria Martin</t>
        </is>
      </c>
      <c r="G4346" t="inlineStr">
        <is>
          <t>United Kingdom</t>
        </is>
      </c>
      <c r="H4346" t="inlineStr">
        <is>
          <t>Web Store</t>
        </is>
      </c>
      <c r="I4346" t="n">
        <v>3</v>
      </c>
      <c r="J4346" s="3" t="n">
        <v>128.01</v>
      </c>
      <c r="K4346" s="3" t="n">
        <v>25.6</v>
      </c>
      <c r="L4346" s="3" t="n">
        <v>102.41</v>
      </c>
      <c r="M4346" s="3" t="n">
        <v>87.3</v>
      </c>
      <c r="N4346" s="3" t="n">
        <v>15.11</v>
      </c>
      <c r="O4346">
        <f>TEXT(A4346,"yyyy-mm")</f>
        <v/>
      </c>
    </row>
    <row r="4347">
      <c r="A4347" s="2" t="n">
        <v>46206</v>
      </c>
      <c r="B4347" t="n">
        <v>2026</v>
      </c>
      <c r="C4347" t="inlineStr">
        <is>
          <t>July</t>
        </is>
      </c>
      <c r="D4347" t="inlineStr">
        <is>
          <t>Smart Jeans</t>
        </is>
      </c>
      <c r="E4347" t="inlineStr">
        <is>
          <t>Clothing</t>
        </is>
      </c>
      <c r="F4347" t="inlineStr">
        <is>
          <t>David Moreau</t>
        </is>
      </c>
      <c r="G4347" t="inlineStr">
        <is>
          <t>Poland</t>
        </is>
      </c>
      <c r="H4347" t="inlineStr">
        <is>
          <t>Web Store</t>
        </is>
      </c>
      <c r="I4347" t="n">
        <v>4</v>
      </c>
      <c r="J4347" s="3" t="n">
        <v>1188.6</v>
      </c>
      <c r="K4347" s="3" t="n">
        <v>0</v>
      </c>
      <c r="L4347" s="3" t="n">
        <v>1188.6</v>
      </c>
      <c r="M4347" s="3" t="n">
        <v>774.5599999999999</v>
      </c>
      <c r="N4347" s="3" t="n">
        <v>414.04</v>
      </c>
      <c r="O4347">
        <f>TEXT(A4347,"yyyy-mm")</f>
        <v/>
      </c>
    </row>
    <row r="4348">
      <c r="A4348" s="2" t="n">
        <v>46207</v>
      </c>
      <c r="B4348" t="n">
        <v>2026</v>
      </c>
      <c r="C4348" t="inlineStr">
        <is>
          <t>July</t>
        </is>
      </c>
      <c r="D4348" t="inlineStr">
        <is>
          <t>Classic Tea Set</t>
        </is>
      </c>
      <c r="E4348" t="inlineStr">
        <is>
          <t>Grocery</t>
        </is>
      </c>
      <c r="F4348" t="inlineStr">
        <is>
          <t>Emily Schmidt</t>
        </is>
      </c>
      <c r="G4348" t="inlineStr">
        <is>
          <t>Netherlands</t>
        </is>
      </c>
      <c r="H4348" t="inlineStr">
        <is>
          <t>Marketplace</t>
        </is>
      </c>
      <c r="I4348" t="n">
        <v>3</v>
      </c>
      <c r="J4348" s="3" t="n">
        <v>563.61</v>
      </c>
      <c r="K4348" s="3" t="n">
        <v>0</v>
      </c>
      <c r="L4348" s="3" t="n">
        <v>563.61</v>
      </c>
      <c r="M4348" s="3" t="n">
        <v>376.2</v>
      </c>
      <c r="N4348" s="3" t="n">
        <v>187.41</v>
      </c>
      <c r="O4348">
        <f>TEXT(A4348,"yyyy-mm")</f>
        <v/>
      </c>
    </row>
    <row r="4349">
      <c r="A4349" s="2" t="n">
        <v>46207</v>
      </c>
      <c r="B4349" t="n">
        <v>2026</v>
      </c>
      <c r="C4349" t="inlineStr">
        <is>
          <t>July</t>
        </is>
      </c>
      <c r="D4349" t="inlineStr">
        <is>
          <t>Portable Puzzle</t>
        </is>
      </c>
      <c r="E4349" t="inlineStr">
        <is>
          <t>Toys &amp; Games</t>
        </is>
      </c>
      <c r="F4349" t="inlineStr">
        <is>
          <t>Michael Brown</t>
        </is>
      </c>
      <c r="G4349" t="inlineStr">
        <is>
          <t>Spain</t>
        </is>
      </c>
      <c r="H4349" t="inlineStr">
        <is>
          <t>Mobile App</t>
        </is>
      </c>
      <c r="I4349" t="n">
        <v>2</v>
      </c>
      <c r="J4349" s="3" t="n">
        <v>625.9400000000001</v>
      </c>
      <c r="K4349" s="3" t="n">
        <v>31.3</v>
      </c>
      <c r="L4349" s="3" t="n">
        <v>594.64</v>
      </c>
      <c r="M4349" s="3" t="n">
        <v>347.32</v>
      </c>
      <c r="N4349" s="3" t="n">
        <v>247.32</v>
      </c>
      <c r="O4349">
        <f>TEXT(A4349,"yyyy-mm")</f>
        <v/>
      </c>
    </row>
    <row r="4350">
      <c r="A4350" s="2" t="n">
        <v>46207</v>
      </c>
      <c r="B4350" t="n">
        <v>2026</v>
      </c>
      <c r="C4350" t="inlineStr">
        <is>
          <t>July</t>
        </is>
      </c>
      <c r="D4350" t="inlineStr">
        <is>
          <t>Classic Sunscreen</t>
        </is>
      </c>
      <c r="E4350" t="inlineStr">
        <is>
          <t>Beauty &amp; Health</t>
        </is>
      </c>
      <c r="F4350" t="inlineStr">
        <is>
          <t>Michael Brown</t>
        </is>
      </c>
      <c r="G4350" t="inlineStr">
        <is>
          <t>Spain</t>
        </is>
      </c>
      <c r="H4350" t="inlineStr">
        <is>
          <t>Mobile App</t>
        </is>
      </c>
      <c r="I4350" t="n">
        <v>5</v>
      </c>
      <c r="J4350" s="3" t="n">
        <v>665.4</v>
      </c>
      <c r="K4350" s="3" t="n">
        <v>66.54000000000001</v>
      </c>
      <c r="L4350" s="3" t="n">
        <v>598.86</v>
      </c>
      <c r="M4350" s="3" t="n">
        <v>468.45</v>
      </c>
      <c r="N4350" s="3" t="n">
        <v>130.41</v>
      </c>
      <c r="O4350">
        <f>TEXT(A4350,"yyyy-mm")</f>
        <v/>
      </c>
    </row>
    <row r="4351">
      <c r="A4351" s="2" t="n">
        <v>46207</v>
      </c>
      <c r="B4351" t="n">
        <v>2026</v>
      </c>
      <c r="C4351" t="inlineStr">
        <is>
          <t>July</t>
        </is>
      </c>
      <c r="D4351" t="inlineStr">
        <is>
          <t>Premium Water Bottle</t>
        </is>
      </c>
      <c r="E4351" t="inlineStr">
        <is>
          <t>Sports &amp; Outdoors</t>
        </is>
      </c>
      <c r="F4351" t="inlineStr">
        <is>
          <t>Michael Brown</t>
        </is>
      </c>
      <c r="G4351" t="inlineStr">
        <is>
          <t>Spain</t>
        </is>
      </c>
      <c r="H4351" t="inlineStr">
        <is>
          <t>Mobile App</t>
        </is>
      </c>
      <c r="I4351" t="n">
        <v>4</v>
      </c>
      <c r="J4351" s="3" t="n">
        <v>122.68</v>
      </c>
      <c r="K4351" s="3" t="n">
        <v>18.4</v>
      </c>
      <c r="L4351" s="3" t="n">
        <v>104.28</v>
      </c>
      <c r="M4351" s="3" t="n">
        <v>66.52</v>
      </c>
      <c r="N4351" s="3" t="n">
        <v>37.76</v>
      </c>
      <c r="O4351">
        <f>TEXT(A4351,"yyyy-mm")</f>
        <v/>
      </c>
    </row>
    <row r="4352">
      <c r="A4352" s="2" t="n">
        <v>46207</v>
      </c>
      <c r="B4352" t="n">
        <v>2026</v>
      </c>
      <c r="C4352" t="inlineStr">
        <is>
          <t>July</t>
        </is>
      </c>
      <c r="D4352" t="inlineStr">
        <is>
          <t>Essential Vitamins</t>
        </is>
      </c>
      <c r="E4352" t="inlineStr">
        <is>
          <t>Beauty &amp; Health</t>
        </is>
      </c>
      <c r="F4352" t="inlineStr">
        <is>
          <t>Michael Brown</t>
        </is>
      </c>
      <c r="G4352" t="inlineStr">
        <is>
          <t>Spain</t>
        </is>
      </c>
      <c r="H4352" t="inlineStr">
        <is>
          <t>Mobile App</t>
        </is>
      </c>
      <c r="I4352" t="n">
        <v>4</v>
      </c>
      <c r="J4352" s="3" t="n">
        <v>689.12</v>
      </c>
      <c r="K4352" s="3" t="n">
        <v>0</v>
      </c>
      <c r="L4352" s="3" t="n">
        <v>689.12</v>
      </c>
      <c r="M4352" s="3" t="n">
        <v>441.2</v>
      </c>
      <c r="N4352" s="3" t="n">
        <v>247.92</v>
      </c>
      <c r="O4352">
        <f>TEXT(A4352,"yyyy-mm")</f>
        <v/>
      </c>
    </row>
    <row r="4353">
      <c r="A4353" s="2" t="n">
        <v>46207</v>
      </c>
      <c r="B4353" t="n">
        <v>2026</v>
      </c>
      <c r="C4353" t="inlineStr">
        <is>
          <t>July</t>
        </is>
      </c>
      <c r="D4353" t="inlineStr">
        <is>
          <t>Smart Camera</t>
        </is>
      </c>
      <c r="E4353" t="inlineStr">
        <is>
          <t>Electronics</t>
        </is>
      </c>
      <c r="F4353" t="inlineStr">
        <is>
          <t>Olivia Bianchi</t>
        </is>
      </c>
      <c r="G4353" t="inlineStr">
        <is>
          <t>Spain</t>
        </is>
      </c>
      <c r="H4353" t="inlineStr">
        <is>
          <t>Mobile App</t>
        </is>
      </c>
      <c r="I4353" t="n">
        <v>1</v>
      </c>
      <c r="J4353" s="3" t="n">
        <v>307.23</v>
      </c>
      <c r="K4353" s="3" t="n">
        <v>0</v>
      </c>
      <c r="L4353" s="3" t="n">
        <v>307.23</v>
      </c>
      <c r="M4353" s="3" t="n">
        <v>167.4</v>
      </c>
      <c r="N4353" s="3" t="n">
        <v>139.83</v>
      </c>
      <c r="O4353">
        <f>TEXT(A4353,"yyyy-mm")</f>
        <v/>
      </c>
    </row>
    <row r="4354">
      <c r="A4354" s="2" t="n">
        <v>46207</v>
      </c>
      <c r="B4354" t="n">
        <v>2026</v>
      </c>
      <c r="C4354" t="inlineStr">
        <is>
          <t>July</t>
        </is>
      </c>
      <c r="D4354" t="inlineStr">
        <is>
          <t>Portable Pasta</t>
        </is>
      </c>
      <c r="E4354" t="inlineStr">
        <is>
          <t>Grocery</t>
        </is>
      </c>
      <c r="F4354" t="inlineStr">
        <is>
          <t>Sophie Zielinski</t>
        </is>
      </c>
      <c r="G4354" t="inlineStr">
        <is>
          <t>Spain</t>
        </is>
      </c>
      <c r="H4354" t="inlineStr">
        <is>
          <t>Web Store</t>
        </is>
      </c>
      <c r="I4354" t="n">
        <v>1</v>
      </c>
      <c r="J4354" s="3" t="n">
        <v>35.97</v>
      </c>
      <c r="K4354" s="3" t="n">
        <v>0</v>
      </c>
      <c r="L4354" s="3" t="n">
        <v>35.97</v>
      </c>
      <c r="M4354" s="3" t="n">
        <v>27.75</v>
      </c>
      <c r="N4354" s="3" t="n">
        <v>8.220000000000001</v>
      </c>
      <c r="O4354">
        <f>TEXT(A4354,"yyyy-mm")</f>
        <v/>
      </c>
    </row>
    <row r="4355">
      <c r="A4355" s="2" t="n">
        <v>46207</v>
      </c>
      <c r="B4355" t="n">
        <v>2026</v>
      </c>
      <c r="C4355" t="inlineStr">
        <is>
          <t>July</t>
        </is>
      </c>
      <c r="D4355" t="inlineStr">
        <is>
          <t>Smart Puzzle</t>
        </is>
      </c>
      <c r="E4355" t="inlineStr">
        <is>
          <t>Toys &amp; Games</t>
        </is>
      </c>
      <c r="F4355" t="inlineStr">
        <is>
          <t>Olivia Bianchi</t>
        </is>
      </c>
      <c r="G4355" t="inlineStr">
        <is>
          <t>Spain</t>
        </is>
      </c>
      <c r="H4355" t="inlineStr">
        <is>
          <t>Mobile App</t>
        </is>
      </c>
      <c r="I4355" t="n">
        <v>1</v>
      </c>
      <c r="J4355" s="3" t="n">
        <v>44.01</v>
      </c>
      <c r="K4355" s="3" t="n">
        <v>2.2</v>
      </c>
      <c r="L4355" s="3" t="n">
        <v>41.81</v>
      </c>
      <c r="M4355" s="3" t="n">
        <v>24.44</v>
      </c>
      <c r="N4355" s="3" t="n">
        <v>17.37</v>
      </c>
      <c r="O4355">
        <f>TEXT(A4355,"yyyy-mm")</f>
        <v/>
      </c>
    </row>
    <row r="4356">
      <c r="A4356" s="2" t="n">
        <v>46207</v>
      </c>
      <c r="B4356" t="n">
        <v>2026</v>
      </c>
      <c r="C4356" t="inlineStr">
        <is>
          <t>July</t>
        </is>
      </c>
      <c r="D4356" t="inlineStr">
        <is>
          <t>Smart Honey</t>
        </is>
      </c>
      <c r="E4356" t="inlineStr">
        <is>
          <t>Grocery</t>
        </is>
      </c>
      <c r="F4356" t="inlineStr">
        <is>
          <t>Olivia Bianchi</t>
        </is>
      </c>
      <c r="G4356" t="inlineStr">
        <is>
          <t>Spain</t>
        </is>
      </c>
      <c r="H4356" t="inlineStr">
        <is>
          <t>Mobile App</t>
        </is>
      </c>
      <c r="I4356" t="n">
        <v>4</v>
      </c>
      <c r="J4356" s="3" t="n">
        <v>553.52</v>
      </c>
      <c r="K4356" s="3" t="n">
        <v>27.68</v>
      </c>
      <c r="L4356" s="3" t="n">
        <v>525.84</v>
      </c>
      <c r="M4356" s="3" t="n">
        <v>285.76</v>
      </c>
      <c r="N4356" s="3" t="n">
        <v>240.08</v>
      </c>
      <c r="O4356">
        <f>TEXT(A4356,"yyyy-mm")</f>
        <v/>
      </c>
    </row>
    <row r="4357">
      <c r="A4357" s="2" t="n">
        <v>46209</v>
      </c>
      <c r="B4357" t="n">
        <v>2026</v>
      </c>
      <c r="C4357" t="inlineStr">
        <is>
          <t>July</t>
        </is>
      </c>
      <c r="D4357" t="inlineStr">
        <is>
          <t>Ultra Toolset</t>
        </is>
      </c>
      <c r="E4357" t="inlineStr">
        <is>
          <t>Home &amp; Garden</t>
        </is>
      </c>
      <c r="F4357" t="inlineStr">
        <is>
          <t>James Zielinski</t>
        </is>
      </c>
      <c r="G4357" t="inlineStr">
        <is>
          <t>France</t>
        </is>
      </c>
      <c r="H4357" t="inlineStr">
        <is>
          <t>Mobile App</t>
        </is>
      </c>
      <c r="I4357" t="n">
        <v>1</v>
      </c>
      <c r="J4357" s="3" t="n">
        <v>352.84</v>
      </c>
      <c r="K4357" s="3" t="n">
        <v>35.28</v>
      </c>
      <c r="L4357" s="3" t="n">
        <v>317.56</v>
      </c>
      <c r="M4357" s="3" t="n">
        <v>190.4</v>
      </c>
      <c r="N4357" s="3" t="n">
        <v>127.16</v>
      </c>
      <c r="O4357">
        <f>TEXT(A4357,"yyyy-mm")</f>
        <v/>
      </c>
    </row>
    <row r="4358">
      <c r="A4358" s="2" t="n">
        <v>46209</v>
      </c>
      <c r="B4358" t="n">
        <v>2026</v>
      </c>
      <c r="C4358" t="inlineStr">
        <is>
          <t>July</t>
        </is>
      </c>
      <c r="D4358" t="inlineStr">
        <is>
          <t>Portable Pasta</t>
        </is>
      </c>
      <c r="E4358" t="inlineStr">
        <is>
          <t>Grocery</t>
        </is>
      </c>
      <c r="F4358" t="inlineStr">
        <is>
          <t>Olivia Brown</t>
        </is>
      </c>
      <c r="G4358" t="inlineStr">
        <is>
          <t>United States</t>
        </is>
      </c>
      <c r="H4358" t="inlineStr">
        <is>
          <t>Retail Store</t>
        </is>
      </c>
      <c r="I4358" t="n">
        <v>3</v>
      </c>
      <c r="J4358" s="3" t="n">
        <v>112.83</v>
      </c>
      <c r="K4358" s="3" t="n">
        <v>16.92</v>
      </c>
      <c r="L4358" s="3" t="n">
        <v>95.91</v>
      </c>
      <c r="M4358" s="3" t="n">
        <v>83.25</v>
      </c>
      <c r="N4358" s="3" t="n">
        <v>12.66</v>
      </c>
      <c r="O4358">
        <f>TEXT(A4358,"yyyy-mm")</f>
        <v/>
      </c>
    </row>
    <row r="4359">
      <c r="A4359" s="2" t="n">
        <v>46209</v>
      </c>
      <c r="B4359" t="n">
        <v>2026</v>
      </c>
      <c r="C4359" t="inlineStr">
        <is>
          <t>July</t>
        </is>
      </c>
      <c r="D4359" t="inlineStr">
        <is>
          <t>Portable Tea Set</t>
        </is>
      </c>
      <c r="E4359" t="inlineStr">
        <is>
          <t>Grocery</t>
        </is>
      </c>
      <c r="F4359" t="inlineStr">
        <is>
          <t>Olivia Brown</t>
        </is>
      </c>
      <c r="G4359" t="inlineStr">
        <is>
          <t>United States</t>
        </is>
      </c>
      <c r="H4359" t="inlineStr">
        <is>
          <t>Retail Store</t>
        </is>
      </c>
      <c r="I4359" t="n">
        <v>5</v>
      </c>
      <c r="J4359" s="3" t="n">
        <v>1372</v>
      </c>
      <c r="K4359" s="3" t="n">
        <v>0</v>
      </c>
      <c r="L4359" s="3" t="n">
        <v>1372</v>
      </c>
      <c r="M4359" s="3" t="n">
        <v>940.6</v>
      </c>
      <c r="N4359" s="3" t="n">
        <v>431.4</v>
      </c>
      <c r="O4359">
        <f>TEXT(A4359,"yyyy-mm")</f>
        <v/>
      </c>
    </row>
    <row r="4360">
      <c r="A4360" s="2" t="n">
        <v>46209</v>
      </c>
      <c r="B4360" t="n">
        <v>2026</v>
      </c>
      <c r="C4360" t="inlineStr">
        <is>
          <t>July</t>
        </is>
      </c>
      <c r="D4360" t="inlineStr">
        <is>
          <t>Compact Biography</t>
        </is>
      </c>
      <c r="E4360" t="inlineStr">
        <is>
          <t>Books</t>
        </is>
      </c>
      <c r="F4360" t="inlineStr">
        <is>
          <t>Peter Muller</t>
        </is>
      </c>
      <c r="G4360" t="inlineStr">
        <is>
          <t>Poland</t>
        </is>
      </c>
      <c r="H4360" t="inlineStr">
        <is>
          <t>Mobile App</t>
        </is>
      </c>
      <c r="I4360" t="n">
        <v>3</v>
      </c>
      <c r="J4360" s="3" t="n">
        <v>779.13</v>
      </c>
      <c r="K4360" s="3" t="n">
        <v>0</v>
      </c>
      <c r="L4360" s="3" t="n">
        <v>779.13</v>
      </c>
      <c r="M4360" s="3" t="n">
        <v>420.99</v>
      </c>
      <c r="N4360" s="3" t="n">
        <v>358.14</v>
      </c>
      <c r="O4360">
        <f>TEXT(A4360,"yyyy-mm")</f>
        <v/>
      </c>
    </row>
    <row r="4361">
      <c r="A4361" s="2" t="n">
        <v>46209</v>
      </c>
      <c r="B4361" t="n">
        <v>2026</v>
      </c>
      <c r="C4361" t="inlineStr">
        <is>
          <t>July</t>
        </is>
      </c>
      <c r="D4361" t="inlineStr">
        <is>
          <t>Smart Olive Oil</t>
        </is>
      </c>
      <c r="E4361" t="inlineStr">
        <is>
          <t>Grocery</t>
        </is>
      </c>
      <c r="F4361" t="inlineStr">
        <is>
          <t>Peter Muller</t>
        </is>
      </c>
      <c r="G4361" t="inlineStr">
        <is>
          <t>Poland</t>
        </is>
      </c>
      <c r="H4361" t="inlineStr">
        <is>
          <t>Mobile App</t>
        </is>
      </c>
      <c r="I4361" t="n">
        <v>4</v>
      </c>
      <c r="J4361" s="3" t="n">
        <v>674.04</v>
      </c>
      <c r="K4361" s="3" t="n">
        <v>0</v>
      </c>
      <c r="L4361" s="3" t="n">
        <v>674.04</v>
      </c>
      <c r="M4361" s="3" t="n">
        <v>440.08</v>
      </c>
      <c r="N4361" s="3" t="n">
        <v>233.96</v>
      </c>
      <c r="O4361">
        <f>TEXT(A4361,"yyyy-mm")</f>
        <v/>
      </c>
    </row>
    <row r="4362">
      <c r="A4362" s="2" t="n">
        <v>46209</v>
      </c>
      <c r="B4362" t="n">
        <v>2026</v>
      </c>
      <c r="C4362" t="inlineStr">
        <is>
          <t>July</t>
        </is>
      </c>
      <c r="D4362" t="inlineStr">
        <is>
          <t>Eco Biography</t>
        </is>
      </c>
      <c r="E4362" t="inlineStr">
        <is>
          <t>Books</t>
        </is>
      </c>
      <c r="F4362" t="inlineStr">
        <is>
          <t>David Wojcik</t>
        </is>
      </c>
      <c r="G4362" t="inlineStr">
        <is>
          <t>Germany</t>
        </is>
      </c>
      <c r="H4362" t="inlineStr">
        <is>
          <t>Retail Store</t>
        </is>
      </c>
      <c r="I4362" t="n">
        <v>2</v>
      </c>
      <c r="J4362" s="3" t="n">
        <v>241.92</v>
      </c>
      <c r="K4362" s="3" t="n">
        <v>36.29</v>
      </c>
      <c r="L4362" s="3" t="n">
        <v>205.63</v>
      </c>
      <c r="M4362" s="3" t="n">
        <v>142.04</v>
      </c>
      <c r="N4362" s="3" t="n">
        <v>63.59</v>
      </c>
      <c r="O4362">
        <f>TEXT(A4362,"yyyy-mm")</f>
        <v/>
      </c>
    </row>
    <row r="4363">
      <c r="A4363" s="2" t="n">
        <v>46209</v>
      </c>
      <c r="B4363" t="n">
        <v>2026</v>
      </c>
      <c r="C4363" t="inlineStr">
        <is>
          <t>July</t>
        </is>
      </c>
      <c r="D4363" t="inlineStr">
        <is>
          <t>Deluxe Headphones</t>
        </is>
      </c>
      <c r="E4363" t="inlineStr">
        <is>
          <t>Electronics</t>
        </is>
      </c>
      <c r="F4363" t="inlineStr">
        <is>
          <t>Peter Muller</t>
        </is>
      </c>
      <c r="G4363" t="inlineStr">
        <is>
          <t>Poland</t>
        </is>
      </c>
      <c r="H4363" t="inlineStr">
        <is>
          <t>Mobile App</t>
        </is>
      </c>
      <c r="I4363" t="n">
        <v>5</v>
      </c>
      <c r="J4363" s="3" t="n">
        <v>361.7</v>
      </c>
      <c r="K4363" s="3" t="n">
        <v>18.09</v>
      </c>
      <c r="L4363" s="3" t="n">
        <v>343.62</v>
      </c>
      <c r="M4363" s="3" t="n">
        <v>262.5</v>
      </c>
      <c r="N4363" s="3" t="n">
        <v>81.12</v>
      </c>
      <c r="O4363">
        <f>TEXT(A4363,"yyyy-mm")</f>
        <v/>
      </c>
    </row>
    <row r="4364">
      <c r="A4364" s="2" t="n">
        <v>46209</v>
      </c>
      <c r="B4364" t="n">
        <v>2026</v>
      </c>
      <c r="C4364" t="inlineStr">
        <is>
          <t>July</t>
        </is>
      </c>
      <c r="D4364" t="inlineStr">
        <is>
          <t>Premium Rug</t>
        </is>
      </c>
      <c r="E4364" t="inlineStr">
        <is>
          <t>Home &amp; Garden</t>
        </is>
      </c>
      <c r="F4364" t="inlineStr">
        <is>
          <t>Olivia Muller</t>
        </is>
      </c>
      <c r="G4364" t="inlineStr">
        <is>
          <t>United Kingdom</t>
        </is>
      </c>
      <c r="H4364" t="inlineStr">
        <is>
          <t>Web Store</t>
        </is>
      </c>
      <c r="I4364" t="n">
        <v>2</v>
      </c>
      <c r="J4364" s="3" t="n">
        <v>389.48</v>
      </c>
      <c r="K4364" s="3" t="n">
        <v>38.95</v>
      </c>
      <c r="L4364" s="3" t="n">
        <v>350.53</v>
      </c>
      <c r="M4364" s="3" t="n">
        <v>222.38</v>
      </c>
      <c r="N4364" s="3" t="n">
        <v>128.15</v>
      </c>
      <c r="O4364">
        <f>TEXT(A4364,"yyyy-mm")</f>
        <v/>
      </c>
    </row>
    <row r="4365">
      <c r="A4365" s="2" t="n">
        <v>46209</v>
      </c>
      <c r="B4365" t="n">
        <v>2026</v>
      </c>
      <c r="C4365" t="inlineStr">
        <is>
          <t>July</t>
        </is>
      </c>
      <c r="D4365" t="inlineStr">
        <is>
          <t>Classic Tea Set</t>
        </is>
      </c>
      <c r="E4365" t="inlineStr">
        <is>
          <t>Grocery</t>
        </is>
      </c>
      <c r="F4365" t="inlineStr">
        <is>
          <t>Olivia Muller</t>
        </is>
      </c>
      <c r="G4365" t="inlineStr">
        <is>
          <t>United Kingdom</t>
        </is>
      </c>
      <c r="H4365" t="inlineStr">
        <is>
          <t>Web Store</t>
        </is>
      </c>
      <c r="I4365" t="n">
        <v>1</v>
      </c>
      <c r="J4365" s="3" t="n">
        <v>184.92</v>
      </c>
      <c r="K4365" s="3" t="n">
        <v>0</v>
      </c>
      <c r="L4365" s="3" t="n">
        <v>184.92</v>
      </c>
      <c r="M4365" s="3" t="n">
        <v>125.4</v>
      </c>
      <c r="N4365" s="3" t="n">
        <v>59.52</v>
      </c>
      <c r="O4365">
        <f>TEXT(A4365,"yyyy-mm")</f>
        <v/>
      </c>
    </row>
    <row r="4366">
      <c r="A4366" s="2" t="n">
        <v>46209</v>
      </c>
      <c r="B4366" t="n">
        <v>2026</v>
      </c>
      <c r="C4366" t="inlineStr">
        <is>
          <t>July</t>
        </is>
      </c>
      <c r="D4366" t="inlineStr">
        <is>
          <t>Smart Charger</t>
        </is>
      </c>
      <c r="E4366" t="inlineStr">
        <is>
          <t>Electronics</t>
        </is>
      </c>
      <c r="F4366" t="inlineStr">
        <is>
          <t>Olivia Muller</t>
        </is>
      </c>
      <c r="G4366" t="inlineStr">
        <is>
          <t>United Kingdom</t>
        </is>
      </c>
      <c r="H4366" t="inlineStr">
        <is>
          <t>Web Store</t>
        </is>
      </c>
      <c r="I4366" t="n">
        <v>3</v>
      </c>
      <c r="J4366" s="3" t="n">
        <v>118.05</v>
      </c>
      <c r="K4366" s="3" t="n">
        <v>5.9</v>
      </c>
      <c r="L4366" s="3" t="n">
        <v>112.15</v>
      </c>
      <c r="M4366" s="3" t="n">
        <v>82.92</v>
      </c>
      <c r="N4366" s="3" t="n">
        <v>29.23</v>
      </c>
      <c r="O4366">
        <f>TEXT(A4366,"yyyy-mm")</f>
        <v/>
      </c>
    </row>
    <row r="4367">
      <c r="A4367" s="2" t="n">
        <v>46209</v>
      </c>
      <c r="B4367" t="n">
        <v>2026</v>
      </c>
      <c r="C4367" t="inlineStr">
        <is>
          <t>July</t>
        </is>
      </c>
      <c r="D4367" t="inlineStr">
        <is>
          <t>Portable Toolset</t>
        </is>
      </c>
      <c r="E4367" t="inlineStr">
        <is>
          <t>Home &amp; Garden</t>
        </is>
      </c>
      <c r="F4367" t="inlineStr">
        <is>
          <t>Olivia Muller</t>
        </is>
      </c>
      <c r="G4367" t="inlineStr">
        <is>
          <t>United Kingdom</t>
        </is>
      </c>
      <c r="H4367" t="inlineStr">
        <is>
          <t>Web Store</t>
        </is>
      </c>
      <c r="I4367" t="n">
        <v>4</v>
      </c>
      <c r="J4367" s="3" t="n">
        <v>575</v>
      </c>
      <c r="K4367" s="3" t="n">
        <v>86.25</v>
      </c>
      <c r="L4367" s="3" t="n">
        <v>488.75</v>
      </c>
      <c r="M4367" s="3" t="n">
        <v>371.4</v>
      </c>
      <c r="N4367" s="3" t="n">
        <v>117.35</v>
      </c>
      <c r="O4367">
        <f>TEXT(A4367,"yyyy-mm")</f>
        <v/>
      </c>
    </row>
    <row r="4368">
      <c r="A4368" s="2" t="n">
        <v>46209</v>
      </c>
      <c r="B4368" t="n">
        <v>2026</v>
      </c>
      <c r="C4368" t="inlineStr">
        <is>
          <t>July</t>
        </is>
      </c>
      <c r="D4368" t="inlineStr">
        <is>
          <t>Smart Puzzle</t>
        </is>
      </c>
      <c r="E4368" t="inlineStr">
        <is>
          <t>Toys &amp; Games</t>
        </is>
      </c>
      <c r="F4368" t="inlineStr">
        <is>
          <t>James Zielinski</t>
        </is>
      </c>
      <c r="G4368" t="inlineStr">
        <is>
          <t>France</t>
        </is>
      </c>
      <c r="H4368" t="inlineStr">
        <is>
          <t>Mobile App</t>
        </is>
      </c>
      <c r="I4368" t="n">
        <v>3</v>
      </c>
      <c r="J4368" s="3" t="n">
        <v>789.15</v>
      </c>
      <c r="K4368" s="3" t="n">
        <v>118.37</v>
      </c>
      <c r="L4368" s="3" t="n">
        <v>670.78</v>
      </c>
      <c r="M4368" s="3" t="n">
        <v>578.28</v>
      </c>
      <c r="N4368" s="3" t="n">
        <v>92.5</v>
      </c>
      <c r="O4368">
        <f>TEXT(A4368,"yyyy-mm")</f>
        <v/>
      </c>
    </row>
    <row r="4369">
      <c r="A4369" s="2" t="n">
        <v>46209</v>
      </c>
      <c r="B4369" t="n">
        <v>2026</v>
      </c>
      <c r="C4369" t="inlineStr">
        <is>
          <t>July</t>
        </is>
      </c>
      <c r="D4369" t="inlineStr">
        <is>
          <t>Deluxe Cookbook</t>
        </is>
      </c>
      <c r="E4369" t="inlineStr">
        <is>
          <t>Books</t>
        </is>
      </c>
      <c r="F4369" t="inlineStr">
        <is>
          <t>Peter Muller</t>
        </is>
      </c>
      <c r="G4369" t="inlineStr">
        <is>
          <t>Poland</t>
        </is>
      </c>
      <c r="H4369" t="inlineStr">
        <is>
          <t>Mobile App</t>
        </is>
      </c>
      <c r="I4369" t="n">
        <v>1</v>
      </c>
      <c r="J4369" s="3" t="n">
        <v>133.95</v>
      </c>
      <c r="K4369" s="3" t="n">
        <v>0</v>
      </c>
      <c r="L4369" s="3" t="n">
        <v>133.95</v>
      </c>
      <c r="M4369" s="3" t="n">
        <v>85.27</v>
      </c>
      <c r="N4369" s="3" t="n">
        <v>48.68</v>
      </c>
      <c r="O4369">
        <f>TEXT(A4369,"yyyy-mm")</f>
        <v/>
      </c>
    </row>
    <row r="4370">
      <c r="A4370" s="2" t="n">
        <v>46210</v>
      </c>
      <c r="B4370" t="n">
        <v>2026</v>
      </c>
      <c r="C4370" t="inlineStr">
        <is>
          <t>July</t>
        </is>
      </c>
      <c r="D4370" t="inlineStr">
        <is>
          <t>Smart Honey</t>
        </is>
      </c>
      <c r="E4370" t="inlineStr">
        <is>
          <t>Grocery</t>
        </is>
      </c>
      <c r="F4370" t="inlineStr">
        <is>
          <t>John Dubois</t>
        </is>
      </c>
      <c r="G4370" t="inlineStr">
        <is>
          <t>United Kingdom</t>
        </is>
      </c>
      <c r="H4370" t="inlineStr">
        <is>
          <t>Mobile App</t>
        </is>
      </c>
      <c r="I4370" t="n">
        <v>4</v>
      </c>
      <c r="J4370" s="3" t="n">
        <v>537.48</v>
      </c>
      <c r="K4370" s="3" t="n">
        <v>0</v>
      </c>
      <c r="L4370" s="3" t="n">
        <v>537.48</v>
      </c>
      <c r="M4370" s="3" t="n">
        <v>285.76</v>
      </c>
      <c r="N4370" s="3" t="n">
        <v>251.72</v>
      </c>
      <c r="O4370">
        <f>TEXT(A4370,"yyyy-mm")</f>
        <v/>
      </c>
    </row>
    <row r="4371">
      <c r="A4371" s="2" t="n">
        <v>46210</v>
      </c>
      <c r="B4371" t="n">
        <v>2026</v>
      </c>
      <c r="C4371" t="inlineStr">
        <is>
          <t>July</t>
        </is>
      </c>
      <c r="D4371" t="inlineStr">
        <is>
          <t>Smart Puzzle</t>
        </is>
      </c>
      <c r="E4371" t="inlineStr">
        <is>
          <t>Toys &amp; Games</t>
        </is>
      </c>
      <c r="F4371" t="inlineStr">
        <is>
          <t>Olivia Rossi</t>
        </is>
      </c>
      <c r="G4371" t="inlineStr">
        <is>
          <t>Spain</t>
        </is>
      </c>
      <c r="H4371" t="inlineStr">
        <is>
          <t>Retail Store</t>
        </is>
      </c>
      <c r="I4371" t="n">
        <v>2</v>
      </c>
      <c r="J4371" s="3" t="n">
        <v>90.72</v>
      </c>
      <c r="K4371" s="3" t="n">
        <v>0</v>
      </c>
      <c r="L4371" s="3" t="n">
        <v>90.72</v>
      </c>
      <c r="M4371" s="3" t="n">
        <v>48.88</v>
      </c>
      <c r="N4371" s="3" t="n">
        <v>41.84</v>
      </c>
      <c r="O4371">
        <f>TEXT(A4371,"yyyy-mm")</f>
        <v/>
      </c>
    </row>
    <row r="4372">
      <c r="A4372" s="2" t="n">
        <v>46210</v>
      </c>
      <c r="B4372" t="n">
        <v>2026</v>
      </c>
      <c r="C4372" t="inlineStr">
        <is>
          <t>July</t>
        </is>
      </c>
      <c r="D4372" t="inlineStr">
        <is>
          <t>Wireless Coffee Beans</t>
        </is>
      </c>
      <c r="E4372" t="inlineStr">
        <is>
          <t>Grocery</t>
        </is>
      </c>
      <c r="F4372" t="inlineStr">
        <is>
          <t>Laura Muller</t>
        </is>
      </c>
      <c r="G4372" t="inlineStr">
        <is>
          <t>Italy</t>
        </is>
      </c>
      <c r="H4372" t="inlineStr">
        <is>
          <t>Mobile App</t>
        </is>
      </c>
      <c r="I4372" t="n">
        <v>5</v>
      </c>
      <c r="J4372" s="3" t="n">
        <v>592.75</v>
      </c>
      <c r="K4372" s="3" t="n">
        <v>0</v>
      </c>
      <c r="L4372" s="3" t="n">
        <v>592.75</v>
      </c>
      <c r="M4372" s="3" t="n">
        <v>396.85</v>
      </c>
      <c r="N4372" s="3" t="n">
        <v>195.9</v>
      </c>
      <c r="O4372">
        <f>TEXT(A4372,"yyyy-mm")</f>
        <v/>
      </c>
    </row>
    <row r="4373">
      <c r="A4373" s="2" t="n">
        <v>46210</v>
      </c>
      <c r="B4373" t="n">
        <v>2026</v>
      </c>
      <c r="C4373" t="inlineStr">
        <is>
          <t>July</t>
        </is>
      </c>
      <c r="D4373" t="inlineStr">
        <is>
          <t>Essential Charger</t>
        </is>
      </c>
      <c r="E4373" t="inlineStr">
        <is>
          <t>Electronics</t>
        </is>
      </c>
      <c r="F4373" t="inlineStr">
        <is>
          <t>Laura Muller</t>
        </is>
      </c>
      <c r="G4373" t="inlineStr">
        <is>
          <t>Italy</t>
        </is>
      </c>
      <c r="H4373" t="inlineStr">
        <is>
          <t>Mobile App</t>
        </is>
      </c>
      <c r="I4373" t="n">
        <v>3</v>
      </c>
      <c r="J4373" s="3" t="n">
        <v>139.29</v>
      </c>
      <c r="K4373" s="3" t="n">
        <v>20.89</v>
      </c>
      <c r="L4373" s="3" t="n">
        <v>118.4</v>
      </c>
      <c r="M4373" s="3" t="n">
        <v>87.3</v>
      </c>
      <c r="N4373" s="3" t="n">
        <v>31.1</v>
      </c>
      <c r="O4373">
        <f>TEXT(A4373,"yyyy-mm")</f>
        <v/>
      </c>
    </row>
    <row r="4374">
      <c r="A4374" s="2" t="n">
        <v>46210</v>
      </c>
      <c r="B4374" t="n">
        <v>2026</v>
      </c>
      <c r="C4374" t="inlineStr">
        <is>
          <t>July</t>
        </is>
      </c>
      <c r="D4374" t="inlineStr">
        <is>
          <t>Wireless Cookbook</t>
        </is>
      </c>
      <c r="E4374" t="inlineStr">
        <is>
          <t>Books</t>
        </is>
      </c>
      <c r="F4374" t="inlineStr">
        <is>
          <t>Laura Muller</t>
        </is>
      </c>
      <c r="G4374" t="inlineStr">
        <is>
          <t>Italy</t>
        </is>
      </c>
      <c r="H4374" t="inlineStr">
        <is>
          <t>Mobile App</t>
        </is>
      </c>
      <c r="I4374" t="n">
        <v>5</v>
      </c>
      <c r="J4374" s="3" t="n">
        <v>366.15</v>
      </c>
      <c r="K4374" s="3" t="n">
        <v>36.62</v>
      </c>
      <c r="L4374" s="3" t="n">
        <v>329.54</v>
      </c>
      <c r="M4374" s="3" t="n">
        <v>283.05</v>
      </c>
      <c r="N4374" s="3" t="n">
        <v>46.49</v>
      </c>
      <c r="O4374">
        <f>TEXT(A4374,"yyyy-mm")</f>
        <v/>
      </c>
    </row>
    <row r="4375">
      <c r="A4375" s="2" t="n">
        <v>46210</v>
      </c>
      <c r="B4375" t="n">
        <v>2026</v>
      </c>
      <c r="C4375" t="inlineStr">
        <is>
          <t>July</t>
        </is>
      </c>
      <c r="D4375" t="inlineStr">
        <is>
          <t>Smart Sweater</t>
        </is>
      </c>
      <c r="E4375" t="inlineStr">
        <is>
          <t>Clothing</t>
        </is>
      </c>
      <c r="F4375" t="inlineStr">
        <is>
          <t>Laura Muller</t>
        </is>
      </c>
      <c r="G4375" t="inlineStr">
        <is>
          <t>Italy</t>
        </is>
      </c>
      <c r="H4375" t="inlineStr">
        <is>
          <t>Mobile App</t>
        </is>
      </c>
      <c r="I4375" t="n">
        <v>4</v>
      </c>
      <c r="J4375" s="3" t="n">
        <v>593.48</v>
      </c>
      <c r="K4375" s="3" t="n">
        <v>0</v>
      </c>
      <c r="L4375" s="3" t="n">
        <v>593.48</v>
      </c>
      <c r="M4375" s="3" t="n">
        <v>309.4</v>
      </c>
      <c r="N4375" s="3" t="n">
        <v>284.08</v>
      </c>
      <c r="O4375">
        <f>TEXT(A4375,"yyyy-mm")</f>
        <v/>
      </c>
    </row>
    <row r="4376">
      <c r="A4376" s="2" t="n">
        <v>46211</v>
      </c>
      <c r="B4376" t="n">
        <v>2026</v>
      </c>
      <c r="C4376" t="inlineStr">
        <is>
          <t>July</t>
        </is>
      </c>
      <c r="D4376" t="inlineStr">
        <is>
          <t>Compact Sunscreen</t>
        </is>
      </c>
      <c r="E4376" t="inlineStr">
        <is>
          <t>Beauty &amp; Health</t>
        </is>
      </c>
      <c r="F4376" t="inlineStr">
        <is>
          <t>Clara Martin</t>
        </is>
      </c>
      <c r="G4376" t="inlineStr">
        <is>
          <t>United Kingdom</t>
        </is>
      </c>
      <c r="H4376" t="inlineStr">
        <is>
          <t>Mobile App</t>
        </is>
      </c>
      <c r="I4376" t="n">
        <v>1</v>
      </c>
      <c r="J4376" s="3" t="n">
        <v>287.1</v>
      </c>
      <c r="K4376" s="3" t="n">
        <v>43.07</v>
      </c>
      <c r="L4376" s="3" t="n">
        <v>244.04</v>
      </c>
      <c r="M4376" s="3" t="n">
        <v>177.66</v>
      </c>
      <c r="N4376" s="3" t="n">
        <v>66.38</v>
      </c>
      <c r="O4376">
        <f>TEXT(A4376,"yyyy-mm")</f>
        <v/>
      </c>
    </row>
    <row r="4377">
      <c r="A4377" s="2" t="n">
        <v>46211</v>
      </c>
      <c r="B4377" t="n">
        <v>2026</v>
      </c>
      <c r="C4377" t="inlineStr">
        <is>
          <t>July</t>
        </is>
      </c>
      <c r="D4377" t="inlineStr">
        <is>
          <t>Ultra Vitamins</t>
        </is>
      </c>
      <c r="E4377" t="inlineStr">
        <is>
          <t>Beauty &amp; Health</t>
        </is>
      </c>
      <c r="F4377" t="inlineStr">
        <is>
          <t>Clara Martin</t>
        </is>
      </c>
      <c r="G4377" t="inlineStr">
        <is>
          <t>United Kingdom</t>
        </is>
      </c>
      <c r="H4377" t="inlineStr">
        <is>
          <t>Mobile App</t>
        </is>
      </c>
      <c r="I4377" t="n">
        <v>5</v>
      </c>
      <c r="J4377" s="3" t="n">
        <v>1025.55</v>
      </c>
      <c r="K4377" s="3" t="n">
        <v>0</v>
      </c>
      <c r="L4377" s="3" t="n">
        <v>1025.55</v>
      </c>
      <c r="M4377" s="3" t="n">
        <v>630.5</v>
      </c>
      <c r="N4377" s="3" t="n">
        <v>395.05</v>
      </c>
      <c r="O4377">
        <f>TEXT(A4377,"yyyy-mm")</f>
        <v/>
      </c>
    </row>
    <row r="4378">
      <c r="A4378" s="2" t="n">
        <v>46211</v>
      </c>
      <c r="B4378" t="n">
        <v>2026</v>
      </c>
      <c r="C4378" t="inlineStr">
        <is>
          <t>July</t>
        </is>
      </c>
      <c r="D4378" t="inlineStr">
        <is>
          <t>Wireless Backpack</t>
        </is>
      </c>
      <c r="E4378" t="inlineStr">
        <is>
          <t>Sports &amp; Outdoors</t>
        </is>
      </c>
      <c r="F4378" t="inlineStr">
        <is>
          <t>Clara Martin</t>
        </is>
      </c>
      <c r="G4378" t="inlineStr">
        <is>
          <t>United Kingdom</t>
        </is>
      </c>
      <c r="H4378" t="inlineStr">
        <is>
          <t>Mobile App</t>
        </is>
      </c>
      <c r="I4378" t="n">
        <v>5</v>
      </c>
      <c r="J4378" s="3" t="n">
        <v>245.05</v>
      </c>
      <c r="K4378" s="3" t="n">
        <v>36.76</v>
      </c>
      <c r="L4378" s="3" t="n">
        <v>208.29</v>
      </c>
      <c r="M4378" s="3" t="n">
        <v>140.5</v>
      </c>
      <c r="N4378" s="3" t="n">
        <v>67.79000000000001</v>
      </c>
      <c r="O4378">
        <f>TEXT(A4378,"yyyy-mm")</f>
        <v/>
      </c>
    </row>
    <row r="4379">
      <c r="A4379" s="2" t="n">
        <v>46211</v>
      </c>
      <c r="B4379" t="n">
        <v>2026</v>
      </c>
      <c r="C4379" t="inlineStr">
        <is>
          <t>July</t>
        </is>
      </c>
      <c r="D4379" t="inlineStr">
        <is>
          <t>Classic Atlas</t>
        </is>
      </c>
      <c r="E4379" t="inlineStr">
        <is>
          <t>Books</t>
        </is>
      </c>
      <c r="F4379" t="inlineStr">
        <is>
          <t>Paul Fischer</t>
        </is>
      </c>
      <c r="G4379" t="inlineStr">
        <is>
          <t>Poland</t>
        </is>
      </c>
      <c r="H4379" t="inlineStr">
        <is>
          <t>Web Store</t>
        </is>
      </c>
      <c r="I4379" t="n">
        <v>2</v>
      </c>
      <c r="J4379" s="3" t="n">
        <v>120.46</v>
      </c>
      <c r="K4379" s="3" t="n">
        <v>18.07</v>
      </c>
      <c r="L4379" s="3" t="n">
        <v>102.39</v>
      </c>
      <c r="M4379" s="3" t="n">
        <v>69.18000000000001</v>
      </c>
      <c r="N4379" s="3" t="n">
        <v>33.21</v>
      </c>
      <c r="O4379">
        <f>TEXT(A4379,"yyyy-mm")</f>
        <v/>
      </c>
    </row>
    <row r="4380">
      <c r="A4380" s="2" t="n">
        <v>46211</v>
      </c>
      <c r="B4380" t="n">
        <v>2026</v>
      </c>
      <c r="C4380" t="inlineStr">
        <is>
          <t>July</t>
        </is>
      </c>
      <c r="D4380" t="inlineStr">
        <is>
          <t>Portable Toolset</t>
        </is>
      </c>
      <c r="E4380" t="inlineStr">
        <is>
          <t>Home &amp; Garden</t>
        </is>
      </c>
      <c r="F4380" t="inlineStr">
        <is>
          <t>Paul Fischer</t>
        </is>
      </c>
      <c r="G4380" t="inlineStr">
        <is>
          <t>Poland</t>
        </is>
      </c>
      <c r="H4380" t="inlineStr">
        <is>
          <t>Web Store</t>
        </is>
      </c>
      <c r="I4380" t="n">
        <v>5</v>
      </c>
      <c r="J4380" s="3" t="n">
        <v>443.6</v>
      </c>
      <c r="K4380" s="3" t="n">
        <v>88.72</v>
      </c>
      <c r="L4380" s="3" t="n">
        <v>354.88</v>
      </c>
      <c r="M4380" s="3" t="n">
        <v>252.7</v>
      </c>
      <c r="N4380" s="3" t="n">
        <v>102.18</v>
      </c>
      <c r="O4380">
        <f>TEXT(A4380,"yyyy-mm")</f>
        <v/>
      </c>
    </row>
    <row r="4381">
      <c r="A4381" s="2" t="n">
        <v>46211</v>
      </c>
      <c r="B4381" t="n">
        <v>2026</v>
      </c>
      <c r="C4381" t="inlineStr">
        <is>
          <t>July</t>
        </is>
      </c>
      <c r="D4381" t="inlineStr">
        <is>
          <t>Deluxe Smartwatch</t>
        </is>
      </c>
      <c r="E4381" t="inlineStr">
        <is>
          <t>Electronics</t>
        </is>
      </c>
      <c r="F4381" t="inlineStr">
        <is>
          <t>Emily Conti</t>
        </is>
      </c>
      <c r="G4381" t="inlineStr">
        <is>
          <t>Germany</t>
        </is>
      </c>
      <c r="H4381" t="inlineStr">
        <is>
          <t>Mobile App</t>
        </is>
      </c>
      <c r="I4381" t="n">
        <v>2</v>
      </c>
      <c r="J4381" s="3" t="n">
        <v>329.82</v>
      </c>
      <c r="K4381" s="3" t="n">
        <v>16.49</v>
      </c>
      <c r="L4381" s="3" t="n">
        <v>313.33</v>
      </c>
      <c r="M4381" s="3" t="n">
        <v>245.44</v>
      </c>
      <c r="N4381" s="3" t="n">
        <v>67.89</v>
      </c>
      <c r="O4381">
        <f>TEXT(A4381,"yyyy-mm")</f>
        <v/>
      </c>
    </row>
    <row r="4382">
      <c r="A4382" s="2" t="n">
        <v>46211</v>
      </c>
      <c r="B4382" t="n">
        <v>2026</v>
      </c>
      <c r="C4382" t="inlineStr">
        <is>
          <t>July</t>
        </is>
      </c>
      <c r="D4382" t="inlineStr">
        <is>
          <t>Deluxe Headphones</t>
        </is>
      </c>
      <c r="E4382" t="inlineStr">
        <is>
          <t>Electronics</t>
        </is>
      </c>
      <c r="F4382" t="inlineStr">
        <is>
          <t>Emily Conti</t>
        </is>
      </c>
      <c r="G4382" t="inlineStr">
        <is>
          <t>Germany</t>
        </is>
      </c>
      <c r="H4382" t="inlineStr">
        <is>
          <t>Mobile App</t>
        </is>
      </c>
      <c r="I4382" t="n">
        <v>2</v>
      </c>
      <c r="J4382" s="3" t="n">
        <v>139.8</v>
      </c>
      <c r="K4382" s="3" t="n">
        <v>0</v>
      </c>
      <c r="L4382" s="3" t="n">
        <v>139.8</v>
      </c>
      <c r="M4382" s="3" t="n">
        <v>105</v>
      </c>
      <c r="N4382" s="3" t="n">
        <v>34.8</v>
      </c>
      <c r="O4382">
        <f>TEXT(A4382,"yyyy-mm")</f>
        <v/>
      </c>
    </row>
    <row r="4383">
      <c r="A4383" s="2" t="n">
        <v>46212</v>
      </c>
      <c r="B4383" t="n">
        <v>2026</v>
      </c>
      <c r="C4383" t="inlineStr">
        <is>
          <t>July</t>
        </is>
      </c>
      <c r="D4383" t="inlineStr">
        <is>
          <t>Classic Charger</t>
        </is>
      </c>
      <c r="E4383" t="inlineStr">
        <is>
          <t>Electronics</t>
        </is>
      </c>
      <c r="F4383" t="inlineStr">
        <is>
          <t>Clara Nowak</t>
        </is>
      </c>
      <c r="G4383" t="inlineStr">
        <is>
          <t>Italy</t>
        </is>
      </c>
      <c r="H4383" t="inlineStr">
        <is>
          <t>Retail Store</t>
        </is>
      </c>
      <c r="I4383" t="n">
        <v>1</v>
      </c>
      <c r="J4383" s="3" t="n">
        <v>92.44</v>
      </c>
      <c r="K4383" s="3" t="n">
        <v>13.87</v>
      </c>
      <c r="L4383" s="3" t="n">
        <v>78.56999999999999</v>
      </c>
      <c r="M4383" s="3" t="n">
        <v>62.21</v>
      </c>
      <c r="N4383" s="3" t="n">
        <v>16.36</v>
      </c>
      <c r="O4383">
        <f>TEXT(A4383,"yyyy-mm")</f>
        <v/>
      </c>
    </row>
    <row r="4384">
      <c r="A4384" s="2" t="n">
        <v>46212</v>
      </c>
      <c r="B4384" t="n">
        <v>2026</v>
      </c>
      <c r="C4384" t="inlineStr">
        <is>
          <t>July</t>
        </is>
      </c>
      <c r="D4384" t="inlineStr">
        <is>
          <t>Smart Puzzle</t>
        </is>
      </c>
      <c r="E4384" t="inlineStr">
        <is>
          <t>Toys &amp; Games</t>
        </is>
      </c>
      <c r="F4384" t="inlineStr">
        <is>
          <t>Clara Nowak</t>
        </is>
      </c>
      <c r="G4384" t="inlineStr">
        <is>
          <t>Italy</t>
        </is>
      </c>
      <c r="H4384" t="inlineStr">
        <is>
          <t>Retail Store</t>
        </is>
      </c>
      <c r="I4384" t="n">
        <v>4</v>
      </c>
      <c r="J4384" s="3" t="n">
        <v>1052.48</v>
      </c>
      <c r="K4384" s="3" t="n">
        <v>157.87</v>
      </c>
      <c r="L4384" s="3" t="n">
        <v>894.61</v>
      </c>
      <c r="M4384" s="3" t="n">
        <v>771.04</v>
      </c>
      <c r="N4384" s="3" t="n">
        <v>123.57</v>
      </c>
      <c r="O4384">
        <f>TEXT(A4384,"yyyy-mm")</f>
        <v/>
      </c>
    </row>
    <row r="4385">
      <c r="A4385" s="2" t="n">
        <v>46212</v>
      </c>
      <c r="B4385" t="n">
        <v>2026</v>
      </c>
      <c r="C4385" t="inlineStr">
        <is>
          <t>July</t>
        </is>
      </c>
      <c r="D4385" t="inlineStr">
        <is>
          <t>Smart Camera</t>
        </is>
      </c>
      <c r="E4385" t="inlineStr">
        <is>
          <t>Electronics</t>
        </is>
      </c>
      <c r="F4385" t="inlineStr">
        <is>
          <t>Clara Wojcik</t>
        </is>
      </c>
      <c r="G4385" t="inlineStr">
        <is>
          <t>Italy</t>
        </is>
      </c>
      <c r="H4385" t="inlineStr">
        <is>
          <t>Web Store</t>
        </is>
      </c>
      <c r="I4385" t="n">
        <v>3</v>
      </c>
      <c r="J4385" s="3" t="n">
        <v>377.82</v>
      </c>
      <c r="K4385" s="3" t="n">
        <v>18.89</v>
      </c>
      <c r="L4385" s="3" t="n">
        <v>358.93</v>
      </c>
      <c r="M4385" s="3" t="n">
        <v>256.74</v>
      </c>
      <c r="N4385" s="3" t="n">
        <v>102.19</v>
      </c>
      <c r="O4385">
        <f>TEXT(A4385,"yyyy-mm")</f>
        <v/>
      </c>
    </row>
    <row r="4386">
      <c r="A4386" s="2" t="n">
        <v>46212</v>
      </c>
      <c r="B4386" t="n">
        <v>2026</v>
      </c>
      <c r="C4386" t="inlineStr">
        <is>
          <t>July</t>
        </is>
      </c>
      <c r="D4386" t="inlineStr">
        <is>
          <t>Eco Tent</t>
        </is>
      </c>
      <c r="E4386" t="inlineStr">
        <is>
          <t>Sports &amp; Outdoors</t>
        </is>
      </c>
      <c r="F4386" t="inlineStr">
        <is>
          <t>Clara Wojcik</t>
        </is>
      </c>
      <c r="G4386" t="inlineStr">
        <is>
          <t>Italy</t>
        </is>
      </c>
      <c r="H4386" t="inlineStr">
        <is>
          <t>Web Store</t>
        </is>
      </c>
      <c r="I4386" t="n">
        <v>1</v>
      </c>
      <c r="J4386" s="3" t="n">
        <v>239.82</v>
      </c>
      <c r="K4386" s="3" t="n">
        <v>23.98</v>
      </c>
      <c r="L4386" s="3" t="n">
        <v>215.84</v>
      </c>
      <c r="M4386" s="3" t="n">
        <v>135.03</v>
      </c>
      <c r="N4386" s="3" t="n">
        <v>80.81</v>
      </c>
      <c r="O4386">
        <f>TEXT(A4386,"yyyy-mm")</f>
        <v/>
      </c>
    </row>
    <row r="4387">
      <c r="A4387" s="2" t="n">
        <v>46212</v>
      </c>
      <c r="B4387" t="n">
        <v>2026</v>
      </c>
      <c r="C4387" t="inlineStr">
        <is>
          <t>July</t>
        </is>
      </c>
      <c r="D4387" t="inlineStr">
        <is>
          <t>Wireless Honey</t>
        </is>
      </c>
      <c r="E4387" t="inlineStr">
        <is>
          <t>Grocery</t>
        </is>
      </c>
      <c r="F4387" t="inlineStr">
        <is>
          <t>Clara Wojcik</t>
        </is>
      </c>
      <c r="G4387" t="inlineStr">
        <is>
          <t>Italy</t>
        </is>
      </c>
      <c r="H4387" t="inlineStr">
        <is>
          <t>Web Store</t>
        </is>
      </c>
      <c r="I4387" t="n">
        <v>2</v>
      </c>
      <c r="J4387" s="3" t="n">
        <v>264.08</v>
      </c>
      <c r="K4387" s="3" t="n">
        <v>0</v>
      </c>
      <c r="L4387" s="3" t="n">
        <v>264.08</v>
      </c>
      <c r="M4387" s="3" t="n">
        <v>188.14</v>
      </c>
      <c r="N4387" s="3" t="n">
        <v>75.94</v>
      </c>
      <c r="O4387">
        <f>TEXT(A4387,"yyyy-mm")</f>
        <v/>
      </c>
    </row>
    <row r="4388">
      <c r="A4388" s="2" t="n">
        <v>46212</v>
      </c>
      <c r="B4388" t="n">
        <v>2026</v>
      </c>
      <c r="C4388" t="inlineStr">
        <is>
          <t>July</t>
        </is>
      </c>
      <c r="D4388" t="inlineStr">
        <is>
          <t>Ultra Backpack</t>
        </is>
      </c>
      <c r="E4388" t="inlineStr">
        <is>
          <t>Sports &amp; Outdoors</t>
        </is>
      </c>
      <c r="F4388" t="inlineStr">
        <is>
          <t>Daniel Conti</t>
        </is>
      </c>
      <c r="G4388" t="inlineStr">
        <is>
          <t>United Kingdom</t>
        </is>
      </c>
      <c r="H4388" t="inlineStr">
        <is>
          <t>Retail Store</t>
        </is>
      </c>
      <c r="I4388" t="n">
        <v>5</v>
      </c>
      <c r="J4388" s="3" t="n">
        <v>1484</v>
      </c>
      <c r="K4388" s="3" t="n">
        <v>0</v>
      </c>
      <c r="L4388" s="3" t="n">
        <v>1484</v>
      </c>
      <c r="M4388" s="3" t="n">
        <v>868.45</v>
      </c>
      <c r="N4388" s="3" t="n">
        <v>615.55</v>
      </c>
      <c r="O4388">
        <f>TEXT(A4388,"yyyy-mm")</f>
        <v/>
      </c>
    </row>
    <row r="4389">
      <c r="A4389" s="2" t="n">
        <v>46212</v>
      </c>
      <c r="B4389" t="n">
        <v>2026</v>
      </c>
      <c r="C4389" t="inlineStr">
        <is>
          <t>July</t>
        </is>
      </c>
      <c r="D4389" t="inlineStr">
        <is>
          <t>Premium Cookbook</t>
        </is>
      </c>
      <c r="E4389" t="inlineStr">
        <is>
          <t>Books</t>
        </is>
      </c>
      <c r="F4389" t="inlineStr">
        <is>
          <t>Daniel Conti</t>
        </is>
      </c>
      <c r="G4389" t="inlineStr">
        <is>
          <t>United Kingdom</t>
        </is>
      </c>
      <c r="H4389" t="inlineStr">
        <is>
          <t>Retail Store</t>
        </is>
      </c>
      <c r="I4389" t="n">
        <v>1</v>
      </c>
      <c r="J4389" s="3" t="n">
        <v>128.09</v>
      </c>
      <c r="K4389" s="3" t="n">
        <v>6.4</v>
      </c>
      <c r="L4389" s="3" t="n">
        <v>121.69</v>
      </c>
      <c r="M4389" s="3" t="n">
        <v>94.98</v>
      </c>
      <c r="N4389" s="3" t="n">
        <v>26.71</v>
      </c>
      <c r="O4389">
        <f>TEXT(A4389,"yyyy-mm")</f>
        <v/>
      </c>
    </row>
    <row r="4390">
      <c r="A4390" s="2" t="n">
        <v>46212</v>
      </c>
      <c r="B4390" t="n">
        <v>2026</v>
      </c>
      <c r="C4390" t="inlineStr">
        <is>
          <t>July</t>
        </is>
      </c>
      <c r="D4390" t="inlineStr">
        <is>
          <t>Smart Jeans</t>
        </is>
      </c>
      <c r="E4390" t="inlineStr">
        <is>
          <t>Clothing</t>
        </is>
      </c>
      <c r="F4390" t="inlineStr">
        <is>
          <t>Daniel Conti</t>
        </is>
      </c>
      <c r="G4390" t="inlineStr">
        <is>
          <t>United Kingdom</t>
        </is>
      </c>
      <c r="H4390" t="inlineStr">
        <is>
          <t>Retail Store</t>
        </is>
      </c>
      <c r="I4390" t="n">
        <v>4</v>
      </c>
      <c r="J4390" s="3" t="n">
        <v>1152.64</v>
      </c>
      <c r="K4390" s="3" t="n">
        <v>172.9</v>
      </c>
      <c r="L4390" s="3" t="n">
        <v>979.74</v>
      </c>
      <c r="M4390" s="3" t="n">
        <v>774.5599999999999</v>
      </c>
      <c r="N4390" s="3" t="n">
        <v>205.18</v>
      </c>
      <c r="O4390">
        <f>TEXT(A4390,"yyyy-mm")</f>
        <v/>
      </c>
    </row>
    <row r="4391">
      <c r="A4391" s="2" t="n">
        <v>46212</v>
      </c>
      <c r="B4391" t="n">
        <v>2026</v>
      </c>
      <c r="C4391" t="inlineStr">
        <is>
          <t>July</t>
        </is>
      </c>
      <c r="D4391" t="inlineStr">
        <is>
          <t>Wireless Coffee Beans</t>
        </is>
      </c>
      <c r="E4391" t="inlineStr">
        <is>
          <t>Grocery</t>
        </is>
      </c>
      <c r="F4391" t="inlineStr">
        <is>
          <t>Daniel Conti</t>
        </is>
      </c>
      <c r="G4391" t="inlineStr">
        <is>
          <t>United Kingdom</t>
        </is>
      </c>
      <c r="H4391" t="inlineStr">
        <is>
          <t>Retail Store</t>
        </is>
      </c>
      <c r="I4391" t="n">
        <v>5</v>
      </c>
      <c r="J4391" s="3" t="n">
        <v>1094.2</v>
      </c>
      <c r="K4391" s="3" t="n">
        <v>218.84</v>
      </c>
      <c r="L4391" s="3" t="n">
        <v>875.36</v>
      </c>
      <c r="M4391" s="3" t="n">
        <v>650.65</v>
      </c>
      <c r="N4391" s="3" t="n">
        <v>224.71</v>
      </c>
      <c r="O4391">
        <f>TEXT(A4391,"yyyy-mm")</f>
        <v/>
      </c>
    </row>
    <row r="4392">
      <c r="A4392" s="2" t="n">
        <v>46213</v>
      </c>
      <c r="B4392" t="n">
        <v>2026</v>
      </c>
      <c r="C4392" t="inlineStr">
        <is>
          <t>July</t>
        </is>
      </c>
      <c r="D4392" t="inlineStr">
        <is>
          <t>Classic Bike Helmet</t>
        </is>
      </c>
      <c r="E4392" t="inlineStr">
        <is>
          <t>Sports &amp; Outdoors</t>
        </is>
      </c>
      <c r="F4392" t="inlineStr">
        <is>
          <t>Clara Martin</t>
        </is>
      </c>
      <c r="G4392" t="inlineStr">
        <is>
          <t>United States</t>
        </is>
      </c>
      <c r="H4392" t="inlineStr">
        <is>
          <t>Mobile App</t>
        </is>
      </c>
      <c r="I4392" t="n">
        <v>1</v>
      </c>
      <c r="J4392" s="3" t="n">
        <v>213.06</v>
      </c>
      <c r="K4392" s="3" t="n">
        <v>42.61</v>
      </c>
      <c r="L4392" s="3" t="n">
        <v>170.45</v>
      </c>
      <c r="M4392" s="3" t="n">
        <v>153.81</v>
      </c>
      <c r="N4392" s="3" t="n">
        <v>16.64</v>
      </c>
      <c r="O4392">
        <f>TEXT(A4392,"yyyy-mm")</f>
        <v/>
      </c>
    </row>
    <row r="4393">
      <c r="A4393" s="2" t="n">
        <v>46213</v>
      </c>
      <c r="B4393" t="n">
        <v>2026</v>
      </c>
      <c r="C4393" t="inlineStr">
        <is>
          <t>July</t>
        </is>
      </c>
      <c r="D4393" t="inlineStr">
        <is>
          <t>Portable Speaker</t>
        </is>
      </c>
      <c r="E4393" t="inlineStr">
        <is>
          <t>Electronics</t>
        </is>
      </c>
      <c r="F4393" t="inlineStr">
        <is>
          <t>John Weber</t>
        </is>
      </c>
      <c r="G4393" t="inlineStr">
        <is>
          <t>Italy</t>
        </is>
      </c>
      <c r="H4393" t="inlineStr">
        <is>
          <t>Web Store</t>
        </is>
      </c>
      <c r="I4393" t="n">
        <v>4</v>
      </c>
      <c r="J4393" s="3" t="n">
        <v>1272.24</v>
      </c>
      <c r="K4393" s="3" t="n">
        <v>63.61</v>
      </c>
      <c r="L4393" s="3" t="n">
        <v>1208.63</v>
      </c>
      <c r="M4393" s="3" t="n">
        <v>699.3200000000001</v>
      </c>
      <c r="N4393" s="3" t="n">
        <v>509.31</v>
      </c>
      <c r="O4393">
        <f>TEXT(A4393,"yyyy-mm")</f>
        <v/>
      </c>
    </row>
    <row r="4394">
      <c r="A4394" s="2" t="n">
        <v>46213</v>
      </c>
      <c r="B4394" t="n">
        <v>2026</v>
      </c>
      <c r="C4394" t="inlineStr">
        <is>
          <t>July</t>
        </is>
      </c>
      <c r="D4394" t="inlineStr">
        <is>
          <t>Deluxe Toolset</t>
        </is>
      </c>
      <c r="E4394" t="inlineStr">
        <is>
          <t>Home &amp; Garden</t>
        </is>
      </c>
      <c r="F4394" t="inlineStr">
        <is>
          <t>John Weber</t>
        </is>
      </c>
      <c r="G4394" t="inlineStr">
        <is>
          <t>Italy</t>
        </is>
      </c>
      <c r="H4394" t="inlineStr">
        <is>
          <t>Web Store</t>
        </is>
      </c>
      <c r="I4394" t="n">
        <v>3</v>
      </c>
      <c r="J4394" s="3" t="n">
        <v>201.33</v>
      </c>
      <c r="K4394" s="3" t="n">
        <v>30.2</v>
      </c>
      <c r="L4394" s="3" t="n">
        <v>171.13</v>
      </c>
      <c r="M4394" s="3" t="n">
        <v>143.13</v>
      </c>
      <c r="N4394" s="3" t="n">
        <v>28</v>
      </c>
      <c r="O4394">
        <f>TEXT(A4394,"yyyy-mm")</f>
        <v/>
      </c>
    </row>
    <row r="4395">
      <c r="A4395" s="2" t="n">
        <v>46213</v>
      </c>
      <c r="B4395" t="n">
        <v>2026</v>
      </c>
      <c r="C4395" t="inlineStr">
        <is>
          <t>July</t>
        </is>
      </c>
      <c r="D4395" t="inlineStr">
        <is>
          <t>Wireless Coffee Beans</t>
        </is>
      </c>
      <c r="E4395" t="inlineStr">
        <is>
          <t>Grocery</t>
        </is>
      </c>
      <c r="F4395" t="inlineStr">
        <is>
          <t>John Weber</t>
        </is>
      </c>
      <c r="G4395" t="inlineStr">
        <is>
          <t>Italy</t>
        </is>
      </c>
      <c r="H4395" t="inlineStr">
        <is>
          <t>Web Store</t>
        </is>
      </c>
      <c r="I4395" t="n">
        <v>3</v>
      </c>
      <c r="J4395" s="3" t="n">
        <v>654.8099999999999</v>
      </c>
      <c r="K4395" s="3" t="n">
        <v>32.74</v>
      </c>
      <c r="L4395" s="3" t="n">
        <v>622.0700000000001</v>
      </c>
      <c r="M4395" s="3" t="n">
        <v>390.39</v>
      </c>
      <c r="N4395" s="3" t="n">
        <v>231.68</v>
      </c>
      <c r="O4395">
        <f>TEXT(A4395,"yyyy-mm")</f>
        <v/>
      </c>
    </row>
    <row r="4396">
      <c r="A4396" s="2" t="n">
        <v>46213</v>
      </c>
      <c r="B4396" t="n">
        <v>2026</v>
      </c>
      <c r="C4396" t="inlineStr">
        <is>
          <t>July</t>
        </is>
      </c>
      <c r="D4396" t="inlineStr">
        <is>
          <t>Portable Tea Set</t>
        </is>
      </c>
      <c r="E4396" t="inlineStr">
        <is>
          <t>Grocery</t>
        </is>
      </c>
      <c r="F4396" t="inlineStr">
        <is>
          <t>Clara Muller</t>
        </is>
      </c>
      <c r="G4396" t="inlineStr">
        <is>
          <t>Germany</t>
        </is>
      </c>
      <c r="H4396" t="inlineStr">
        <is>
          <t>Retail Store</t>
        </is>
      </c>
      <c r="I4396" t="n">
        <v>4</v>
      </c>
      <c r="J4396" s="3" t="n">
        <v>1101.88</v>
      </c>
      <c r="K4396" s="3" t="n">
        <v>55.09</v>
      </c>
      <c r="L4396" s="3" t="n">
        <v>1046.79</v>
      </c>
      <c r="M4396" s="3" t="n">
        <v>752.48</v>
      </c>
      <c r="N4396" s="3" t="n">
        <v>294.31</v>
      </c>
      <c r="O4396">
        <f>TEXT(A4396,"yyyy-mm")</f>
        <v/>
      </c>
    </row>
    <row r="4397">
      <c r="A4397" s="2" t="n">
        <v>46213</v>
      </c>
      <c r="B4397" t="n">
        <v>2026</v>
      </c>
      <c r="C4397" t="inlineStr">
        <is>
          <t>July</t>
        </is>
      </c>
      <c r="D4397" t="inlineStr">
        <is>
          <t>Compact Biography</t>
        </is>
      </c>
      <c r="E4397" t="inlineStr">
        <is>
          <t>Books</t>
        </is>
      </c>
      <c r="F4397" t="inlineStr">
        <is>
          <t>Clara Muller</t>
        </is>
      </c>
      <c r="G4397" t="inlineStr">
        <is>
          <t>Germany</t>
        </is>
      </c>
      <c r="H4397" t="inlineStr">
        <is>
          <t>Retail Store</t>
        </is>
      </c>
      <c r="I4397" t="n">
        <v>5</v>
      </c>
      <c r="J4397" s="3" t="n">
        <v>1258.1</v>
      </c>
      <c r="K4397" s="3" t="n">
        <v>188.71</v>
      </c>
      <c r="L4397" s="3" t="n">
        <v>1069.38</v>
      </c>
      <c r="M4397" s="3" t="n">
        <v>701.65</v>
      </c>
      <c r="N4397" s="3" t="n">
        <v>367.73</v>
      </c>
      <c r="O4397">
        <f>TEXT(A4397,"yyyy-mm")</f>
        <v/>
      </c>
    </row>
    <row r="4398">
      <c r="A4398" s="2" t="n">
        <v>46213</v>
      </c>
      <c r="B4398" t="n">
        <v>2026</v>
      </c>
      <c r="C4398" t="inlineStr">
        <is>
          <t>July</t>
        </is>
      </c>
      <c r="D4398" t="inlineStr">
        <is>
          <t>Premium Tent</t>
        </is>
      </c>
      <c r="E4398" t="inlineStr">
        <is>
          <t>Sports &amp; Outdoors</t>
        </is>
      </c>
      <c r="F4398" t="inlineStr">
        <is>
          <t>Anna Johnson</t>
        </is>
      </c>
      <c r="G4398" t="inlineStr">
        <is>
          <t>United States</t>
        </is>
      </c>
      <c r="H4398" t="inlineStr">
        <is>
          <t>Mobile App</t>
        </is>
      </c>
      <c r="I4398" t="n">
        <v>1</v>
      </c>
      <c r="J4398" s="3" t="n">
        <v>250.51</v>
      </c>
      <c r="K4398" s="3" t="n">
        <v>25.05</v>
      </c>
      <c r="L4398" s="3" t="n">
        <v>225.46</v>
      </c>
      <c r="M4398" s="3" t="n">
        <v>165.31</v>
      </c>
      <c r="N4398" s="3" t="n">
        <v>60.15</v>
      </c>
      <c r="O4398">
        <f>TEXT(A4398,"yyyy-mm")</f>
        <v/>
      </c>
    </row>
    <row r="4399">
      <c r="A4399" s="2" t="n">
        <v>46213</v>
      </c>
      <c r="B4399" t="n">
        <v>2026</v>
      </c>
      <c r="C4399" t="inlineStr">
        <is>
          <t>July</t>
        </is>
      </c>
      <c r="D4399" t="inlineStr">
        <is>
          <t>Wireless Drone</t>
        </is>
      </c>
      <c r="E4399" t="inlineStr">
        <is>
          <t>Toys &amp; Games</t>
        </is>
      </c>
      <c r="F4399" t="inlineStr">
        <is>
          <t>Thomas Schmidt</t>
        </is>
      </c>
      <c r="G4399" t="inlineStr">
        <is>
          <t>United Kingdom</t>
        </is>
      </c>
      <c r="H4399" t="inlineStr">
        <is>
          <t>Marketplace</t>
        </is>
      </c>
      <c r="I4399" t="n">
        <v>1</v>
      </c>
      <c r="J4399" s="3" t="n">
        <v>225.67</v>
      </c>
      <c r="K4399" s="3" t="n">
        <v>22.57</v>
      </c>
      <c r="L4399" s="3" t="n">
        <v>203.1</v>
      </c>
      <c r="M4399" s="3" t="n">
        <v>131.29</v>
      </c>
      <c r="N4399" s="3" t="n">
        <v>71.81</v>
      </c>
      <c r="O4399">
        <f>TEXT(A4399,"yyyy-mm")</f>
        <v/>
      </c>
    </row>
    <row r="4400">
      <c r="A4400" s="2" t="n">
        <v>46213</v>
      </c>
      <c r="B4400" t="n">
        <v>2026</v>
      </c>
      <c r="C4400" t="inlineStr">
        <is>
          <t>July</t>
        </is>
      </c>
      <c r="D4400" t="inlineStr">
        <is>
          <t>Portable Puzzle</t>
        </is>
      </c>
      <c r="E4400" t="inlineStr">
        <is>
          <t>Toys &amp; Games</t>
        </is>
      </c>
      <c r="F4400" t="inlineStr">
        <is>
          <t>Clara Muller</t>
        </is>
      </c>
      <c r="G4400" t="inlineStr">
        <is>
          <t>Germany</t>
        </is>
      </c>
      <c r="H4400" t="inlineStr">
        <is>
          <t>Retail Store</t>
        </is>
      </c>
      <c r="I4400" t="n">
        <v>1</v>
      </c>
      <c r="J4400" s="3" t="n">
        <v>316.14</v>
      </c>
      <c r="K4400" s="3" t="n">
        <v>63.23</v>
      </c>
      <c r="L4400" s="3" t="n">
        <v>252.91</v>
      </c>
      <c r="M4400" s="3" t="n">
        <v>173.66</v>
      </c>
      <c r="N4400" s="3" t="n">
        <v>79.25</v>
      </c>
      <c r="O4400">
        <f>TEXT(A4400,"yyyy-mm")</f>
        <v/>
      </c>
    </row>
    <row r="4401">
      <c r="A4401" s="2" t="n">
        <v>46213</v>
      </c>
      <c r="B4401" t="n">
        <v>2026</v>
      </c>
      <c r="C4401" t="inlineStr">
        <is>
          <t>July</t>
        </is>
      </c>
      <c r="D4401" t="inlineStr">
        <is>
          <t>Eco Planter</t>
        </is>
      </c>
      <c r="E4401" t="inlineStr">
        <is>
          <t>Home &amp; Garden</t>
        </is>
      </c>
      <c r="F4401" t="inlineStr">
        <is>
          <t>Clara Muller</t>
        </is>
      </c>
      <c r="G4401" t="inlineStr">
        <is>
          <t>Germany</t>
        </is>
      </c>
      <c r="H4401" t="inlineStr">
        <is>
          <t>Retail Store</t>
        </is>
      </c>
      <c r="I4401" t="n">
        <v>1</v>
      </c>
      <c r="J4401" s="3" t="n">
        <v>175.17</v>
      </c>
      <c r="K4401" s="3" t="n">
        <v>8.76</v>
      </c>
      <c r="L4401" s="3" t="n">
        <v>166.41</v>
      </c>
      <c r="M4401" s="3" t="n">
        <v>112.41</v>
      </c>
      <c r="N4401" s="3" t="n">
        <v>54</v>
      </c>
      <c r="O4401">
        <f>TEXT(A4401,"yyyy-mm")</f>
        <v/>
      </c>
    </row>
    <row r="4402">
      <c r="A4402" s="2" t="n">
        <v>46213</v>
      </c>
      <c r="B4402" t="n">
        <v>2026</v>
      </c>
      <c r="C4402" t="inlineStr">
        <is>
          <t>July</t>
        </is>
      </c>
      <c r="D4402" t="inlineStr">
        <is>
          <t>Smart Sweater</t>
        </is>
      </c>
      <c r="E4402" t="inlineStr">
        <is>
          <t>Clothing</t>
        </is>
      </c>
      <c r="F4402" t="inlineStr">
        <is>
          <t>Thomas Schmidt</t>
        </is>
      </c>
      <c r="G4402" t="inlineStr">
        <is>
          <t>United Kingdom</t>
        </is>
      </c>
      <c r="H4402" t="inlineStr">
        <is>
          <t>Marketplace</t>
        </is>
      </c>
      <c r="I4402" t="n">
        <v>2</v>
      </c>
      <c r="J4402" s="3" t="n">
        <v>295.44</v>
      </c>
      <c r="K4402" s="3" t="n">
        <v>0</v>
      </c>
      <c r="L4402" s="3" t="n">
        <v>295.44</v>
      </c>
      <c r="M4402" s="3" t="n">
        <v>154.7</v>
      </c>
      <c r="N4402" s="3" t="n">
        <v>140.74</v>
      </c>
      <c r="O4402">
        <f>TEXT(A4402,"yyyy-mm")</f>
        <v/>
      </c>
    </row>
    <row r="4403">
      <c r="A4403" s="2" t="n">
        <v>46213</v>
      </c>
      <c r="B4403" t="n">
        <v>2026</v>
      </c>
      <c r="C4403" t="inlineStr">
        <is>
          <t>July</t>
        </is>
      </c>
      <c r="D4403" t="inlineStr">
        <is>
          <t>Eco Drone</t>
        </is>
      </c>
      <c r="E4403" t="inlineStr">
        <is>
          <t>Toys &amp; Games</t>
        </is>
      </c>
      <c r="F4403" t="inlineStr">
        <is>
          <t>Thomas Schmidt</t>
        </is>
      </c>
      <c r="G4403" t="inlineStr">
        <is>
          <t>United Kingdom</t>
        </is>
      </c>
      <c r="H4403" t="inlineStr">
        <is>
          <t>Marketplace</t>
        </is>
      </c>
      <c r="I4403" t="n">
        <v>5</v>
      </c>
      <c r="J4403" s="3" t="n">
        <v>960.4</v>
      </c>
      <c r="K4403" s="3" t="n">
        <v>48.02</v>
      </c>
      <c r="L4403" s="3" t="n">
        <v>912.38</v>
      </c>
      <c r="M4403" s="3" t="n">
        <v>647.95</v>
      </c>
      <c r="N4403" s="3" t="n">
        <v>264.43</v>
      </c>
      <c r="O4403">
        <f>TEXT(A4403,"yyyy-mm")</f>
        <v/>
      </c>
    </row>
    <row r="4404">
      <c r="A4404" s="2" t="n">
        <v>46213</v>
      </c>
      <c r="B4404" t="n">
        <v>2026</v>
      </c>
      <c r="C4404" t="inlineStr">
        <is>
          <t>July</t>
        </is>
      </c>
      <c r="D4404" t="inlineStr">
        <is>
          <t>Classic Tea Set</t>
        </is>
      </c>
      <c r="E4404" t="inlineStr">
        <is>
          <t>Grocery</t>
        </is>
      </c>
      <c r="F4404" t="inlineStr">
        <is>
          <t>Thomas Schmidt</t>
        </is>
      </c>
      <c r="G4404" t="inlineStr">
        <is>
          <t>United Kingdom</t>
        </is>
      </c>
      <c r="H4404" t="inlineStr">
        <is>
          <t>Marketplace</t>
        </is>
      </c>
      <c r="I4404" t="n">
        <v>2</v>
      </c>
      <c r="J4404" s="3" t="n">
        <v>357.04</v>
      </c>
      <c r="K4404" s="3" t="n">
        <v>0</v>
      </c>
      <c r="L4404" s="3" t="n">
        <v>357.04</v>
      </c>
      <c r="M4404" s="3" t="n">
        <v>250.8</v>
      </c>
      <c r="N4404" s="3" t="n">
        <v>106.24</v>
      </c>
      <c r="O4404">
        <f>TEXT(A4404,"yyyy-mm")</f>
        <v/>
      </c>
    </row>
    <row r="4405">
      <c r="A4405" s="2" t="n">
        <v>46214</v>
      </c>
      <c r="B4405" t="n">
        <v>2026</v>
      </c>
      <c r="C4405" t="inlineStr">
        <is>
          <t>July</t>
        </is>
      </c>
      <c r="D4405" t="inlineStr">
        <is>
          <t>Smart Olive Oil</t>
        </is>
      </c>
      <c r="E4405" t="inlineStr">
        <is>
          <t>Grocery</t>
        </is>
      </c>
      <c r="F4405" t="inlineStr">
        <is>
          <t>Clara Kowalski</t>
        </is>
      </c>
      <c r="G4405" t="inlineStr">
        <is>
          <t>France</t>
        </is>
      </c>
      <c r="H4405" t="inlineStr">
        <is>
          <t>Mobile App</t>
        </is>
      </c>
      <c r="I4405" t="n">
        <v>1</v>
      </c>
      <c r="J4405" s="3" t="n">
        <v>173.95</v>
      </c>
      <c r="K4405" s="3" t="n">
        <v>0</v>
      </c>
      <c r="L4405" s="3" t="n">
        <v>173.95</v>
      </c>
      <c r="M4405" s="3" t="n">
        <v>110.02</v>
      </c>
      <c r="N4405" s="3" t="n">
        <v>63.93</v>
      </c>
      <c r="O4405">
        <f>TEXT(A4405,"yyyy-mm")</f>
        <v/>
      </c>
    </row>
    <row r="4406">
      <c r="A4406" s="2" t="n">
        <v>46214</v>
      </c>
      <c r="B4406" t="n">
        <v>2026</v>
      </c>
      <c r="C4406" t="inlineStr">
        <is>
          <t>July</t>
        </is>
      </c>
      <c r="D4406" t="inlineStr">
        <is>
          <t>Portable Pasta</t>
        </is>
      </c>
      <c r="E4406" t="inlineStr">
        <is>
          <t>Grocery</t>
        </is>
      </c>
      <c r="F4406" t="inlineStr">
        <is>
          <t>Clara Kowalski</t>
        </is>
      </c>
      <c r="G4406" t="inlineStr">
        <is>
          <t>France</t>
        </is>
      </c>
      <c r="H4406" t="inlineStr">
        <is>
          <t>Mobile App</t>
        </is>
      </c>
      <c r="I4406" t="n">
        <v>4</v>
      </c>
      <c r="J4406" s="3" t="n">
        <v>146.6</v>
      </c>
      <c r="K4406" s="3" t="n">
        <v>29.32</v>
      </c>
      <c r="L4406" s="3" t="n">
        <v>117.28</v>
      </c>
      <c r="M4406" s="3" t="n">
        <v>111</v>
      </c>
      <c r="N4406" s="3" t="n">
        <v>6.28</v>
      </c>
      <c r="O4406">
        <f>TEXT(A4406,"yyyy-mm")</f>
        <v/>
      </c>
    </row>
    <row r="4407">
      <c r="A4407" s="2" t="n">
        <v>46214</v>
      </c>
      <c r="B4407" t="n">
        <v>2026</v>
      </c>
      <c r="C4407" t="inlineStr">
        <is>
          <t>July</t>
        </is>
      </c>
      <c r="D4407" t="inlineStr">
        <is>
          <t>Deluxe Cookbook</t>
        </is>
      </c>
      <c r="E4407" t="inlineStr">
        <is>
          <t>Books</t>
        </is>
      </c>
      <c r="F4407" t="inlineStr">
        <is>
          <t>Sophie Wilson</t>
        </is>
      </c>
      <c r="G4407" t="inlineStr">
        <is>
          <t>Netherlands</t>
        </is>
      </c>
      <c r="H4407" t="inlineStr">
        <is>
          <t>Web Store</t>
        </is>
      </c>
      <c r="I4407" t="n">
        <v>3</v>
      </c>
      <c r="J4407" s="3" t="n">
        <v>391.17</v>
      </c>
      <c r="K4407" s="3" t="n">
        <v>0</v>
      </c>
      <c r="L4407" s="3" t="n">
        <v>391.17</v>
      </c>
      <c r="M4407" s="3" t="n">
        <v>255.81</v>
      </c>
      <c r="N4407" s="3" t="n">
        <v>135.36</v>
      </c>
      <c r="O4407">
        <f>TEXT(A4407,"yyyy-mm")</f>
        <v/>
      </c>
    </row>
    <row r="4408">
      <c r="A4408" s="2" t="n">
        <v>46214</v>
      </c>
      <c r="B4408" t="n">
        <v>2026</v>
      </c>
      <c r="C4408" t="inlineStr">
        <is>
          <t>July</t>
        </is>
      </c>
      <c r="D4408" t="inlineStr">
        <is>
          <t>Essential Lamp</t>
        </is>
      </c>
      <c r="E4408" t="inlineStr">
        <is>
          <t>Home &amp; Garden</t>
        </is>
      </c>
      <c r="F4408" t="inlineStr">
        <is>
          <t>Robert Fischer</t>
        </is>
      </c>
      <c r="G4408" t="inlineStr">
        <is>
          <t>Poland</t>
        </is>
      </c>
      <c r="H4408" t="inlineStr">
        <is>
          <t>Retail Store</t>
        </is>
      </c>
      <c r="I4408" t="n">
        <v>4</v>
      </c>
      <c r="J4408" s="3" t="n">
        <v>263.72</v>
      </c>
      <c r="K4408" s="3" t="n">
        <v>13.19</v>
      </c>
      <c r="L4408" s="3" t="n">
        <v>250.53</v>
      </c>
      <c r="M4408" s="3" t="n">
        <v>181.6</v>
      </c>
      <c r="N4408" s="3" t="n">
        <v>68.93000000000001</v>
      </c>
      <c r="O4408">
        <f>TEXT(A4408,"yyyy-mm")</f>
        <v/>
      </c>
    </row>
    <row r="4409">
      <c r="A4409" s="2" t="n">
        <v>46214</v>
      </c>
      <c r="B4409" t="n">
        <v>2026</v>
      </c>
      <c r="C4409" t="inlineStr">
        <is>
          <t>July</t>
        </is>
      </c>
      <c r="D4409" t="inlineStr">
        <is>
          <t>Deluxe Cookbook</t>
        </is>
      </c>
      <c r="E4409" t="inlineStr">
        <is>
          <t>Books</t>
        </is>
      </c>
      <c r="F4409" t="inlineStr">
        <is>
          <t>Robert Fischer</t>
        </is>
      </c>
      <c r="G4409" t="inlineStr">
        <is>
          <t>Poland</t>
        </is>
      </c>
      <c r="H4409" t="inlineStr">
        <is>
          <t>Retail Store</t>
        </is>
      </c>
      <c r="I4409" t="n">
        <v>5</v>
      </c>
      <c r="J4409" s="3" t="n">
        <v>677.8</v>
      </c>
      <c r="K4409" s="3" t="n">
        <v>0</v>
      </c>
      <c r="L4409" s="3" t="n">
        <v>677.8</v>
      </c>
      <c r="M4409" s="3" t="n">
        <v>426.35</v>
      </c>
      <c r="N4409" s="3" t="n">
        <v>251.45</v>
      </c>
      <c r="O4409">
        <f>TEXT(A4409,"yyyy-mm")</f>
        <v/>
      </c>
    </row>
    <row r="4410">
      <c r="A4410" s="2" t="n">
        <v>46214</v>
      </c>
      <c r="B4410" t="n">
        <v>2026</v>
      </c>
      <c r="C4410" t="inlineStr">
        <is>
          <t>July</t>
        </is>
      </c>
      <c r="D4410" t="inlineStr">
        <is>
          <t>Portable Puzzle</t>
        </is>
      </c>
      <c r="E4410" t="inlineStr">
        <is>
          <t>Toys &amp; Games</t>
        </is>
      </c>
      <c r="F4410" t="inlineStr">
        <is>
          <t>James Wojcik</t>
        </is>
      </c>
      <c r="G4410" t="inlineStr">
        <is>
          <t>Netherlands</t>
        </is>
      </c>
      <c r="H4410" t="inlineStr">
        <is>
          <t>Mobile App</t>
        </is>
      </c>
      <c r="I4410" t="n">
        <v>4</v>
      </c>
      <c r="J4410" s="3" t="n">
        <v>450.48</v>
      </c>
      <c r="K4410" s="3" t="n">
        <v>0</v>
      </c>
      <c r="L4410" s="3" t="n">
        <v>450.48</v>
      </c>
      <c r="M4410" s="3" t="n">
        <v>235.2</v>
      </c>
      <c r="N4410" s="3" t="n">
        <v>215.28</v>
      </c>
      <c r="O4410">
        <f>TEXT(A4410,"yyyy-mm")</f>
        <v/>
      </c>
    </row>
    <row r="4411">
      <c r="A4411" s="2" t="n">
        <v>46214</v>
      </c>
      <c r="B4411" t="n">
        <v>2026</v>
      </c>
      <c r="C4411" t="inlineStr">
        <is>
          <t>July</t>
        </is>
      </c>
      <c r="D4411" t="inlineStr">
        <is>
          <t>Smart Jeans</t>
        </is>
      </c>
      <c r="E4411" t="inlineStr">
        <is>
          <t>Clothing</t>
        </is>
      </c>
      <c r="F4411" t="inlineStr">
        <is>
          <t>Clara Kowalski</t>
        </is>
      </c>
      <c r="G4411" t="inlineStr">
        <is>
          <t>France</t>
        </is>
      </c>
      <c r="H4411" t="inlineStr">
        <is>
          <t>Mobile App</t>
        </is>
      </c>
      <c r="I4411" t="n">
        <v>3</v>
      </c>
      <c r="J4411" s="3" t="n">
        <v>884.61</v>
      </c>
      <c r="K4411" s="3" t="n">
        <v>88.45999999999999</v>
      </c>
      <c r="L4411" s="3" t="n">
        <v>796.15</v>
      </c>
      <c r="M4411" s="3" t="n">
        <v>580.92</v>
      </c>
      <c r="N4411" s="3" t="n">
        <v>215.23</v>
      </c>
      <c r="O4411">
        <f>TEXT(A4411,"yyyy-mm")</f>
        <v/>
      </c>
    </row>
    <row r="4412">
      <c r="A4412" s="2" t="n">
        <v>46214</v>
      </c>
      <c r="B4412" t="n">
        <v>2026</v>
      </c>
      <c r="C4412" t="inlineStr">
        <is>
          <t>July</t>
        </is>
      </c>
      <c r="D4412" t="inlineStr">
        <is>
          <t>Essential Rug</t>
        </is>
      </c>
      <c r="E4412" t="inlineStr">
        <is>
          <t>Home &amp; Garden</t>
        </is>
      </c>
      <c r="F4412" t="inlineStr">
        <is>
          <t>Clara Kowalski</t>
        </is>
      </c>
      <c r="G4412" t="inlineStr">
        <is>
          <t>France</t>
        </is>
      </c>
      <c r="H4412" t="inlineStr">
        <is>
          <t>Mobile App</t>
        </is>
      </c>
      <c r="I4412" t="n">
        <v>5</v>
      </c>
      <c r="J4412" s="3" t="n">
        <v>644.55</v>
      </c>
      <c r="K4412" s="3" t="n">
        <v>128.91</v>
      </c>
      <c r="L4412" s="3" t="n">
        <v>515.64</v>
      </c>
      <c r="M4412" s="3" t="n">
        <v>381.65</v>
      </c>
      <c r="N4412" s="3" t="n">
        <v>133.99</v>
      </c>
      <c r="O4412">
        <f>TEXT(A4412,"yyyy-mm")</f>
        <v/>
      </c>
    </row>
    <row r="4413">
      <c r="A4413" s="2" t="n">
        <v>46215</v>
      </c>
      <c r="B4413" t="n">
        <v>2026</v>
      </c>
      <c r="C4413" t="inlineStr">
        <is>
          <t>July</t>
        </is>
      </c>
      <c r="D4413" t="inlineStr">
        <is>
          <t>Smart Board Game</t>
        </is>
      </c>
      <c r="E4413" t="inlineStr">
        <is>
          <t>Toys &amp; Games</t>
        </is>
      </c>
      <c r="F4413" t="inlineStr">
        <is>
          <t>David Nowak</t>
        </is>
      </c>
      <c r="G4413" t="inlineStr">
        <is>
          <t>Germany</t>
        </is>
      </c>
      <c r="H4413" t="inlineStr">
        <is>
          <t>Retail Store</t>
        </is>
      </c>
      <c r="I4413" t="n">
        <v>2</v>
      </c>
      <c r="J4413" s="3" t="n">
        <v>260.8</v>
      </c>
      <c r="K4413" s="3" t="n">
        <v>0</v>
      </c>
      <c r="L4413" s="3" t="n">
        <v>260.8</v>
      </c>
      <c r="M4413" s="3" t="n">
        <v>183.44</v>
      </c>
      <c r="N4413" s="3" t="n">
        <v>77.36</v>
      </c>
      <c r="O4413">
        <f>TEXT(A4413,"yyyy-mm")</f>
        <v/>
      </c>
    </row>
    <row r="4414">
      <c r="A4414" s="2" t="n">
        <v>46215</v>
      </c>
      <c r="B4414" t="n">
        <v>2026</v>
      </c>
      <c r="C4414" t="inlineStr">
        <is>
          <t>July</t>
        </is>
      </c>
      <c r="D4414" t="inlineStr">
        <is>
          <t>Essential Planter</t>
        </is>
      </c>
      <c r="E4414" t="inlineStr">
        <is>
          <t>Home &amp; Garden</t>
        </is>
      </c>
      <c r="F4414" t="inlineStr">
        <is>
          <t>David Nowak</t>
        </is>
      </c>
      <c r="G4414" t="inlineStr">
        <is>
          <t>Germany</t>
        </is>
      </c>
      <c r="H4414" t="inlineStr">
        <is>
          <t>Retail Store</t>
        </is>
      </c>
      <c r="I4414" t="n">
        <v>4</v>
      </c>
      <c r="J4414" s="3" t="n">
        <v>107.08</v>
      </c>
      <c r="K4414" s="3" t="n">
        <v>0</v>
      </c>
      <c r="L4414" s="3" t="n">
        <v>107.08</v>
      </c>
      <c r="M4414" s="3" t="n">
        <v>78.56</v>
      </c>
      <c r="N4414" s="3" t="n">
        <v>28.52</v>
      </c>
      <c r="O4414">
        <f>TEXT(A4414,"yyyy-mm")</f>
        <v/>
      </c>
    </row>
    <row r="4415">
      <c r="A4415" s="2" t="n">
        <v>46215</v>
      </c>
      <c r="B4415" t="n">
        <v>2026</v>
      </c>
      <c r="C4415" t="inlineStr">
        <is>
          <t>July</t>
        </is>
      </c>
      <c r="D4415" t="inlineStr">
        <is>
          <t>Classic Tent</t>
        </is>
      </c>
      <c r="E4415" t="inlineStr">
        <is>
          <t>Sports &amp; Outdoors</t>
        </is>
      </c>
      <c r="F4415" t="inlineStr">
        <is>
          <t>Maria Smith</t>
        </is>
      </c>
      <c r="G4415" t="inlineStr">
        <is>
          <t>Poland</t>
        </is>
      </c>
      <c r="H4415" t="inlineStr">
        <is>
          <t>Web Store</t>
        </is>
      </c>
      <c r="I4415" t="n">
        <v>4</v>
      </c>
      <c r="J4415" s="3" t="n">
        <v>835.24</v>
      </c>
      <c r="K4415" s="3" t="n">
        <v>0</v>
      </c>
      <c r="L4415" s="3" t="n">
        <v>835.24</v>
      </c>
      <c r="M4415" s="3" t="n">
        <v>472.08</v>
      </c>
      <c r="N4415" s="3" t="n">
        <v>363.16</v>
      </c>
      <c r="O4415">
        <f>TEXT(A4415,"yyyy-mm")</f>
        <v/>
      </c>
    </row>
    <row r="4416">
      <c r="A4416" s="2" t="n">
        <v>46215</v>
      </c>
      <c r="B4416" t="n">
        <v>2026</v>
      </c>
      <c r="C4416" t="inlineStr">
        <is>
          <t>July</t>
        </is>
      </c>
      <c r="D4416" t="inlineStr">
        <is>
          <t>Eco Planter</t>
        </is>
      </c>
      <c r="E4416" t="inlineStr">
        <is>
          <t>Home &amp; Garden</t>
        </is>
      </c>
      <c r="F4416" t="inlineStr">
        <is>
          <t>Maria Smith</t>
        </is>
      </c>
      <c r="G4416" t="inlineStr">
        <is>
          <t>Poland</t>
        </is>
      </c>
      <c r="H4416" t="inlineStr">
        <is>
          <t>Web Store</t>
        </is>
      </c>
      <c r="I4416" t="n">
        <v>2</v>
      </c>
      <c r="J4416" s="3" t="n">
        <v>361.3</v>
      </c>
      <c r="K4416" s="3" t="n">
        <v>18.07</v>
      </c>
      <c r="L4416" s="3" t="n">
        <v>343.24</v>
      </c>
      <c r="M4416" s="3" t="n">
        <v>224.82</v>
      </c>
      <c r="N4416" s="3" t="n">
        <v>118.42</v>
      </c>
      <c r="O4416">
        <f>TEXT(A4416,"yyyy-mm")</f>
        <v/>
      </c>
    </row>
    <row r="4417">
      <c r="A4417" s="2" t="n">
        <v>46216</v>
      </c>
      <c r="B4417" t="n">
        <v>2026</v>
      </c>
      <c r="C4417" t="inlineStr">
        <is>
          <t>July</t>
        </is>
      </c>
      <c r="D4417" t="inlineStr">
        <is>
          <t>Deluxe Scarf</t>
        </is>
      </c>
      <c r="E4417" t="inlineStr">
        <is>
          <t>Clothing</t>
        </is>
      </c>
      <c r="F4417" t="inlineStr">
        <is>
          <t>Thomas Bianchi</t>
        </is>
      </c>
      <c r="G4417" t="inlineStr">
        <is>
          <t>Germany</t>
        </is>
      </c>
      <c r="H4417" t="inlineStr">
        <is>
          <t>Mobile App</t>
        </is>
      </c>
      <c r="I4417" t="n">
        <v>4</v>
      </c>
      <c r="J4417" s="3" t="n">
        <v>806.4400000000001</v>
      </c>
      <c r="K4417" s="3" t="n">
        <v>120.97</v>
      </c>
      <c r="L4417" s="3" t="n">
        <v>685.47</v>
      </c>
      <c r="M4417" s="3" t="n">
        <v>434.08</v>
      </c>
      <c r="N4417" s="3" t="n">
        <v>251.39</v>
      </c>
      <c r="O4417">
        <f>TEXT(A4417,"yyyy-mm")</f>
        <v/>
      </c>
    </row>
    <row r="4418">
      <c r="A4418" s="2" t="n">
        <v>46216</v>
      </c>
      <c r="B4418" t="n">
        <v>2026</v>
      </c>
      <c r="C4418" t="inlineStr">
        <is>
          <t>July</t>
        </is>
      </c>
      <c r="D4418" t="inlineStr">
        <is>
          <t>Premium Cookbook</t>
        </is>
      </c>
      <c r="E4418" t="inlineStr">
        <is>
          <t>Books</t>
        </is>
      </c>
      <c r="F4418" t="inlineStr">
        <is>
          <t>Thomas Bianchi</t>
        </is>
      </c>
      <c r="G4418" t="inlineStr">
        <is>
          <t>Germany</t>
        </is>
      </c>
      <c r="H4418" t="inlineStr">
        <is>
          <t>Mobile App</t>
        </is>
      </c>
      <c r="I4418" t="n">
        <v>5</v>
      </c>
      <c r="J4418" s="3" t="n">
        <v>674.2</v>
      </c>
      <c r="K4418" s="3" t="n">
        <v>0</v>
      </c>
      <c r="L4418" s="3" t="n">
        <v>674.2</v>
      </c>
      <c r="M4418" s="3" t="n">
        <v>474.9</v>
      </c>
      <c r="N4418" s="3" t="n">
        <v>199.3</v>
      </c>
      <c r="O4418">
        <f>TEXT(A4418,"yyyy-mm")</f>
        <v/>
      </c>
    </row>
    <row r="4419">
      <c r="A4419" s="2" t="n">
        <v>46216</v>
      </c>
      <c r="B4419" t="n">
        <v>2026</v>
      </c>
      <c r="C4419" t="inlineStr">
        <is>
          <t>July</t>
        </is>
      </c>
      <c r="D4419" t="inlineStr">
        <is>
          <t>Premium Tent</t>
        </is>
      </c>
      <c r="E4419" t="inlineStr">
        <is>
          <t>Sports &amp; Outdoors</t>
        </is>
      </c>
      <c r="F4419" t="inlineStr">
        <is>
          <t>Thomas Bianchi</t>
        </is>
      </c>
      <c r="G4419" t="inlineStr">
        <is>
          <t>Germany</t>
        </is>
      </c>
      <c r="H4419" t="inlineStr">
        <is>
          <t>Mobile App</t>
        </is>
      </c>
      <c r="I4419" t="n">
        <v>2</v>
      </c>
      <c r="J4419" s="3" t="n">
        <v>290.6</v>
      </c>
      <c r="K4419" s="3" t="n">
        <v>58.12</v>
      </c>
      <c r="L4419" s="3" t="n">
        <v>232.48</v>
      </c>
      <c r="M4419" s="3" t="n">
        <v>192.8</v>
      </c>
      <c r="N4419" s="3" t="n">
        <v>39.68</v>
      </c>
      <c r="O4419">
        <f>TEXT(A4419,"yyyy-mm")</f>
        <v/>
      </c>
    </row>
    <row r="4420">
      <c r="A4420" s="2" t="n">
        <v>46216</v>
      </c>
      <c r="B4420" t="n">
        <v>2026</v>
      </c>
      <c r="C4420" t="inlineStr">
        <is>
          <t>July</t>
        </is>
      </c>
      <c r="D4420" t="inlineStr">
        <is>
          <t>Smart Camera</t>
        </is>
      </c>
      <c r="E4420" t="inlineStr">
        <is>
          <t>Electronics</t>
        </is>
      </c>
      <c r="F4420" t="inlineStr">
        <is>
          <t>Thomas Bianchi</t>
        </is>
      </c>
      <c r="G4420" t="inlineStr">
        <is>
          <t>Germany</t>
        </is>
      </c>
      <c r="H4420" t="inlineStr">
        <is>
          <t>Mobile App</t>
        </is>
      </c>
      <c r="I4420" t="n">
        <v>5</v>
      </c>
      <c r="J4420" s="3" t="n">
        <v>583</v>
      </c>
      <c r="K4420" s="3" t="n">
        <v>116.6</v>
      </c>
      <c r="L4420" s="3" t="n">
        <v>466.4</v>
      </c>
      <c r="M4420" s="3" t="n">
        <v>427.9</v>
      </c>
      <c r="N4420" s="3" t="n">
        <v>38.5</v>
      </c>
      <c r="O4420">
        <f>TEXT(A4420,"yyyy-mm")</f>
        <v/>
      </c>
    </row>
    <row r="4421">
      <c r="A4421" s="2" t="n">
        <v>46216</v>
      </c>
      <c r="B4421" t="n">
        <v>2026</v>
      </c>
      <c r="C4421" t="inlineStr">
        <is>
          <t>July</t>
        </is>
      </c>
      <c r="D4421" t="inlineStr">
        <is>
          <t>Deluxe Smartwatch</t>
        </is>
      </c>
      <c r="E4421" t="inlineStr">
        <is>
          <t>Electronics</t>
        </is>
      </c>
      <c r="F4421" t="inlineStr">
        <is>
          <t>Paul Schmidt</t>
        </is>
      </c>
      <c r="G4421" t="inlineStr">
        <is>
          <t>Poland</t>
        </is>
      </c>
      <c r="H4421" t="inlineStr">
        <is>
          <t>Retail Store</t>
        </is>
      </c>
      <c r="I4421" t="n">
        <v>5</v>
      </c>
      <c r="J4421" s="3" t="n">
        <v>813.65</v>
      </c>
      <c r="K4421" s="3" t="n">
        <v>162.73</v>
      </c>
      <c r="L4421" s="3" t="n">
        <v>650.92</v>
      </c>
      <c r="M4421" s="3" t="n">
        <v>613.6</v>
      </c>
      <c r="N4421" s="3" t="n">
        <v>37.32</v>
      </c>
      <c r="O4421">
        <f>TEXT(A4421,"yyyy-mm")</f>
        <v/>
      </c>
    </row>
    <row r="4422">
      <c r="A4422" s="2" t="n">
        <v>46216</v>
      </c>
      <c r="B4422" t="n">
        <v>2026</v>
      </c>
      <c r="C4422" t="inlineStr">
        <is>
          <t>July</t>
        </is>
      </c>
      <c r="D4422" t="inlineStr">
        <is>
          <t>Premium Water Bottle</t>
        </is>
      </c>
      <c r="E4422" t="inlineStr">
        <is>
          <t>Sports &amp; Outdoors</t>
        </is>
      </c>
      <c r="F4422" t="inlineStr">
        <is>
          <t>Paul Schmidt</t>
        </is>
      </c>
      <c r="G4422" t="inlineStr">
        <is>
          <t>Poland</t>
        </is>
      </c>
      <c r="H4422" t="inlineStr">
        <is>
          <t>Retail Store</t>
        </is>
      </c>
      <c r="I4422" t="n">
        <v>1</v>
      </c>
      <c r="J4422" s="3" t="n">
        <v>116.96</v>
      </c>
      <c r="K4422" s="3" t="n">
        <v>17.54</v>
      </c>
      <c r="L4422" s="3" t="n">
        <v>99.42</v>
      </c>
      <c r="M4422" s="3" t="n">
        <v>89.62</v>
      </c>
      <c r="N4422" s="3" t="n">
        <v>9.800000000000001</v>
      </c>
      <c r="O4422">
        <f>TEXT(A4422,"yyyy-mm")</f>
        <v/>
      </c>
    </row>
    <row r="4423">
      <c r="A4423" s="2" t="n">
        <v>46216</v>
      </c>
      <c r="B4423" t="n">
        <v>2026</v>
      </c>
      <c r="C4423" t="inlineStr">
        <is>
          <t>July</t>
        </is>
      </c>
      <c r="D4423" t="inlineStr">
        <is>
          <t>Deluxe Smartwatch</t>
        </is>
      </c>
      <c r="E4423" t="inlineStr">
        <is>
          <t>Electronics</t>
        </is>
      </c>
      <c r="F4423" t="inlineStr">
        <is>
          <t>Clara Kowalski</t>
        </is>
      </c>
      <c r="G4423" t="inlineStr">
        <is>
          <t>France</t>
        </is>
      </c>
      <c r="H4423" t="inlineStr">
        <is>
          <t>Web Store</t>
        </is>
      </c>
      <c r="I4423" t="n">
        <v>1</v>
      </c>
      <c r="J4423" s="3" t="n">
        <v>168.7</v>
      </c>
      <c r="K4423" s="3" t="n">
        <v>25.3</v>
      </c>
      <c r="L4423" s="3" t="n">
        <v>143.39</v>
      </c>
      <c r="M4423" s="3" t="n">
        <v>122.72</v>
      </c>
      <c r="N4423" s="3" t="n">
        <v>20.67</v>
      </c>
      <c r="O4423">
        <f>TEXT(A4423,"yyyy-mm")</f>
        <v/>
      </c>
    </row>
    <row r="4424">
      <c r="A4424" s="2" t="n">
        <v>46216</v>
      </c>
      <c r="B4424" t="n">
        <v>2026</v>
      </c>
      <c r="C4424" t="inlineStr">
        <is>
          <t>July</t>
        </is>
      </c>
      <c r="D4424" t="inlineStr">
        <is>
          <t>Smart Honey</t>
        </is>
      </c>
      <c r="E4424" t="inlineStr">
        <is>
          <t>Grocery</t>
        </is>
      </c>
      <c r="F4424" t="inlineStr">
        <is>
          <t>Daniel Garcia</t>
        </is>
      </c>
      <c r="G4424" t="inlineStr">
        <is>
          <t>Italy</t>
        </is>
      </c>
      <c r="H4424" t="inlineStr">
        <is>
          <t>Web Store</t>
        </is>
      </c>
      <c r="I4424" t="n">
        <v>3</v>
      </c>
      <c r="J4424" s="3" t="n">
        <v>408.06</v>
      </c>
      <c r="K4424" s="3" t="n">
        <v>0</v>
      </c>
      <c r="L4424" s="3" t="n">
        <v>408.06</v>
      </c>
      <c r="M4424" s="3" t="n">
        <v>214.32</v>
      </c>
      <c r="N4424" s="3" t="n">
        <v>193.74</v>
      </c>
      <c r="O4424">
        <f>TEXT(A4424,"yyyy-mm")</f>
        <v/>
      </c>
    </row>
    <row r="4425">
      <c r="A4425" s="2" t="n">
        <v>46216</v>
      </c>
      <c r="B4425" t="n">
        <v>2026</v>
      </c>
      <c r="C4425" t="inlineStr">
        <is>
          <t>July</t>
        </is>
      </c>
      <c r="D4425" t="inlineStr">
        <is>
          <t>Smart Board Game</t>
        </is>
      </c>
      <c r="E4425" t="inlineStr">
        <is>
          <t>Toys &amp; Games</t>
        </is>
      </c>
      <c r="F4425" t="inlineStr">
        <is>
          <t>Daniel Wilson</t>
        </is>
      </c>
      <c r="G4425" t="inlineStr">
        <is>
          <t>France</t>
        </is>
      </c>
      <c r="H4425" t="inlineStr">
        <is>
          <t>Marketplace</t>
        </is>
      </c>
      <c r="I4425" t="n">
        <v>5</v>
      </c>
      <c r="J4425" s="3" t="n">
        <v>683.05</v>
      </c>
      <c r="K4425" s="3" t="n">
        <v>0</v>
      </c>
      <c r="L4425" s="3" t="n">
        <v>683.05</v>
      </c>
      <c r="M4425" s="3" t="n">
        <v>458.6</v>
      </c>
      <c r="N4425" s="3" t="n">
        <v>224.45</v>
      </c>
      <c r="O4425">
        <f>TEXT(A4425,"yyyy-mm")</f>
        <v/>
      </c>
    </row>
    <row r="4426">
      <c r="A4426" s="2" t="n">
        <v>46216</v>
      </c>
      <c r="B4426" t="n">
        <v>2026</v>
      </c>
      <c r="C4426" t="inlineStr">
        <is>
          <t>July</t>
        </is>
      </c>
      <c r="D4426" t="inlineStr">
        <is>
          <t>Essential Pasta</t>
        </is>
      </c>
      <c r="E4426" t="inlineStr">
        <is>
          <t>Grocery</t>
        </is>
      </c>
      <c r="F4426" t="inlineStr">
        <is>
          <t>Daniel Wilson</t>
        </is>
      </c>
      <c r="G4426" t="inlineStr">
        <is>
          <t>France</t>
        </is>
      </c>
      <c r="H4426" t="inlineStr">
        <is>
          <t>Marketplace</t>
        </is>
      </c>
      <c r="I4426" t="n">
        <v>5</v>
      </c>
      <c r="J4426" s="3" t="n">
        <v>290.3</v>
      </c>
      <c r="K4426" s="3" t="n">
        <v>14.52</v>
      </c>
      <c r="L4426" s="3" t="n">
        <v>275.79</v>
      </c>
      <c r="M4426" s="3" t="n">
        <v>179.05</v>
      </c>
      <c r="N4426" s="3" t="n">
        <v>96.73999999999999</v>
      </c>
      <c r="O4426">
        <f>TEXT(A4426,"yyyy-mm")</f>
        <v/>
      </c>
    </row>
    <row r="4427">
      <c r="A4427" s="2" t="n">
        <v>46216</v>
      </c>
      <c r="B4427" t="n">
        <v>2026</v>
      </c>
      <c r="C4427" t="inlineStr">
        <is>
          <t>July</t>
        </is>
      </c>
      <c r="D4427" t="inlineStr">
        <is>
          <t>Essential Rug</t>
        </is>
      </c>
      <c r="E4427" t="inlineStr">
        <is>
          <t>Home &amp; Garden</t>
        </is>
      </c>
      <c r="F4427" t="inlineStr">
        <is>
          <t>Daniel Wilson</t>
        </is>
      </c>
      <c r="G4427" t="inlineStr">
        <is>
          <t>France</t>
        </is>
      </c>
      <c r="H4427" t="inlineStr">
        <is>
          <t>Marketplace</t>
        </is>
      </c>
      <c r="I4427" t="n">
        <v>3</v>
      </c>
      <c r="J4427" s="3" t="n">
        <v>414.87</v>
      </c>
      <c r="K4427" s="3" t="n">
        <v>0</v>
      </c>
      <c r="L4427" s="3" t="n">
        <v>414.87</v>
      </c>
      <c r="M4427" s="3" t="n">
        <v>228.99</v>
      </c>
      <c r="N4427" s="3" t="n">
        <v>185.88</v>
      </c>
      <c r="O4427">
        <f>TEXT(A4427,"yyyy-mm")</f>
        <v/>
      </c>
    </row>
    <row r="4428">
      <c r="A4428" s="2" t="n">
        <v>46216</v>
      </c>
      <c r="B4428" t="n">
        <v>2026</v>
      </c>
      <c r="C4428" t="inlineStr">
        <is>
          <t>July</t>
        </is>
      </c>
      <c r="D4428" t="inlineStr">
        <is>
          <t>Wireless Coffee Beans</t>
        </is>
      </c>
      <c r="E4428" t="inlineStr">
        <is>
          <t>Grocery</t>
        </is>
      </c>
      <c r="F4428" t="inlineStr">
        <is>
          <t>Daniel Wilson</t>
        </is>
      </c>
      <c r="G4428" t="inlineStr">
        <is>
          <t>France</t>
        </is>
      </c>
      <c r="H4428" t="inlineStr">
        <is>
          <t>Marketplace</t>
        </is>
      </c>
      <c r="I4428" t="n">
        <v>5</v>
      </c>
      <c r="J4428" s="3" t="n">
        <v>618.95</v>
      </c>
      <c r="K4428" s="3" t="n">
        <v>92.84</v>
      </c>
      <c r="L4428" s="3" t="n">
        <v>526.11</v>
      </c>
      <c r="M4428" s="3" t="n">
        <v>396.85</v>
      </c>
      <c r="N4428" s="3" t="n">
        <v>129.26</v>
      </c>
      <c r="O4428">
        <f>TEXT(A4428,"yyyy-mm")</f>
        <v/>
      </c>
    </row>
    <row r="4429">
      <c r="A4429" s="2" t="n">
        <v>46217</v>
      </c>
      <c r="B4429" t="n">
        <v>2026</v>
      </c>
      <c r="C4429" t="inlineStr">
        <is>
          <t>July</t>
        </is>
      </c>
      <c r="D4429" t="inlineStr">
        <is>
          <t>Smart Board Game</t>
        </is>
      </c>
      <c r="E4429" t="inlineStr">
        <is>
          <t>Toys &amp; Games</t>
        </is>
      </c>
      <c r="F4429" t="inlineStr">
        <is>
          <t>David Weber</t>
        </is>
      </c>
      <c r="G4429" t="inlineStr">
        <is>
          <t>Germany</t>
        </is>
      </c>
      <c r="H4429" t="inlineStr">
        <is>
          <t>Web Store</t>
        </is>
      </c>
      <c r="I4429" t="n">
        <v>3</v>
      </c>
      <c r="J4429" s="3" t="n">
        <v>388.95</v>
      </c>
      <c r="K4429" s="3" t="n">
        <v>77.79000000000001</v>
      </c>
      <c r="L4429" s="3" t="n">
        <v>311.16</v>
      </c>
      <c r="M4429" s="3" t="n">
        <v>275.16</v>
      </c>
      <c r="N4429" s="3" t="n">
        <v>36</v>
      </c>
      <c r="O4429">
        <f>TEXT(A4429,"yyyy-mm")</f>
        <v/>
      </c>
    </row>
    <row r="4430">
      <c r="A4430" s="2" t="n">
        <v>46217</v>
      </c>
      <c r="B4430" t="n">
        <v>2026</v>
      </c>
      <c r="C4430" t="inlineStr">
        <is>
          <t>July</t>
        </is>
      </c>
      <c r="D4430" t="inlineStr">
        <is>
          <t>Classic Atlas</t>
        </is>
      </c>
      <c r="E4430" t="inlineStr">
        <is>
          <t>Books</t>
        </is>
      </c>
      <c r="F4430" t="inlineStr">
        <is>
          <t>Olivia Wojcik</t>
        </is>
      </c>
      <c r="G4430" t="inlineStr">
        <is>
          <t>France</t>
        </is>
      </c>
      <c r="H4430" t="inlineStr">
        <is>
          <t>Retail Store</t>
        </is>
      </c>
      <c r="I4430" t="n">
        <v>2</v>
      </c>
      <c r="J4430" s="3" t="n">
        <v>118.5</v>
      </c>
      <c r="K4430" s="3" t="n">
        <v>5.93</v>
      </c>
      <c r="L4430" s="3" t="n">
        <v>112.58</v>
      </c>
      <c r="M4430" s="3" t="n">
        <v>69.18000000000001</v>
      </c>
      <c r="N4430" s="3" t="n">
        <v>43.4</v>
      </c>
      <c r="O4430">
        <f>TEXT(A4430,"yyyy-mm")</f>
        <v/>
      </c>
    </row>
    <row r="4431">
      <c r="A4431" s="2" t="n">
        <v>46217</v>
      </c>
      <c r="B4431" t="n">
        <v>2026</v>
      </c>
      <c r="C4431" t="inlineStr">
        <is>
          <t>July</t>
        </is>
      </c>
      <c r="D4431" t="inlineStr">
        <is>
          <t>Wireless Coffee Beans</t>
        </is>
      </c>
      <c r="E4431" t="inlineStr">
        <is>
          <t>Grocery</t>
        </is>
      </c>
      <c r="F4431" t="inlineStr">
        <is>
          <t>Olivia Wojcik</t>
        </is>
      </c>
      <c r="G4431" t="inlineStr">
        <is>
          <t>France</t>
        </is>
      </c>
      <c r="H4431" t="inlineStr">
        <is>
          <t>Retail Store</t>
        </is>
      </c>
      <c r="I4431" t="n">
        <v>5</v>
      </c>
      <c r="J4431" s="3" t="n">
        <v>1083.3</v>
      </c>
      <c r="K4431" s="3" t="n">
        <v>162.49</v>
      </c>
      <c r="L4431" s="3" t="n">
        <v>920.8</v>
      </c>
      <c r="M4431" s="3" t="n">
        <v>650.65</v>
      </c>
      <c r="N4431" s="3" t="n">
        <v>270.15</v>
      </c>
      <c r="O4431">
        <f>TEXT(A4431,"yyyy-mm")</f>
        <v/>
      </c>
    </row>
    <row r="4432">
      <c r="A4432" s="2" t="n">
        <v>46217</v>
      </c>
      <c r="B4432" t="n">
        <v>2026</v>
      </c>
      <c r="C4432" t="inlineStr">
        <is>
          <t>July</t>
        </is>
      </c>
      <c r="D4432" t="inlineStr">
        <is>
          <t>Smart Coffee Beans</t>
        </is>
      </c>
      <c r="E4432" t="inlineStr">
        <is>
          <t>Grocery</t>
        </is>
      </c>
      <c r="F4432" t="inlineStr">
        <is>
          <t>Thomas Schmidt</t>
        </is>
      </c>
      <c r="G4432" t="inlineStr">
        <is>
          <t>France</t>
        </is>
      </c>
      <c r="H4432" t="inlineStr">
        <is>
          <t>Mobile App</t>
        </is>
      </c>
      <c r="I4432" t="n">
        <v>2</v>
      </c>
      <c r="J4432" s="3" t="n">
        <v>212.86</v>
      </c>
      <c r="K4432" s="3" t="n">
        <v>21.29</v>
      </c>
      <c r="L4432" s="3" t="n">
        <v>191.57</v>
      </c>
      <c r="M4432" s="3" t="n">
        <v>145.7</v>
      </c>
      <c r="N4432" s="3" t="n">
        <v>45.87</v>
      </c>
      <c r="O4432">
        <f>TEXT(A4432,"yyyy-mm")</f>
        <v/>
      </c>
    </row>
    <row r="4433">
      <c r="A4433" s="2" t="n">
        <v>46217</v>
      </c>
      <c r="B4433" t="n">
        <v>2026</v>
      </c>
      <c r="C4433" t="inlineStr">
        <is>
          <t>July</t>
        </is>
      </c>
      <c r="D4433" t="inlineStr">
        <is>
          <t>Premium Water Bottle</t>
        </is>
      </c>
      <c r="E4433" t="inlineStr">
        <is>
          <t>Sports &amp; Outdoors</t>
        </is>
      </c>
      <c r="F4433" t="inlineStr">
        <is>
          <t>Thomas Schmidt</t>
        </is>
      </c>
      <c r="G4433" t="inlineStr">
        <is>
          <t>France</t>
        </is>
      </c>
      <c r="H4433" t="inlineStr">
        <is>
          <t>Mobile App</t>
        </is>
      </c>
      <c r="I4433" t="n">
        <v>2</v>
      </c>
      <c r="J4433" s="3" t="n">
        <v>586.02</v>
      </c>
      <c r="K4433" s="3" t="n">
        <v>0</v>
      </c>
      <c r="L4433" s="3" t="n">
        <v>586.02</v>
      </c>
      <c r="M4433" s="3" t="n">
        <v>362.32</v>
      </c>
      <c r="N4433" s="3" t="n">
        <v>223.7</v>
      </c>
      <c r="O4433">
        <f>TEXT(A4433,"yyyy-mm")</f>
        <v/>
      </c>
    </row>
    <row r="4434">
      <c r="A4434" s="2" t="n">
        <v>46217</v>
      </c>
      <c r="B4434" t="n">
        <v>2026</v>
      </c>
      <c r="C4434" t="inlineStr">
        <is>
          <t>July</t>
        </is>
      </c>
      <c r="D4434" t="inlineStr">
        <is>
          <t>Ultra Backpack</t>
        </is>
      </c>
      <c r="E4434" t="inlineStr">
        <is>
          <t>Sports &amp; Outdoors</t>
        </is>
      </c>
      <c r="F4434" t="inlineStr">
        <is>
          <t>Thomas Schmidt</t>
        </is>
      </c>
      <c r="G4434" t="inlineStr">
        <is>
          <t>France</t>
        </is>
      </c>
      <c r="H4434" t="inlineStr">
        <is>
          <t>Mobile App</t>
        </is>
      </c>
      <c r="I4434" t="n">
        <v>4</v>
      </c>
      <c r="J4434" s="3" t="n">
        <v>1208.04</v>
      </c>
      <c r="K4434" s="3" t="n">
        <v>0</v>
      </c>
      <c r="L4434" s="3" t="n">
        <v>1208.04</v>
      </c>
      <c r="M4434" s="3" t="n">
        <v>694.76</v>
      </c>
      <c r="N4434" s="3" t="n">
        <v>513.28</v>
      </c>
      <c r="O4434">
        <f>TEXT(A4434,"yyyy-mm")</f>
        <v/>
      </c>
    </row>
    <row r="4435">
      <c r="A4435" s="2" t="n">
        <v>46217</v>
      </c>
      <c r="B4435" t="n">
        <v>2026</v>
      </c>
      <c r="C4435" t="inlineStr">
        <is>
          <t>July</t>
        </is>
      </c>
      <c r="D4435" t="inlineStr">
        <is>
          <t>Classic Sunscreen</t>
        </is>
      </c>
      <c r="E4435" t="inlineStr">
        <is>
          <t>Beauty &amp; Health</t>
        </is>
      </c>
      <c r="F4435" t="inlineStr">
        <is>
          <t>Thomas Schmidt</t>
        </is>
      </c>
      <c r="G4435" t="inlineStr">
        <is>
          <t>France</t>
        </is>
      </c>
      <c r="H4435" t="inlineStr">
        <is>
          <t>Mobile App</t>
        </is>
      </c>
      <c r="I4435" t="n">
        <v>1</v>
      </c>
      <c r="J4435" s="3" t="n">
        <v>139.93</v>
      </c>
      <c r="K4435" s="3" t="n">
        <v>13.99</v>
      </c>
      <c r="L4435" s="3" t="n">
        <v>125.94</v>
      </c>
      <c r="M4435" s="3" t="n">
        <v>93.69</v>
      </c>
      <c r="N4435" s="3" t="n">
        <v>32.25</v>
      </c>
      <c r="O4435">
        <f>TEXT(A4435,"yyyy-mm")</f>
        <v/>
      </c>
    </row>
    <row r="4436">
      <c r="A4436" s="2" t="n">
        <v>46217</v>
      </c>
      <c r="B4436" t="n">
        <v>2026</v>
      </c>
      <c r="C4436" t="inlineStr">
        <is>
          <t>July</t>
        </is>
      </c>
      <c r="D4436" t="inlineStr">
        <is>
          <t>Deluxe Cookbook</t>
        </is>
      </c>
      <c r="E4436" t="inlineStr">
        <is>
          <t>Books</t>
        </is>
      </c>
      <c r="F4436" t="inlineStr">
        <is>
          <t>Peter Schmidt</t>
        </is>
      </c>
      <c r="G4436" t="inlineStr">
        <is>
          <t>United Kingdom</t>
        </is>
      </c>
      <c r="H4436" t="inlineStr">
        <is>
          <t>Web Store</t>
        </is>
      </c>
      <c r="I4436" t="n">
        <v>1</v>
      </c>
      <c r="J4436" s="3" t="n">
        <v>132.85</v>
      </c>
      <c r="K4436" s="3" t="n">
        <v>0</v>
      </c>
      <c r="L4436" s="3" t="n">
        <v>132.85</v>
      </c>
      <c r="M4436" s="3" t="n">
        <v>85.27</v>
      </c>
      <c r="N4436" s="3" t="n">
        <v>47.58</v>
      </c>
      <c r="O4436">
        <f>TEXT(A4436,"yyyy-mm")</f>
        <v/>
      </c>
    </row>
    <row r="4437">
      <c r="A4437" s="2" t="n">
        <v>46217</v>
      </c>
      <c r="B4437" t="n">
        <v>2026</v>
      </c>
      <c r="C4437" t="inlineStr">
        <is>
          <t>July</t>
        </is>
      </c>
      <c r="D4437" t="inlineStr">
        <is>
          <t>Essential Toolset</t>
        </is>
      </c>
      <c r="E4437" t="inlineStr">
        <is>
          <t>Home &amp; Garden</t>
        </is>
      </c>
      <c r="F4437" t="inlineStr">
        <is>
          <t>Peter Schmidt</t>
        </is>
      </c>
      <c r="G4437" t="inlineStr">
        <is>
          <t>United Kingdom</t>
        </is>
      </c>
      <c r="H4437" t="inlineStr">
        <is>
          <t>Web Store</t>
        </is>
      </c>
      <c r="I4437" t="n">
        <v>5</v>
      </c>
      <c r="J4437" s="3" t="n">
        <v>1010.4</v>
      </c>
      <c r="K4437" s="3" t="n">
        <v>0</v>
      </c>
      <c r="L4437" s="3" t="n">
        <v>1010.4</v>
      </c>
      <c r="M4437" s="3" t="n">
        <v>752.65</v>
      </c>
      <c r="N4437" s="3" t="n">
        <v>257.75</v>
      </c>
      <c r="O4437">
        <f>TEXT(A4437,"yyyy-mm")</f>
        <v/>
      </c>
    </row>
    <row r="4438">
      <c r="A4438" s="2" t="n">
        <v>46217</v>
      </c>
      <c r="B4438" t="n">
        <v>2026</v>
      </c>
      <c r="C4438" t="inlineStr">
        <is>
          <t>July</t>
        </is>
      </c>
      <c r="D4438" t="inlineStr">
        <is>
          <t>Essential Rug</t>
        </is>
      </c>
      <c r="E4438" t="inlineStr">
        <is>
          <t>Home &amp; Garden</t>
        </is>
      </c>
      <c r="F4438" t="inlineStr">
        <is>
          <t>Peter Schmidt</t>
        </is>
      </c>
      <c r="G4438" t="inlineStr">
        <is>
          <t>United Kingdom</t>
        </is>
      </c>
      <c r="H4438" t="inlineStr">
        <is>
          <t>Web Store</t>
        </is>
      </c>
      <c r="I4438" t="n">
        <v>1</v>
      </c>
      <c r="J4438" s="3" t="n">
        <v>137.69</v>
      </c>
      <c r="K4438" s="3" t="n">
        <v>27.54</v>
      </c>
      <c r="L4438" s="3" t="n">
        <v>110.15</v>
      </c>
      <c r="M4438" s="3" t="n">
        <v>76.33</v>
      </c>
      <c r="N4438" s="3" t="n">
        <v>33.82</v>
      </c>
      <c r="O4438">
        <f>TEXT(A4438,"yyyy-mm")</f>
        <v/>
      </c>
    </row>
    <row r="4439">
      <c r="A4439" s="2" t="n">
        <v>46217</v>
      </c>
      <c r="B4439" t="n">
        <v>2026</v>
      </c>
      <c r="C4439" t="inlineStr">
        <is>
          <t>July</t>
        </is>
      </c>
      <c r="D4439" t="inlineStr">
        <is>
          <t>Essential Jacket</t>
        </is>
      </c>
      <c r="E4439" t="inlineStr">
        <is>
          <t>Clothing</t>
        </is>
      </c>
      <c r="F4439" t="inlineStr">
        <is>
          <t>Peter Schmidt</t>
        </is>
      </c>
      <c r="G4439" t="inlineStr">
        <is>
          <t>United Kingdom</t>
        </is>
      </c>
      <c r="H4439" t="inlineStr">
        <is>
          <t>Web Store</t>
        </is>
      </c>
      <c r="I4439" t="n">
        <v>4</v>
      </c>
      <c r="J4439" s="3" t="n">
        <v>600.8</v>
      </c>
      <c r="K4439" s="3" t="n">
        <v>0</v>
      </c>
      <c r="L4439" s="3" t="n">
        <v>600.8</v>
      </c>
      <c r="M4439" s="3" t="n">
        <v>341.4</v>
      </c>
      <c r="N4439" s="3" t="n">
        <v>259.4</v>
      </c>
      <c r="O4439">
        <f>TEXT(A4439,"yyyy-mm")</f>
        <v/>
      </c>
    </row>
    <row r="4440">
      <c r="A4440" s="2" t="n">
        <v>46218</v>
      </c>
      <c r="B4440" t="n">
        <v>2026</v>
      </c>
      <c r="C4440" t="inlineStr">
        <is>
          <t>July</t>
        </is>
      </c>
      <c r="D4440" t="inlineStr">
        <is>
          <t>Ultra Toolset</t>
        </is>
      </c>
      <c r="E4440" t="inlineStr">
        <is>
          <t>Home &amp; Garden</t>
        </is>
      </c>
      <c r="F4440" t="inlineStr">
        <is>
          <t>Emma Wilson</t>
        </is>
      </c>
      <c r="G4440" t="inlineStr">
        <is>
          <t>Italy</t>
        </is>
      </c>
      <c r="H4440" t="inlineStr">
        <is>
          <t>Mobile App</t>
        </is>
      </c>
      <c r="I4440" t="n">
        <v>1</v>
      </c>
      <c r="J4440" s="3" t="n">
        <v>372.4</v>
      </c>
      <c r="K4440" s="3" t="n">
        <v>0</v>
      </c>
      <c r="L4440" s="3" t="n">
        <v>372.4</v>
      </c>
      <c r="M4440" s="3" t="n">
        <v>190.4</v>
      </c>
      <c r="N4440" s="3" t="n">
        <v>182</v>
      </c>
      <c r="O4440">
        <f>TEXT(A4440,"yyyy-mm")</f>
        <v/>
      </c>
    </row>
    <row r="4441">
      <c r="A4441" s="2" t="n">
        <v>46218</v>
      </c>
      <c r="B4441" t="n">
        <v>2026</v>
      </c>
      <c r="C4441" t="inlineStr">
        <is>
          <t>July</t>
        </is>
      </c>
      <c r="D4441" t="inlineStr">
        <is>
          <t>Compact Pasta</t>
        </is>
      </c>
      <c r="E4441" t="inlineStr">
        <is>
          <t>Grocery</t>
        </is>
      </c>
      <c r="F4441" t="inlineStr">
        <is>
          <t>Emma Wilson</t>
        </is>
      </c>
      <c r="G4441" t="inlineStr">
        <is>
          <t>Italy</t>
        </is>
      </c>
      <c r="H4441" t="inlineStr">
        <is>
          <t>Mobile App</t>
        </is>
      </c>
      <c r="I4441" t="n">
        <v>2</v>
      </c>
      <c r="J4441" s="3" t="n">
        <v>649.62</v>
      </c>
      <c r="K4441" s="3" t="n">
        <v>129.92</v>
      </c>
      <c r="L4441" s="3" t="n">
        <v>519.7</v>
      </c>
      <c r="M4441" s="3" t="n">
        <v>398.8</v>
      </c>
      <c r="N4441" s="3" t="n">
        <v>120.9</v>
      </c>
      <c r="O4441">
        <f>TEXT(A4441,"yyyy-mm")</f>
        <v/>
      </c>
    </row>
    <row r="4442">
      <c r="A4442" s="2" t="n">
        <v>46218</v>
      </c>
      <c r="B4442" t="n">
        <v>2026</v>
      </c>
      <c r="C4442" t="inlineStr">
        <is>
          <t>July</t>
        </is>
      </c>
      <c r="D4442" t="inlineStr">
        <is>
          <t>Smart Sweater</t>
        </is>
      </c>
      <c r="E4442" t="inlineStr">
        <is>
          <t>Clothing</t>
        </is>
      </c>
      <c r="F4442" t="inlineStr">
        <is>
          <t>Nina Fischer</t>
        </is>
      </c>
      <c r="G4442" t="inlineStr">
        <is>
          <t>Netherlands</t>
        </is>
      </c>
      <c r="H4442" t="inlineStr">
        <is>
          <t>Retail Store</t>
        </is>
      </c>
      <c r="I4442" t="n">
        <v>4</v>
      </c>
      <c r="J4442" s="3" t="n">
        <v>557.76</v>
      </c>
      <c r="K4442" s="3" t="n">
        <v>111.55</v>
      </c>
      <c r="L4442" s="3" t="n">
        <v>446.21</v>
      </c>
      <c r="M4442" s="3" t="n">
        <v>309.4</v>
      </c>
      <c r="N4442" s="3" t="n">
        <v>136.81</v>
      </c>
      <c r="O4442">
        <f>TEXT(A4442,"yyyy-mm")</f>
        <v/>
      </c>
    </row>
    <row r="4443">
      <c r="A4443" s="2" t="n">
        <v>46218</v>
      </c>
      <c r="B4443" t="n">
        <v>2026</v>
      </c>
      <c r="C4443" t="inlineStr">
        <is>
          <t>July</t>
        </is>
      </c>
      <c r="D4443" t="inlineStr">
        <is>
          <t>Eco Drone</t>
        </is>
      </c>
      <c r="E4443" t="inlineStr">
        <is>
          <t>Toys &amp; Games</t>
        </is>
      </c>
      <c r="F4443" t="inlineStr">
        <is>
          <t>Nina Fischer</t>
        </is>
      </c>
      <c r="G4443" t="inlineStr">
        <is>
          <t>Netherlands</t>
        </is>
      </c>
      <c r="H4443" t="inlineStr">
        <is>
          <t>Retail Store</t>
        </is>
      </c>
      <c r="I4443" t="n">
        <v>2</v>
      </c>
      <c r="J4443" s="3" t="n">
        <v>387.48</v>
      </c>
      <c r="K4443" s="3" t="n">
        <v>0</v>
      </c>
      <c r="L4443" s="3" t="n">
        <v>387.48</v>
      </c>
      <c r="M4443" s="3" t="n">
        <v>259.18</v>
      </c>
      <c r="N4443" s="3" t="n">
        <v>128.3</v>
      </c>
      <c r="O4443">
        <f>TEXT(A4443,"yyyy-mm")</f>
        <v/>
      </c>
    </row>
    <row r="4444">
      <c r="A4444" s="2" t="n">
        <v>46218</v>
      </c>
      <c r="B4444" t="n">
        <v>2026</v>
      </c>
      <c r="C4444" t="inlineStr">
        <is>
          <t>July</t>
        </is>
      </c>
      <c r="D4444" t="inlineStr">
        <is>
          <t>Classic Yoga Mat</t>
        </is>
      </c>
      <c r="E4444" t="inlineStr">
        <is>
          <t>Sports &amp; Outdoors</t>
        </is>
      </c>
      <c r="F4444" t="inlineStr">
        <is>
          <t>Nina Fischer</t>
        </is>
      </c>
      <c r="G4444" t="inlineStr">
        <is>
          <t>Netherlands</t>
        </is>
      </c>
      <c r="H4444" t="inlineStr">
        <is>
          <t>Retail Store</t>
        </is>
      </c>
      <c r="I4444" t="n">
        <v>3</v>
      </c>
      <c r="J4444" s="3" t="n">
        <v>961.74</v>
      </c>
      <c r="K4444" s="3" t="n">
        <v>0</v>
      </c>
      <c r="L4444" s="3" t="n">
        <v>961.74</v>
      </c>
      <c r="M4444" s="3" t="n">
        <v>587.1</v>
      </c>
      <c r="N4444" s="3" t="n">
        <v>374.64</v>
      </c>
      <c r="O4444">
        <f>TEXT(A4444,"yyyy-mm")</f>
        <v/>
      </c>
    </row>
    <row r="4445">
      <c r="A4445" s="2" t="n">
        <v>46218</v>
      </c>
      <c r="B4445" t="n">
        <v>2026</v>
      </c>
      <c r="C4445" t="inlineStr">
        <is>
          <t>July</t>
        </is>
      </c>
      <c r="D4445" t="inlineStr">
        <is>
          <t>Wireless Drone</t>
        </is>
      </c>
      <c r="E4445" t="inlineStr">
        <is>
          <t>Toys &amp; Games</t>
        </is>
      </c>
      <c r="F4445" t="inlineStr">
        <is>
          <t>Emma Wilson</t>
        </is>
      </c>
      <c r="G4445" t="inlineStr">
        <is>
          <t>Italy</t>
        </is>
      </c>
      <c r="H4445" t="inlineStr">
        <is>
          <t>Mobile App</t>
        </is>
      </c>
      <c r="I4445" t="n">
        <v>5</v>
      </c>
      <c r="J4445" s="3" t="n">
        <v>1055.6</v>
      </c>
      <c r="K4445" s="3" t="n">
        <v>0</v>
      </c>
      <c r="L4445" s="3" t="n">
        <v>1055.6</v>
      </c>
      <c r="M4445" s="3" t="n">
        <v>656.45</v>
      </c>
      <c r="N4445" s="3" t="n">
        <v>399.15</v>
      </c>
      <c r="O4445">
        <f>TEXT(A4445,"yyyy-mm")</f>
        <v/>
      </c>
    </row>
    <row r="4446">
      <c r="A4446" s="2" t="n">
        <v>46218</v>
      </c>
      <c r="B4446" t="n">
        <v>2026</v>
      </c>
      <c r="C4446" t="inlineStr">
        <is>
          <t>July</t>
        </is>
      </c>
      <c r="D4446" t="inlineStr">
        <is>
          <t>Smart Sweater</t>
        </is>
      </c>
      <c r="E4446" t="inlineStr">
        <is>
          <t>Clothing</t>
        </is>
      </c>
      <c r="F4446" t="inlineStr">
        <is>
          <t>Peter Muller</t>
        </is>
      </c>
      <c r="G4446" t="inlineStr">
        <is>
          <t>Poland</t>
        </is>
      </c>
      <c r="H4446" t="inlineStr">
        <is>
          <t>Mobile App</t>
        </is>
      </c>
      <c r="I4446" t="n">
        <v>3</v>
      </c>
      <c r="J4446" s="3" t="n">
        <v>442.71</v>
      </c>
      <c r="K4446" s="3" t="n">
        <v>0</v>
      </c>
      <c r="L4446" s="3" t="n">
        <v>442.71</v>
      </c>
      <c r="M4446" s="3" t="n">
        <v>232.05</v>
      </c>
      <c r="N4446" s="3" t="n">
        <v>210.66</v>
      </c>
      <c r="O4446">
        <f>TEXT(A4446,"yyyy-mm")</f>
        <v/>
      </c>
    </row>
    <row r="4447">
      <c r="A4447" s="2" t="n">
        <v>46218</v>
      </c>
      <c r="B4447" t="n">
        <v>2026</v>
      </c>
      <c r="C4447" t="inlineStr">
        <is>
          <t>July</t>
        </is>
      </c>
      <c r="D4447" t="inlineStr">
        <is>
          <t>Smart Jeans</t>
        </is>
      </c>
      <c r="E4447" t="inlineStr">
        <is>
          <t>Clothing</t>
        </is>
      </c>
      <c r="F4447" t="inlineStr">
        <is>
          <t>Emma Wilson</t>
        </is>
      </c>
      <c r="G4447" t="inlineStr">
        <is>
          <t>Italy</t>
        </is>
      </c>
      <c r="H4447" t="inlineStr">
        <is>
          <t>Mobile App</t>
        </is>
      </c>
      <c r="I4447" t="n">
        <v>4</v>
      </c>
      <c r="J4447" s="3" t="n">
        <v>1191</v>
      </c>
      <c r="K4447" s="3" t="n">
        <v>178.65</v>
      </c>
      <c r="L4447" s="3" t="n">
        <v>1012.35</v>
      </c>
      <c r="M4447" s="3" t="n">
        <v>774.5599999999999</v>
      </c>
      <c r="N4447" s="3" t="n">
        <v>237.79</v>
      </c>
      <c r="O4447">
        <f>TEXT(A4447,"yyyy-mm")</f>
        <v/>
      </c>
    </row>
    <row r="4448">
      <c r="A4448" s="2" t="n">
        <v>46218</v>
      </c>
      <c r="B4448" t="n">
        <v>2026</v>
      </c>
      <c r="C4448" t="inlineStr">
        <is>
          <t>July</t>
        </is>
      </c>
      <c r="D4448" t="inlineStr">
        <is>
          <t>Smart Honey</t>
        </is>
      </c>
      <c r="E4448" t="inlineStr">
        <is>
          <t>Grocery</t>
        </is>
      </c>
      <c r="F4448" t="inlineStr">
        <is>
          <t>Peter Muller</t>
        </is>
      </c>
      <c r="G4448" t="inlineStr">
        <is>
          <t>Poland</t>
        </is>
      </c>
      <c r="H4448" t="inlineStr">
        <is>
          <t>Mobile App</t>
        </is>
      </c>
      <c r="I4448" t="n">
        <v>2</v>
      </c>
      <c r="J4448" s="3" t="n">
        <v>263.3</v>
      </c>
      <c r="K4448" s="3" t="n">
        <v>26.33</v>
      </c>
      <c r="L4448" s="3" t="n">
        <v>236.97</v>
      </c>
      <c r="M4448" s="3" t="n">
        <v>142.88</v>
      </c>
      <c r="N4448" s="3" t="n">
        <v>94.09</v>
      </c>
      <c r="O4448">
        <f>TEXT(A4448,"yyyy-mm")</f>
        <v/>
      </c>
    </row>
    <row r="4449">
      <c r="A4449" s="2" t="n">
        <v>46219</v>
      </c>
      <c r="B4449" t="n">
        <v>2026</v>
      </c>
      <c r="C4449" t="inlineStr">
        <is>
          <t>July</t>
        </is>
      </c>
      <c r="D4449" t="inlineStr">
        <is>
          <t>Ultra Toolset</t>
        </is>
      </c>
      <c r="E4449" t="inlineStr">
        <is>
          <t>Home &amp; Garden</t>
        </is>
      </c>
      <c r="F4449" t="inlineStr">
        <is>
          <t>Daniel Rossi</t>
        </is>
      </c>
      <c r="G4449" t="inlineStr">
        <is>
          <t>Poland</t>
        </is>
      </c>
      <c r="H4449" t="inlineStr">
        <is>
          <t>Web Store</t>
        </is>
      </c>
      <c r="I4449" t="n">
        <v>2</v>
      </c>
      <c r="J4449" s="3" t="n">
        <v>738</v>
      </c>
      <c r="K4449" s="3" t="n">
        <v>0</v>
      </c>
      <c r="L4449" s="3" t="n">
        <v>738</v>
      </c>
      <c r="M4449" s="3" t="n">
        <v>380.8</v>
      </c>
      <c r="N4449" s="3" t="n">
        <v>357.2</v>
      </c>
      <c r="O4449">
        <f>TEXT(A4449,"yyyy-mm")</f>
        <v/>
      </c>
    </row>
    <row r="4450">
      <c r="A4450" s="2" t="n">
        <v>46219</v>
      </c>
      <c r="B4450" t="n">
        <v>2026</v>
      </c>
      <c r="C4450" t="inlineStr">
        <is>
          <t>July</t>
        </is>
      </c>
      <c r="D4450" t="inlineStr">
        <is>
          <t>Premium Tent</t>
        </is>
      </c>
      <c r="E4450" t="inlineStr">
        <is>
          <t>Sports &amp; Outdoors</t>
        </is>
      </c>
      <c r="F4450" t="inlineStr">
        <is>
          <t>Daniel Rossi</t>
        </is>
      </c>
      <c r="G4450" t="inlineStr">
        <is>
          <t>Poland</t>
        </is>
      </c>
      <c r="H4450" t="inlineStr">
        <is>
          <t>Web Store</t>
        </is>
      </c>
      <c r="I4450" t="n">
        <v>4</v>
      </c>
      <c r="J4450" s="3" t="n">
        <v>1064.76</v>
      </c>
      <c r="K4450" s="3" t="n">
        <v>106.48</v>
      </c>
      <c r="L4450" s="3" t="n">
        <v>958.28</v>
      </c>
      <c r="M4450" s="3" t="n">
        <v>661.24</v>
      </c>
      <c r="N4450" s="3" t="n">
        <v>297.04</v>
      </c>
      <c r="O4450">
        <f>TEXT(A4450,"yyyy-mm")</f>
        <v/>
      </c>
    </row>
    <row r="4451">
      <c r="A4451" s="2" t="n">
        <v>46219</v>
      </c>
      <c r="B4451" t="n">
        <v>2026</v>
      </c>
      <c r="C4451" t="inlineStr">
        <is>
          <t>July</t>
        </is>
      </c>
      <c r="D4451" t="inlineStr">
        <is>
          <t>Wireless Cookbook</t>
        </is>
      </c>
      <c r="E4451" t="inlineStr">
        <is>
          <t>Books</t>
        </is>
      </c>
      <c r="F4451" t="inlineStr">
        <is>
          <t>Nina Fischer</t>
        </is>
      </c>
      <c r="G4451" t="inlineStr">
        <is>
          <t>Poland</t>
        </is>
      </c>
      <c r="H4451" t="inlineStr">
        <is>
          <t>Web Store</t>
        </is>
      </c>
      <c r="I4451" t="n">
        <v>1</v>
      </c>
      <c r="J4451" s="3" t="n">
        <v>80.03</v>
      </c>
      <c r="K4451" s="3" t="n">
        <v>0</v>
      </c>
      <c r="L4451" s="3" t="n">
        <v>80.03</v>
      </c>
      <c r="M4451" s="3" t="n">
        <v>56.61</v>
      </c>
      <c r="N4451" s="3" t="n">
        <v>23.42</v>
      </c>
      <c r="O4451">
        <f>TEXT(A4451,"yyyy-mm")</f>
        <v/>
      </c>
    </row>
    <row r="4452">
      <c r="A4452" s="2" t="n">
        <v>46219</v>
      </c>
      <c r="B4452" t="n">
        <v>2026</v>
      </c>
      <c r="C4452" t="inlineStr">
        <is>
          <t>July</t>
        </is>
      </c>
      <c r="D4452" t="inlineStr">
        <is>
          <t>Deluxe Notebook</t>
        </is>
      </c>
      <c r="E4452" t="inlineStr">
        <is>
          <t>Books</t>
        </is>
      </c>
      <c r="F4452" t="inlineStr">
        <is>
          <t>Daniel Zielinski</t>
        </is>
      </c>
      <c r="G4452" t="inlineStr">
        <is>
          <t>United States</t>
        </is>
      </c>
      <c r="H4452" t="inlineStr">
        <is>
          <t>Retail Store</t>
        </is>
      </c>
      <c r="I4452" t="n">
        <v>2</v>
      </c>
      <c r="J4452" s="3" t="n">
        <v>433.72</v>
      </c>
      <c r="K4452" s="3" t="n">
        <v>86.73999999999999</v>
      </c>
      <c r="L4452" s="3" t="n">
        <v>346.98</v>
      </c>
      <c r="M4452" s="3" t="n">
        <v>301.52</v>
      </c>
      <c r="N4452" s="3" t="n">
        <v>45.46</v>
      </c>
      <c r="O4452">
        <f>TEXT(A4452,"yyyy-mm")</f>
        <v/>
      </c>
    </row>
    <row r="4453">
      <c r="A4453" s="2" t="n">
        <v>46219</v>
      </c>
      <c r="B4453" t="n">
        <v>2026</v>
      </c>
      <c r="C4453" t="inlineStr">
        <is>
          <t>July</t>
        </is>
      </c>
      <c r="D4453" t="inlineStr">
        <is>
          <t>Eco Drone</t>
        </is>
      </c>
      <c r="E4453" t="inlineStr">
        <is>
          <t>Toys &amp; Games</t>
        </is>
      </c>
      <c r="F4453" t="inlineStr">
        <is>
          <t>Daniel Zielinski</t>
        </is>
      </c>
      <c r="G4453" t="inlineStr">
        <is>
          <t>United States</t>
        </is>
      </c>
      <c r="H4453" t="inlineStr">
        <is>
          <t>Retail Store</t>
        </is>
      </c>
      <c r="I4453" t="n">
        <v>5</v>
      </c>
      <c r="J4453" s="3" t="n">
        <v>992.75</v>
      </c>
      <c r="K4453" s="3" t="n">
        <v>198.55</v>
      </c>
      <c r="L4453" s="3" t="n">
        <v>794.2</v>
      </c>
      <c r="M4453" s="3" t="n">
        <v>647.95</v>
      </c>
      <c r="N4453" s="3" t="n">
        <v>146.25</v>
      </c>
      <c r="O4453">
        <f>TEXT(A4453,"yyyy-mm")</f>
        <v/>
      </c>
    </row>
    <row r="4454">
      <c r="A4454" s="2" t="n">
        <v>46219</v>
      </c>
      <c r="B4454" t="n">
        <v>2026</v>
      </c>
      <c r="C4454" t="inlineStr">
        <is>
          <t>July</t>
        </is>
      </c>
      <c r="D4454" t="inlineStr">
        <is>
          <t>Ultra Vitamins</t>
        </is>
      </c>
      <c r="E4454" t="inlineStr">
        <is>
          <t>Beauty &amp; Health</t>
        </is>
      </c>
      <c r="F4454" t="inlineStr">
        <is>
          <t>Daniel Zielinski</t>
        </is>
      </c>
      <c r="G4454" t="inlineStr">
        <is>
          <t>United States</t>
        </is>
      </c>
      <c r="H4454" t="inlineStr">
        <is>
          <t>Retail Store</t>
        </is>
      </c>
      <c r="I4454" t="n">
        <v>3</v>
      </c>
      <c r="J4454" s="3" t="n">
        <v>661.38</v>
      </c>
      <c r="K4454" s="3" t="n">
        <v>0</v>
      </c>
      <c r="L4454" s="3" t="n">
        <v>661.38</v>
      </c>
      <c r="M4454" s="3" t="n">
        <v>378.3</v>
      </c>
      <c r="N4454" s="3" t="n">
        <v>283.08</v>
      </c>
      <c r="O4454">
        <f>TEXT(A4454,"yyyy-mm")</f>
        <v/>
      </c>
    </row>
    <row r="4455">
      <c r="A4455" s="2" t="n">
        <v>46219</v>
      </c>
      <c r="B4455" t="n">
        <v>2026</v>
      </c>
      <c r="C4455" t="inlineStr">
        <is>
          <t>July</t>
        </is>
      </c>
      <c r="D4455" t="inlineStr">
        <is>
          <t>Deluxe Scarf</t>
        </is>
      </c>
      <c r="E4455" t="inlineStr">
        <is>
          <t>Clothing</t>
        </is>
      </c>
      <c r="F4455" t="inlineStr">
        <is>
          <t>Daniel Zielinski</t>
        </is>
      </c>
      <c r="G4455" t="inlineStr">
        <is>
          <t>United States</t>
        </is>
      </c>
      <c r="H4455" t="inlineStr">
        <is>
          <t>Retail Store</t>
        </is>
      </c>
      <c r="I4455" t="n">
        <v>3</v>
      </c>
      <c r="J4455" s="3" t="n">
        <v>589.05</v>
      </c>
      <c r="K4455" s="3" t="n">
        <v>117.81</v>
      </c>
      <c r="L4455" s="3" t="n">
        <v>471.24</v>
      </c>
      <c r="M4455" s="3" t="n">
        <v>325.56</v>
      </c>
      <c r="N4455" s="3" t="n">
        <v>145.68</v>
      </c>
      <c r="O4455">
        <f>TEXT(A4455,"yyyy-mm")</f>
        <v/>
      </c>
    </row>
    <row r="4456">
      <c r="A4456" s="2" t="n">
        <v>46220</v>
      </c>
      <c r="B4456" t="n">
        <v>2026</v>
      </c>
      <c r="C4456" t="inlineStr">
        <is>
          <t>July</t>
        </is>
      </c>
      <c r="D4456" t="inlineStr">
        <is>
          <t>Smart Tea Set</t>
        </is>
      </c>
      <c r="E4456" t="inlineStr">
        <is>
          <t>Grocery</t>
        </is>
      </c>
      <c r="F4456" t="inlineStr">
        <is>
          <t>Daniel Garcia</t>
        </is>
      </c>
      <c r="G4456" t="inlineStr">
        <is>
          <t>Italy</t>
        </is>
      </c>
      <c r="H4456" t="inlineStr">
        <is>
          <t>Web Store</t>
        </is>
      </c>
      <c r="I4456" t="n">
        <v>3</v>
      </c>
      <c r="J4456" s="3" t="n">
        <v>277.2</v>
      </c>
      <c r="K4456" s="3" t="n">
        <v>55.44</v>
      </c>
      <c r="L4456" s="3" t="n">
        <v>221.76</v>
      </c>
      <c r="M4456" s="3" t="n">
        <v>185.4</v>
      </c>
      <c r="N4456" s="3" t="n">
        <v>36.36</v>
      </c>
      <c r="O4456">
        <f>TEXT(A4456,"yyyy-mm")</f>
        <v/>
      </c>
    </row>
    <row r="4457">
      <c r="A4457" s="2" t="n">
        <v>46220</v>
      </c>
      <c r="B4457" t="n">
        <v>2026</v>
      </c>
      <c r="C4457" t="inlineStr">
        <is>
          <t>July</t>
        </is>
      </c>
      <c r="D4457" t="inlineStr">
        <is>
          <t>Smart Charger</t>
        </is>
      </c>
      <c r="E4457" t="inlineStr">
        <is>
          <t>Electronics</t>
        </is>
      </c>
      <c r="F4457" t="inlineStr">
        <is>
          <t>Daniel Garcia</t>
        </is>
      </c>
      <c r="G4457" t="inlineStr">
        <is>
          <t>Italy</t>
        </is>
      </c>
      <c r="H4457" t="inlineStr">
        <is>
          <t>Web Store</t>
        </is>
      </c>
      <c r="I4457" t="n">
        <v>2</v>
      </c>
      <c r="J4457" s="3" t="n">
        <v>81.34</v>
      </c>
      <c r="K4457" s="3" t="n">
        <v>12.2</v>
      </c>
      <c r="L4457" s="3" t="n">
        <v>69.14</v>
      </c>
      <c r="M4457" s="3" t="n">
        <v>55.28</v>
      </c>
      <c r="N4457" s="3" t="n">
        <v>13.86</v>
      </c>
      <c r="O4457">
        <f>TEXT(A4457,"yyyy-mm")</f>
        <v/>
      </c>
    </row>
    <row r="4458">
      <c r="A4458" s="2" t="n">
        <v>46220</v>
      </c>
      <c r="B4458" t="n">
        <v>2026</v>
      </c>
      <c r="C4458" t="inlineStr">
        <is>
          <t>July</t>
        </is>
      </c>
      <c r="D4458" t="inlineStr">
        <is>
          <t>Portable Pasta</t>
        </is>
      </c>
      <c r="E4458" t="inlineStr">
        <is>
          <t>Grocery</t>
        </is>
      </c>
      <c r="F4458" t="inlineStr">
        <is>
          <t>Daniel Garcia</t>
        </is>
      </c>
      <c r="G4458" t="inlineStr">
        <is>
          <t>Italy</t>
        </is>
      </c>
      <c r="H4458" t="inlineStr">
        <is>
          <t>Web Store</t>
        </is>
      </c>
      <c r="I4458" t="n">
        <v>2</v>
      </c>
      <c r="J4458" s="3" t="n">
        <v>75.81999999999999</v>
      </c>
      <c r="K4458" s="3" t="n">
        <v>7.58</v>
      </c>
      <c r="L4458" s="3" t="n">
        <v>68.23999999999999</v>
      </c>
      <c r="M4458" s="3" t="n">
        <v>55.5</v>
      </c>
      <c r="N4458" s="3" t="n">
        <v>12.74</v>
      </c>
      <c r="O4458">
        <f>TEXT(A4458,"yyyy-mm")</f>
        <v/>
      </c>
    </row>
    <row r="4459">
      <c r="A4459" s="2" t="n">
        <v>46220</v>
      </c>
      <c r="B4459" t="n">
        <v>2026</v>
      </c>
      <c r="C4459" t="inlineStr">
        <is>
          <t>July</t>
        </is>
      </c>
      <c r="D4459" t="inlineStr">
        <is>
          <t>Eco Biography</t>
        </is>
      </c>
      <c r="E4459" t="inlineStr">
        <is>
          <t>Books</t>
        </is>
      </c>
      <c r="F4459" t="inlineStr">
        <is>
          <t>James Moreau</t>
        </is>
      </c>
      <c r="G4459" t="inlineStr">
        <is>
          <t>Poland</t>
        </is>
      </c>
      <c r="H4459" t="inlineStr">
        <is>
          <t>Mobile App</t>
        </is>
      </c>
      <c r="I4459" t="n">
        <v>2</v>
      </c>
      <c r="J4459" s="3" t="n">
        <v>239.26</v>
      </c>
      <c r="K4459" s="3" t="n">
        <v>47.85</v>
      </c>
      <c r="L4459" s="3" t="n">
        <v>191.41</v>
      </c>
      <c r="M4459" s="3" t="n">
        <v>142.04</v>
      </c>
      <c r="N4459" s="3" t="n">
        <v>49.37</v>
      </c>
      <c r="O4459">
        <f>TEXT(A4459,"yyyy-mm")</f>
        <v/>
      </c>
    </row>
    <row r="4460">
      <c r="A4460" s="2" t="n">
        <v>46220</v>
      </c>
      <c r="B4460" t="n">
        <v>2026</v>
      </c>
      <c r="C4460" t="inlineStr">
        <is>
          <t>July</t>
        </is>
      </c>
      <c r="D4460" t="inlineStr">
        <is>
          <t>Wireless Cookbook</t>
        </is>
      </c>
      <c r="E4460" t="inlineStr">
        <is>
          <t>Books</t>
        </is>
      </c>
      <c r="F4460" t="inlineStr">
        <is>
          <t>David Johnson</t>
        </is>
      </c>
      <c r="G4460" t="inlineStr">
        <is>
          <t>Poland</t>
        </is>
      </c>
      <c r="H4460" t="inlineStr">
        <is>
          <t>Web Store</t>
        </is>
      </c>
      <c r="I4460" t="n">
        <v>2</v>
      </c>
      <c r="J4460" s="3" t="n">
        <v>158.34</v>
      </c>
      <c r="K4460" s="3" t="n">
        <v>15.83</v>
      </c>
      <c r="L4460" s="3" t="n">
        <v>142.51</v>
      </c>
      <c r="M4460" s="3" t="n">
        <v>113.22</v>
      </c>
      <c r="N4460" s="3" t="n">
        <v>29.29</v>
      </c>
      <c r="O4460">
        <f>TEXT(A4460,"yyyy-mm")</f>
        <v/>
      </c>
    </row>
    <row r="4461">
      <c r="A4461" s="2" t="n">
        <v>46220</v>
      </c>
      <c r="B4461" t="n">
        <v>2026</v>
      </c>
      <c r="C4461" t="inlineStr">
        <is>
          <t>July</t>
        </is>
      </c>
      <c r="D4461" t="inlineStr">
        <is>
          <t>Smart Sweater</t>
        </is>
      </c>
      <c r="E4461" t="inlineStr">
        <is>
          <t>Clothing</t>
        </is>
      </c>
      <c r="F4461" t="inlineStr">
        <is>
          <t>David Johnson</t>
        </is>
      </c>
      <c r="G4461" t="inlineStr">
        <is>
          <t>Poland</t>
        </is>
      </c>
      <c r="H4461" t="inlineStr">
        <is>
          <t>Web Store</t>
        </is>
      </c>
      <c r="I4461" t="n">
        <v>2</v>
      </c>
      <c r="J4461" s="3" t="n">
        <v>290.52</v>
      </c>
      <c r="K4461" s="3" t="n">
        <v>0</v>
      </c>
      <c r="L4461" s="3" t="n">
        <v>290.52</v>
      </c>
      <c r="M4461" s="3" t="n">
        <v>154.7</v>
      </c>
      <c r="N4461" s="3" t="n">
        <v>135.82</v>
      </c>
      <c r="O4461">
        <f>TEXT(A4461,"yyyy-mm")</f>
        <v/>
      </c>
    </row>
    <row r="4462">
      <c r="A4462" s="2" t="n">
        <v>46220</v>
      </c>
      <c r="B4462" t="n">
        <v>2026</v>
      </c>
      <c r="C4462" t="inlineStr">
        <is>
          <t>July</t>
        </is>
      </c>
      <c r="D4462" t="inlineStr">
        <is>
          <t>Deluxe Toothbrush</t>
        </is>
      </c>
      <c r="E4462" t="inlineStr">
        <is>
          <t>Beauty &amp; Health</t>
        </is>
      </c>
      <c r="F4462" t="inlineStr">
        <is>
          <t>David Johnson</t>
        </is>
      </c>
      <c r="G4462" t="inlineStr">
        <is>
          <t>Poland</t>
        </is>
      </c>
      <c r="H4462" t="inlineStr">
        <is>
          <t>Web Store</t>
        </is>
      </c>
      <c r="I4462" t="n">
        <v>5</v>
      </c>
      <c r="J4462" s="3" t="n">
        <v>1603.5</v>
      </c>
      <c r="K4462" s="3" t="n">
        <v>240.52</v>
      </c>
      <c r="L4462" s="3" t="n">
        <v>1362.98</v>
      </c>
      <c r="M4462" s="3" t="n">
        <v>872.85</v>
      </c>
      <c r="N4462" s="3" t="n">
        <v>490.12</v>
      </c>
      <c r="O4462">
        <f>TEXT(A4462,"yyyy-mm")</f>
        <v/>
      </c>
    </row>
    <row r="4463">
      <c r="A4463" s="2" t="n">
        <v>46220</v>
      </c>
      <c r="B4463" t="n">
        <v>2026</v>
      </c>
      <c r="C4463" t="inlineStr">
        <is>
          <t>July</t>
        </is>
      </c>
      <c r="D4463" t="inlineStr">
        <is>
          <t>Premium Rug</t>
        </is>
      </c>
      <c r="E4463" t="inlineStr">
        <is>
          <t>Home &amp; Garden</t>
        </is>
      </c>
      <c r="F4463" t="inlineStr">
        <is>
          <t>Emma Rossi</t>
        </is>
      </c>
      <c r="G4463" t="inlineStr">
        <is>
          <t>France</t>
        </is>
      </c>
      <c r="H4463" t="inlineStr">
        <is>
          <t>Web Store</t>
        </is>
      </c>
      <c r="I4463" t="n">
        <v>3</v>
      </c>
      <c r="J4463" s="3" t="n">
        <v>558.99</v>
      </c>
      <c r="K4463" s="3" t="n">
        <v>27.95</v>
      </c>
      <c r="L4463" s="3" t="n">
        <v>531.04</v>
      </c>
      <c r="M4463" s="3" t="n">
        <v>333.57</v>
      </c>
      <c r="N4463" s="3" t="n">
        <v>197.47</v>
      </c>
      <c r="O4463">
        <f>TEXT(A4463,"yyyy-mm")</f>
        <v/>
      </c>
    </row>
    <row r="4464">
      <c r="A4464" s="2" t="n">
        <v>46221</v>
      </c>
      <c r="B4464" t="n">
        <v>2026</v>
      </c>
      <c r="C4464" t="inlineStr">
        <is>
          <t>July</t>
        </is>
      </c>
      <c r="D4464" t="inlineStr">
        <is>
          <t>Essential Cushion</t>
        </is>
      </c>
      <c r="E4464" t="inlineStr">
        <is>
          <t>Home &amp; Garden</t>
        </is>
      </c>
      <c r="F4464" t="inlineStr">
        <is>
          <t>John Rossi</t>
        </is>
      </c>
      <c r="G4464" t="inlineStr">
        <is>
          <t>United Kingdom</t>
        </is>
      </c>
      <c r="H4464" t="inlineStr">
        <is>
          <t>Retail Store</t>
        </is>
      </c>
      <c r="I4464" t="n">
        <v>1</v>
      </c>
      <c r="J4464" s="3" t="n">
        <v>46.1</v>
      </c>
      <c r="K4464" s="3" t="n">
        <v>0</v>
      </c>
      <c r="L4464" s="3" t="n">
        <v>46.1</v>
      </c>
      <c r="M4464" s="3" t="n">
        <v>30.55</v>
      </c>
      <c r="N4464" s="3" t="n">
        <v>15.55</v>
      </c>
      <c r="O4464">
        <f>TEXT(A4464,"yyyy-mm")</f>
        <v/>
      </c>
    </row>
    <row r="4465">
      <c r="A4465" s="2" t="n">
        <v>46221</v>
      </c>
      <c r="B4465" t="n">
        <v>2026</v>
      </c>
      <c r="C4465" t="inlineStr">
        <is>
          <t>July</t>
        </is>
      </c>
      <c r="D4465" t="inlineStr">
        <is>
          <t>Classic Bike Helmet</t>
        </is>
      </c>
      <c r="E4465" t="inlineStr">
        <is>
          <t>Sports &amp; Outdoors</t>
        </is>
      </c>
      <c r="F4465" t="inlineStr">
        <is>
          <t>John Rossi</t>
        </is>
      </c>
      <c r="G4465" t="inlineStr">
        <is>
          <t>United Kingdom</t>
        </is>
      </c>
      <c r="H4465" t="inlineStr">
        <is>
          <t>Retail Store</t>
        </is>
      </c>
      <c r="I4465" t="n">
        <v>1</v>
      </c>
      <c r="J4465" s="3" t="n">
        <v>217.76</v>
      </c>
      <c r="K4465" s="3" t="n">
        <v>43.55</v>
      </c>
      <c r="L4465" s="3" t="n">
        <v>174.21</v>
      </c>
      <c r="M4465" s="3" t="n">
        <v>153.81</v>
      </c>
      <c r="N4465" s="3" t="n">
        <v>20.4</v>
      </c>
      <c r="O4465">
        <f>TEXT(A4465,"yyyy-mm")</f>
        <v/>
      </c>
    </row>
    <row r="4466">
      <c r="A4466" s="2" t="n">
        <v>46221</v>
      </c>
      <c r="B4466" t="n">
        <v>2026</v>
      </c>
      <c r="C4466" t="inlineStr">
        <is>
          <t>July</t>
        </is>
      </c>
      <c r="D4466" t="inlineStr">
        <is>
          <t>Essential Pasta</t>
        </is>
      </c>
      <c r="E4466" t="inlineStr">
        <is>
          <t>Grocery</t>
        </is>
      </c>
      <c r="F4466" t="inlineStr">
        <is>
          <t>John Rossi</t>
        </is>
      </c>
      <c r="G4466" t="inlineStr">
        <is>
          <t>United Kingdom</t>
        </is>
      </c>
      <c r="H4466" t="inlineStr">
        <is>
          <t>Retail Store</t>
        </is>
      </c>
      <c r="I4466" t="n">
        <v>5</v>
      </c>
      <c r="J4466" s="3" t="n">
        <v>268.45</v>
      </c>
      <c r="K4466" s="3" t="n">
        <v>0</v>
      </c>
      <c r="L4466" s="3" t="n">
        <v>268.45</v>
      </c>
      <c r="M4466" s="3" t="n">
        <v>179.05</v>
      </c>
      <c r="N4466" s="3" t="n">
        <v>89.40000000000001</v>
      </c>
      <c r="O4466">
        <f>TEXT(A4466,"yyyy-mm")</f>
        <v/>
      </c>
    </row>
    <row r="4467">
      <c r="A4467" s="2" t="n">
        <v>46221</v>
      </c>
      <c r="B4467" t="n">
        <v>2026</v>
      </c>
      <c r="C4467" t="inlineStr">
        <is>
          <t>July</t>
        </is>
      </c>
      <c r="D4467" t="inlineStr">
        <is>
          <t>Classic Tent</t>
        </is>
      </c>
      <c r="E4467" t="inlineStr">
        <is>
          <t>Sports &amp; Outdoors</t>
        </is>
      </c>
      <c r="F4467" t="inlineStr">
        <is>
          <t>Olivia Schmidt</t>
        </is>
      </c>
      <c r="G4467" t="inlineStr">
        <is>
          <t>United States</t>
        </is>
      </c>
      <c r="H4467" t="inlineStr">
        <is>
          <t>Web Store</t>
        </is>
      </c>
      <c r="I4467" t="n">
        <v>1</v>
      </c>
      <c r="J4467" s="3" t="n">
        <v>200.72</v>
      </c>
      <c r="K4467" s="3" t="n">
        <v>20.07</v>
      </c>
      <c r="L4467" s="3" t="n">
        <v>180.65</v>
      </c>
      <c r="M4467" s="3" t="n">
        <v>118.02</v>
      </c>
      <c r="N4467" s="3" t="n">
        <v>62.63</v>
      </c>
      <c r="O4467">
        <f>TEXT(A4467,"yyyy-mm")</f>
        <v/>
      </c>
    </row>
    <row r="4468">
      <c r="A4468" s="2" t="n">
        <v>46221</v>
      </c>
      <c r="B4468" t="n">
        <v>2026</v>
      </c>
      <c r="C4468" t="inlineStr">
        <is>
          <t>July</t>
        </is>
      </c>
      <c r="D4468" t="inlineStr">
        <is>
          <t>Smart Jeans</t>
        </is>
      </c>
      <c r="E4468" t="inlineStr">
        <is>
          <t>Clothing</t>
        </is>
      </c>
      <c r="F4468" t="inlineStr">
        <is>
          <t>Olivia Schmidt</t>
        </is>
      </c>
      <c r="G4468" t="inlineStr">
        <is>
          <t>United States</t>
        </is>
      </c>
      <c r="H4468" t="inlineStr">
        <is>
          <t>Web Store</t>
        </is>
      </c>
      <c r="I4468" t="n">
        <v>4</v>
      </c>
      <c r="J4468" s="3" t="n">
        <v>1102.24</v>
      </c>
      <c r="K4468" s="3" t="n">
        <v>55.11</v>
      </c>
      <c r="L4468" s="3" t="n">
        <v>1047.13</v>
      </c>
      <c r="M4468" s="3" t="n">
        <v>774.5599999999999</v>
      </c>
      <c r="N4468" s="3" t="n">
        <v>272.57</v>
      </c>
      <c r="O4468">
        <f>TEXT(A4468,"yyyy-mm")</f>
        <v/>
      </c>
    </row>
    <row r="4469">
      <c r="A4469" s="2" t="n">
        <v>46221</v>
      </c>
      <c r="B4469" t="n">
        <v>2026</v>
      </c>
      <c r="C4469" t="inlineStr">
        <is>
          <t>July</t>
        </is>
      </c>
      <c r="D4469" t="inlineStr">
        <is>
          <t>Wireless Cookbook</t>
        </is>
      </c>
      <c r="E4469" t="inlineStr">
        <is>
          <t>Books</t>
        </is>
      </c>
      <c r="F4469" t="inlineStr">
        <is>
          <t>Olivia Schmidt</t>
        </is>
      </c>
      <c r="G4469" t="inlineStr">
        <is>
          <t>United States</t>
        </is>
      </c>
      <c r="H4469" t="inlineStr">
        <is>
          <t>Web Store</t>
        </is>
      </c>
      <c r="I4469" t="n">
        <v>1</v>
      </c>
      <c r="J4469" s="3" t="n">
        <v>76.83</v>
      </c>
      <c r="K4469" s="3" t="n">
        <v>3.84</v>
      </c>
      <c r="L4469" s="3" t="n">
        <v>72.98999999999999</v>
      </c>
      <c r="M4469" s="3" t="n">
        <v>56.61</v>
      </c>
      <c r="N4469" s="3" t="n">
        <v>16.38</v>
      </c>
      <c r="O4469">
        <f>TEXT(A4469,"yyyy-mm")</f>
        <v/>
      </c>
    </row>
    <row r="4470">
      <c r="A4470" s="2" t="n">
        <v>46221</v>
      </c>
      <c r="B4470" t="n">
        <v>2026</v>
      </c>
      <c r="C4470" t="inlineStr">
        <is>
          <t>July</t>
        </is>
      </c>
      <c r="D4470" t="inlineStr">
        <is>
          <t>Smart Puzzle</t>
        </is>
      </c>
      <c r="E4470" t="inlineStr">
        <is>
          <t>Toys &amp; Games</t>
        </is>
      </c>
      <c r="F4470" t="inlineStr">
        <is>
          <t>Olivia Schmidt</t>
        </is>
      </c>
      <c r="G4470" t="inlineStr">
        <is>
          <t>United States</t>
        </is>
      </c>
      <c r="H4470" t="inlineStr">
        <is>
          <t>Web Store</t>
        </is>
      </c>
      <c r="I4470" t="n">
        <v>5</v>
      </c>
      <c r="J4470" s="3" t="n">
        <v>1284.9</v>
      </c>
      <c r="K4470" s="3" t="n">
        <v>0</v>
      </c>
      <c r="L4470" s="3" t="n">
        <v>1284.9</v>
      </c>
      <c r="M4470" s="3" t="n">
        <v>963.8</v>
      </c>
      <c r="N4470" s="3" t="n">
        <v>321.1</v>
      </c>
      <c r="O4470">
        <f>TEXT(A4470,"yyyy-mm")</f>
        <v/>
      </c>
    </row>
    <row r="4471">
      <c r="A4471" s="2" t="n">
        <v>46222</v>
      </c>
      <c r="B4471" t="n">
        <v>2026</v>
      </c>
      <c r="C4471" t="inlineStr">
        <is>
          <t>July</t>
        </is>
      </c>
      <c r="D4471" t="inlineStr">
        <is>
          <t>Eco Biography</t>
        </is>
      </c>
      <c r="E4471" t="inlineStr">
        <is>
          <t>Books</t>
        </is>
      </c>
      <c r="F4471" t="inlineStr">
        <is>
          <t>Mark Conti</t>
        </is>
      </c>
      <c r="G4471" t="inlineStr">
        <is>
          <t>Poland</t>
        </is>
      </c>
      <c r="H4471" t="inlineStr">
        <is>
          <t>Web Store</t>
        </is>
      </c>
      <c r="I4471" t="n">
        <v>4</v>
      </c>
      <c r="J4471" s="3" t="n">
        <v>480.12</v>
      </c>
      <c r="K4471" s="3" t="n">
        <v>96.02</v>
      </c>
      <c r="L4471" s="3" t="n">
        <v>384.1</v>
      </c>
      <c r="M4471" s="3" t="n">
        <v>284.08</v>
      </c>
      <c r="N4471" s="3" t="n">
        <v>100.02</v>
      </c>
      <c r="O4471">
        <f>TEXT(A4471,"yyyy-mm")</f>
        <v/>
      </c>
    </row>
    <row r="4472">
      <c r="A4472" s="2" t="n">
        <v>46222</v>
      </c>
      <c r="B4472" t="n">
        <v>2026</v>
      </c>
      <c r="C4472" t="inlineStr">
        <is>
          <t>July</t>
        </is>
      </c>
      <c r="D4472" t="inlineStr">
        <is>
          <t>Premium Cookbook</t>
        </is>
      </c>
      <c r="E4472" t="inlineStr">
        <is>
          <t>Books</t>
        </is>
      </c>
      <c r="F4472" t="inlineStr">
        <is>
          <t>Mark Conti</t>
        </is>
      </c>
      <c r="G4472" t="inlineStr">
        <is>
          <t>Poland</t>
        </is>
      </c>
      <c r="H4472" t="inlineStr">
        <is>
          <t>Web Store</t>
        </is>
      </c>
      <c r="I4472" t="n">
        <v>2</v>
      </c>
      <c r="J4472" s="3" t="n">
        <v>256.42</v>
      </c>
      <c r="K4472" s="3" t="n">
        <v>25.64</v>
      </c>
      <c r="L4472" s="3" t="n">
        <v>230.78</v>
      </c>
      <c r="M4472" s="3" t="n">
        <v>189.96</v>
      </c>
      <c r="N4472" s="3" t="n">
        <v>40.82</v>
      </c>
      <c r="O4472">
        <f>TEXT(A4472,"yyyy-mm")</f>
        <v/>
      </c>
    </row>
    <row r="4473">
      <c r="A4473" s="2" t="n">
        <v>46222</v>
      </c>
      <c r="B4473" t="n">
        <v>2026</v>
      </c>
      <c r="C4473" t="inlineStr">
        <is>
          <t>July</t>
        </is>
      </c>
      <c r="D4473" t="inlineStr">
        <is>
          <t>Smart Puzzle</t>
        </is>
      </c>
      <c r="E4473" t="inlineStr">
        <is>
          <t>Toys &amp; Games</t>
        </is>
      </c>
      <c r="F4473" t="inlineStr">
        <is>
          <t>Mark Conti</t>
        </is>
      </c>
      <c r="G4473" t="inlineStr">
        <is>
          <t>Poland</t>
        </is>
      </c>
      <c r="H4473" t="inlineStr">
        <is>
          <t>Web Store</t>
        </is>
      </c>
      <c r="I4473" t="n">
        <v>1</v>
      </c>
      <c r="J4473" s="3" t="n">
        <v>43.17</v>
      </c>
      <c r="K4473" s="3" t="n">
        <v>0</v>
      </c>
      <c r="L4473" s="3" t="n">
        <v>43.17</v>
      </c>
      <c r="M4473" s="3" t="n">
        <v>24.44</v>
      </c>
      <c r="N4473" s="3" t="n">
        <v>18.73</v>
      </c>
      <c r="O4473">
        <f>TEXT(A4473,"yyyy-mm")</f>
        <v/>
      </c>
    </row>
    <row r="4474">
      <c r="A4474" s="2" t="n">
        <v>46224</v>
      </c>
      <c r="B4474" t="n">
        <v>2026</v>
      </c>
      <c r="C4474" t="inlineStr">
        <is>
          <t>July</t>
        </is>
      </c>
      <c r="D4474" t="inlineStr">
        <is>
          <t>Essential Jacket</t>
        </is>
      </c>
      <c r="E4474" t="inlineStr">
        <is>
          <t>Clothing</t>
        </is>
      </c>
      <c r="F4474" t="inlineStr">
        <is>
          <t>Olivia Conti</t>
        </is>
      </c>
      <c r="G4474" t="inlineStr">
        <is>
          <t>Poland</t>
        </is>
      </c>
      <c r="H4474" t="inlineStr">
        <is>
          <t>Web Store</t>
        </is>
      </c>
      <c r="I4474" t="n">
        <v>2</v>
      </c>
      <c r="J4474" s="3" t="n">
        <v>301.92</v>
      </c>
      <c r="K4474" s="3" t="n">
        <v>45.29</v>
      </c>
      <c r="L4474" s="3" t="n">
        <v>256.63</v>
      </c>
      <c r="M4474" s="3" t="n">
        <v>170.7</v>
      </c>
      <c r="N4474" s="3" t="n">
        <v>85.93000000000001</v>
      </c>
      <c r="O4474">
        <f>TEXT(A4474,"yyyy-mm")</f>
        <v/>
      </c>
    </row>
    <row r="4475">
      <c r="A4475" s="2" t="n">
        <v>46224</v>
      </c>
      <c r="B4475" t="n">
        <v>2026</v>
      </c>
      <c r="C4475" t="inlineStr">
        <is>
          <t>July</t>
        </is>
      </c>
      <c r="D4475" t="inlineStr">
        <is>
          <t>Essential Charger</t>
        </is>
      </c>
      <c r="E4475" t="inlineStr">
        <is>
          <t>Electronics</t>
        </is>
      </c>
      <c r="F4475" t="inlineStr">
        <is>
          <t>Olivia Conti</t>
        </is>
      </c>
      <c r="G4475" t="inlineStr">
        <is>
          <t>Poland</t>
        </is>
      </c>
      <c r="H4475" t="inlineStr">
        <is>
          <t>Web Store</t>
        </is>
      </c>
      <c r="I4475" t="n">
        <v>4</v>
      </c>
      <c r="J4475" s="3" t="n">
        <v>168.84</v>
      </c>
      <c r="K4475" s="3" t="n">
        <v>0</v>
      </c>
      <c r="L4475" s="3" t="n">
        <v>168.84</v>
      </c>
      <c r="M4475" s="3" t="n">
        <v>116.4</v>
      </c>
      <c r="N4475" s="3" t="n">
        <v>52.44</v>
      </c>
      <c r="O4475">
        <f>TEXT(A4475,"yyyy-mm")</f>
        <v/>
      </c>
    </row>
    <row r="4476">
      <c r="A4476" s="2" t="n">
        <v>46224</v>
      </c>
      <c r="B4476" t="n">
        <v>2026</v>
      </c>
      <c r="C4476" t="inlineStr">
        <is>
          <t>July</t>
        </is>
      </c>
      <c r="D4476" t="inlineStr">
        <is>
          <t>Classic Sunscreen</t>
        </is>
      </c>
      <c r="E4476" t="inlineStr">
        <is>
          <t>Beauty &amp; Health</t>
        </is>
      </c>
      <c r="F4476" t="inlineStr">
        <is>
          <t>Olivia Conti</t>
        </is>
      </c>
      <c r="G4476" t="inlineStr">
        <is>
          <t>Poland</t>
        </is>
      </c>
      <c r="H4476" t="inlineStr">
        <is>
          <t>Web Store</t>
        </is>
      </c>
      <c r="I4476" t="n">
        <v>2</v>
      </c>
      <c r="J4476" s="3" t="n">
        <v>286.72</v>
      </c>
      <c r="K4476" s="3" t="n">
        <v>0</v>
      </c>
      <c r="L4476" s="3" t="n">
        <v>286.72</v>
      </c>
      <c r="M4476" s="3" t="n">
        <v>187.38</v>
      </c>
      <c r="N4476" s="3" t="n">
        <v>99.34</v>
      </c>
      <c r="O4476">
        <f>TEXT(A4476,"yyyy-mm")</f>
        <v/>
      </c>
    </row>
    <row r="4477">
      <c r="A4477" s="2" t="n">
        <v>46224</v>
      </c>
      <c r="B4477" t="n">
        <v>2026</v>
      </c>
      <c r="C4477" t="inlineStr">
        <is>
          <t>July</t>
        </is>
      </c>
      <c r="D4477" t="inlineStr">
        <is>
          <t>Wireless Backpack</t>
        </is>
      </c>
      <c r="E4477" t="inlineStr">
        <is>
          <t>Sports &amp; Outdoors</t>
        </is>
      </c>
      <c r="F4477" t="inlineStr">
        <is>
          <t>Olivia Conti</t>
        </is>
      </c>
      <c r="G4477" t="inlineStr">
        <is>
          <t>Poland</t>
        </is>
      </c>
      <c r="H4477" t="inlineStr">
        <is>
          <t>Web Store</t>
        </is>
      </c>
      <c r="I4477" t="n">
        <v>3</v>
      </c>
      <c r="J4477" s="3" t="n">
        <v>146.52</v>
      </c>
      <c r="K4477" s="3" t="n">
        <v>14.65</v>
      </c>
      <c r="L4477" s="3" t="n">
        <v>131.87</v>
      </c>
      <c r="M4477" s="3" t="n">
        <v>84.3</v>
      </c>
      <c r="N4477" s="3" t="n">
        <v>47.57</v>
      </c>
      <c r="O4477">
        <f>TEXT(A4477,"yyyy-mm")</f>
        <v/>
      </c>
    </row>
    <row r="4478">
      <c r="A4478" s="2" t="n">
        <v>46224</v>
      </c>
      <c r="B4478" t="n">
        <v>2026</v>
      </c>
      <c r="C4478" t="inlineStr">
        <is>
          <t>July</t>
        </is>
      </c>
      <c r="D4478" t="inlineStr">
        <is>
          <t>Classic Tent</t>
        </is>
      </c>
      <c r="E4478" t="inlineStr">
        <is>
          <t>Sports &amp; Outdoors</t>
        </is>
      </c>
      <c r="F4478" t="inlineStr">
        <is>
          <t>Maria Moreau</t>
        </is>
      </c>
      <c r="G4478" t="inlineStr">
        <is>
          <t>United Kingdom</t>
        </is>
      </c>
      <c r="H4478" t="inlineStr">
        <is>
          <t>Retail Store</t>
        </is>
      </c>
      <c r="I4478" t="n">
        <v>3</v>
      </c>
      <c r="J4478" s="3" t="n">
        <v>628.38</v>
      </c>
      <c r="K4478" s="3" t="n">
        <v>0</v>
      </c>
      <c r="L4478" s="3" t="n">
        <v>628.38</v>
      </c>
      <c r="M4478" s="3" t="n">
        <v>354.06</v>
      </c>
      <c r="N4478" s="3" t="n">
        <v>274.32</v>
      </c>
      <c r="O4478">
        <f>TEXT(A4478,"yyyy-mm")</f>
        <v/>
      </c>
    </row>
    <row r="4479">
      <c r="A4479" s="2" t="n">
        <v>46224</v>
      </c>
      <c r="B4479" t="n">
        <v>2026</v>
      </c>
      <c r="C4479" t="inlineStr">
        <is>
          <t>July</t>
        </is>
      </c>
      <c r="D4479" t="inlineStr">
        <is>
          <t>Essential Vitamins</t>
        </is>
      </c>
      <c r="E4479" t="inlineStr">
        <is>
          <t>Beauty &amp; Health</t>
        </is>
      </c>
      <c r="F4479" t="inlineStr">
        <is>
          <t>Thomas Schmidt</t>
        </is>
      </c>
      <c r="G4479" t="inlineStr">
        <is>
          <t>United Kingdom</t>
        </is>
      </c>
      <c r="H4479" t="inlineStr">
        <is>
          <t>Retail Store</t>
        </is>
      </c>
      <c r="I4479" t="n">
        <v>5</v>
      </c>
      <c r="J4479" s="3" t="n">
        <v>839.35</v>
      </c>
      <c r="K4479" s="3" t="n">
        <v>0</v>
      </c>
      <c r="L4479" s="3" t="n">
        <v>839.35</v>
      </c>
      <c r="M4479" s="3" t="n">
        <v>551.5</v>
      </c>
      <c r="N4479" s="3" t="n">
        <v>287.85</v>
      </c>
      <c r="O4479">
        <f>TEXT(A4479,"yyyy-mm")</f>
        <v/>
      </c>
    </row>
    <row r="4480">
      <c r="A4480" s="2" t="n">
        <v>46224</v>
      </c>
      <c r="B4480" t="n">
        <v>2026</v>
      </c>
      <c r="C4480" t="inlineStr">
        <is>
          <t>July</t>
        </is>
      </c>
      <c r="D4480" t="inlineStr">
        <is>
          <t>Smart Board Game</t>
        </is>
      </c>
      <c r="E4480" t="inlineStr">
        <is>
          <t>Toys &amp; Games</t>
        </is>
      </c>
      <c r="F4480" t="inlineStr">
        <is>
          <t>Maria Moreau</t>
        </is>
      </c>
      <c r="G4480" t="inlineStr">
        <is>
          <t>United Kingdom</t>
        </is>
      </c>
      <c r="H4480" t="inlineStr">
        <is>
          <t>Retail Store</t>
        </is>
      </c>
      <c r="I4480" t="n">
        <v>3</v>
      </c>
      <c r="J4480" s="3" t="n">
        <v>384.9</v>
      </c>
      <c r="K4480" s="3" t="n">
        <v>38.49</v>
      </c>
      <c r="L4480" s="3" t="n">
        <v>346.41</v>
      </c>
      <c r="M4480" s="3" t="n">
        <v>275.16</v>
      </c>
      <c r="N4480" s="3" t="n">
        <v>71.25</v>
      </c>
      <c r="O4480">
        <f>TEXT(A4480,"yyyy-mm")</f>
        <v/>
      </c>
    </row>
    <row r="4481">
      <c r="A4481" s="2" t="n">
        <v>46224</v>
      </c>
      <c r="B4481" t="n">
        <v>2026</v>
      </c>
      <c r="C4481" t="inlineStr">
        <is>
          <t>July</t>
        </is>
      </c>
      <c r="D4481" t="inlineStr">
        <is>
          <t>Deluxe Toolset</t>
        </is>
      </c>
      <c r="E4481" t="inlineStr">
        <is>
          <t>Home &amp; Garden</t>
        </is>
      </c>
      <c r="F4481" t="inlineStr">
        <is>
          <t>Maria Moreau</t>
        </is>
      </c>
      <c r="G4481" t="inlineStr">
        <is>
          <t>United Kingdom</t>
        </is>
      </c>
      <c r="H4481" t="inlineStr">
        <is>
          <t>Retail Store</t>
        </is>
      </c>
      <c r="I4481" t="n">
        <v>4</v>
      </c>
      <c r="J4481" s="3" t="n">
        <v>267.76</v>
      </c>
      <c r="K4481" s="3" t="n">
        <v>0</v>
      </c>
      <c r="L4481" s="3" t="n">
        <v>267.76</v>
      </c>
      <c r="M4481" s="3" t="n">
        <v>190.84</v>
      </c>
      <c r="N4481" s="3" t="n">
        <v>76.92</v>
      </c>
      <c r="O4481">
        <f>TEXT(A4481,"yyyy-mm")</f>
        <v/>
      </c>
    </row>
    <row r="4482">
      <c r="A4482" s="2" t="n">
        <v>46225</v>
      </c>
      <c r="B4482" t="n">
        <v>2026</v>
      </c>
      <c r="C4482" t="inlineStr">
        <is>
          <t>July</t>
        </is>
      </c>
      <c r="D4482" t="inlineStr">
        <is>
          <t>Portable Toolset</t>
        </is>
      </c>
      <c r="E4482" t="inlineStr">
        <is>
          <t>Home &amp; Garden</t>
        </is>
      </c>
      <c r="F4482" t="inlineStr">
        <is>
          <t>Sophie Nowak</t>
        </is>
      </c>
      <c r="G4482" t="inlineStr">
        <is>
          <t>Germany</t>
        </is>
      </c>
      <c r="H4482" t="inlineStr">
        <is>
          <t>Retail Store</t>
        </is>
      </c>
      <c r="I4482" t="n">
        <v>3</v>
      </c>
      <c r="J4482" s="3" t="n">
        <v>275.76</v>
      </c>
      <c r="K4482" s="3" t="n">
        <v>13.79</v>
      </c>
      <c r="L4482" s="3" t="n">
        <v>261.97</v>
      </c>
      <c r="M4482" s="3" t="n">
        <v>151.62</v>
      </c>
      <c r="N4482" s="3" t="n">
        <v>110.35</v>
      </c>
      <c r="O4482">
        <f>TEXT(A4482,"yyyy-mm")</f>
        <v/>
      </c>
    </row>
    <row r="4483">
      <c r="A4483" s="2" t="n">
        <v>46225</v>
      </c>
      <c r="B4483" t="n">
        <v>2026</v>
      </c>
      <c r="C4483" t="inlineStr">
        <is>
          <t>July</t>
        </is>
      </c>
      <c r="D4483" t="inlineStr">
        <is>
          <t>Eco Tent</t>
        </is>
      </c>
      <c r="E4483" t="inlineStr">
        <is>
          <t>Sports &amp; Outdoors</t>
        </is>
      </c>
      <c r="F4483" t="inlineStr">
        <is>
          <t>Maria Martin</t>
        </is>
      </c>
      <c r="G4483" t="inlineStr">
        <is>
          <t>United Kingdom</t>
        </is>
      </c>
      <c r="H4483" t="inlineStr">
        <is>
          <t>Mobile App</t>
        </is>
      </c>
      <c r="I4483" t="n">
        <v>1</v>
      </c>
      <c r="J4483" s="3" t="n">
        <v>68.13</v>
      </c>
      <c r="K4483" s="3" t="n">
        <v>10.22</v>
      </c>
      <c r="L4483" s="3" t="n">
        <v>57.91</v>
      </c>
      <c r="M4483" s="3" t="n">
        <v>43.85</v>
      </c>
      <c r="N4483" s="3" t="n">
        <v>14.06</v>
      </c>
      <c r="O4483">
        <f>TEXT(A4483,"yyyy-mm")</f>
        <v/>
      </c>
    </row>
    <row r="4484">
      <c r="A4484" s="2" t="n">
        <v>46225</v>
      </c>
      <c r="B4484" t="n">
        <v>2026</v>
      </c>
      <c r="C4484" t="inlineStr">
        <is>
          <t>July</t>
        </is>
      </c>
      <c r="D4484" t="inlineStr">
        <is>
          <t>Eco Sweater</t>
        </is>
      </c>
      <c r="E4484" t="inlineStr">
        <is>
          <t>Clothing</t>
        </is>
      </c>
      <c r="F4484" t="inlineStr">
        <is>
          <t>Maria Martin</t>
        </is>
      </c>
      <c r="G4484" t="inlineStr">
        <is>
          <t>United Kingdom</t>
        </is>
      </c>
      <c r="H4484" t="inlineStr">
        <is>
          <t>Mobile App</t>
        </is>
      </c>
      <c r="I4484" t="n">
        <v>4</v>
      </c>
      <c r="J4484" s="3" t="n">
        <v>640.3200000000001</v>
      </c>
      <c r="K4484" s="3" t="n">
        <v>96.05</v>
      </c>
      <c r="L4484" s="3" t="n">
        <v>544.27</v>
      </c>
      <c r="M4484" s="3" t="n">
        <v>416.92</v>
      </c>
      <c r="N4484" s="3" t="n">
        <v>127.35</v>
      </c>
      <c r="O4484">
        <f>TEXT(A4484,"yyyy-mm")</f>
        <v/>
      </c>
    </row>
    <row r="4485">
      <c r="A4485" s="2" t="n">
        <v>46225</v>
      </c>
      <c r="B4485" t="n">
        <v>2026</v>
      </c>
      <c r="C4485" t="inlineStr">
        <is>
          <t>July</t>
        </is>
      </c>
      <c r="D4485" t="inlineStr">
        <is>
          <t>Deluxe Toothbrush</t>
        </is>
      </c>
      <c r="E4485" t="inlineStr">
        <is>
          <t>Beauty &amp; Health</t>
        </is>
      </c>
      <c r="F4485" t="inlineStr">
        <is>
          <t>Sophie Nowak</t>
        </is>
      </c>
      <c r="G4485" t="inlineStr">
        <is>
          <t>Germany</t>
        </is>
      </c>
      <c r="H4485" t="inlineStr">
        <is>
          <t>Retail Store</t>
        </is>
      </c>
      <c r="I4485" t="n">
        <v>2</v>
      </c>
      <c r="J4485" s="3" t="n">
        <v>668.7</v>
      </c>
      <c r="K4485" s="3" t="n">
        <v>0</v>
      </c>
      <c r="L4485" s="3" t="n">
        <v>668.7</v>
      </c>
      <c r="M4485" s="3" t="n">
        <v>349.14</v>
      </c>
      <c r="N4485" s="3" t="n">
        <v>319.56</v>
      </c>
      <c r="O4485">
        <f>TEXT(A4485,"yyyy-mm")</f>
        <v/>
      </c>
    </row>
    <row r="4486">
      <c r="A4486" s="2" t="n">
        <v>46225</v>
      </c>
      <c r="B4486" t="n">
        <v>2026</v>
      </c>
      <c r="C4486" t="inlineStr">
        <is>
          <t>July</t>
        </is>
      </c>
      <c r="D4486" t="inlineStr">
        <is>
          <t>Premium Cookbook</t>
        </is>
      </c>
      <c r="E4486" t="inlineStr">
        <is>
          <t>Books</t>
        </is>
      </c>
      <c r="F4486" t="inlineStr">
        <is>
          <t>Sophie Nowak</t>
        </is>
      </c>
      <c r="G4486" t="inlineStr">
        <is>
          <t>Germany</t>
        </is>
      </c>
      <c r="H4486" t="inlineStr">
        <is>
          <t>Retail Store</t>
        </is>
      </c>
      <c r="I4486" t="n">
        <v>5</v>
      </c>
      <c r="J4486" s="3" t="n">
        <v>662.6</v>
      </c>
      <c r="K4486" s="3" t="n">
        <v>33.13</v>
      </c>
      <c r="L4486" s="3" t="n">
        <v>629.47</v>
      </c>
      <c r="M4486" s="3" t="n">
        <v>474.9</v>
      </c>
      <c r="N4486" s="3" t="n">
        <v>154.57</v>
      </c>
      <c r="O4486">
        <f>TEXT(A4486,"yyyy-mm")</f>
        <v/>
      </c>
    </row>
    <row r="4487">
      <c r="A4487" s="2" t="n">
        <v>46225</v>
      </c>
      <c r="B4487" t="n">
        <v>2026</v>
      </c>
      <c r="C4487" t="inlineStr">
        <is>
          <t>July</t>
        </is>
      </c>
      <c r="D4487" t="inlineStr">
        <is>
          <t>Ultra Toolset</t>
        </is>
      </c>
      <c r="E4487" t="inlineStr">
        <is>
          <t>Home &amp; Garden</t>
        </is>
      </c>
      <c r="F4487" t="inlineStr">
        <is>
          <t>Maria Martin</t>
        </is>
      </c>
      <c r="G4487" t="inlineStr">
        <is>
          <t>United Kingdom</t>
        </is>
      </c>
      <c r="H4487" t="inlineStr">
        <is>
          <t>Mobile App</t>
        </is>
      </c>
      <c r="I4487" t="n">
        <v>5</v>
      </c>
      <c r="J4487" s="3" t="n">
        <v>1820.35</v>
      </c>
      <c r="K4487" s="3" t="n">
        <v>273.05</v>
      </c>
      <c r="L4487" s="3" t="n">
        <v>1547.3</v>
      </c>
      <c r="M4487" s="3" t="n">
        <v>952</v>
      </c>
      <c r="N4487" s="3" t="n">
        <v>595.3</v>
      </c>
      <c r="O4487">
        <f>TEXT(A4487,"yyyy-mm")</f>
        <v/>
      </c>
    </row>
    <row r="4488">
      <c r="A4488" s="2" t="n">
        <v>46225</v>
      </c>
      <c r="B4488" t="n">
        <v>2026</v>
      </c>
      <c r="C4488" t="inlineStr">
        <is>
          <t>July</t>
        </is>
      </c>
      <c r="D4488" t="inlineStr">
        <is>
          <t>Portable Bike Helmet</t>
        </is>
      </c>
      <c r="E4488" t="inlineStr">
        <is>
          <t>Sports &amp; Outdoors</t>
        </is>
      </c>
      <c r="F4488" t="inlineStr">
        <is>
          <t>Maria Martin</t>
        </is>
      </c>
      <c r="G4488" t="inlineStr">
        <is>
          <t>United Kingdom</t>
        </is>
      </c>
      <c r="H4488" t="inlineStr">
        <is>
          <t>Mobile App</t>
        </is>
      </c>
      <c r="I4488" t="n">
        <v>4</v>
      </c>
      <c r="J4488" s="3" t="n">
        <v>1275.2</v>
      </c>
      <c r="K4488" s="3" t="n">
        <v>0</v>
      </c>
      <c r="L4488" s="3" t="n">
        <v>1275.2</v>
      </c>
      <c r="M4488" s="3" t="n">
        <v>661.48</v>
      </c>
      <c r="N4488" s="3" t="n">
        <v>613.72</v>
      </c>
      <c r="O4488">
        <f>TEXT(A4488,"yyyy-mm")</f>
        <v/>
      </c>
    </row>
    <row r="4489">
      <c r="A4489" s="2" t="n">
        <v>46226</v>
      </c>
      <c r="B4489" t="n">
        <v>2026</v>
      </c>
      <c r="C4489" t="inlineStr">
        <is>
          <t>July</t>
        </is>
      </c>
      <c r="D4489" t="inlineStr">
        <is>
          <t>Premium Tent</t>
        </is>
      </c>
      <c r="E4489" t="inlineStr">
        <is>
          <t>Sports &amp; Outdoors</t>
        </is>
      </c>
      <c r="F4489" t="inlineStr">
        <is>
          <t>Julia Wojcik</t>
        </is>
      </c>
      <c r="G4489" t="inlineStr">
        <is>
          <t>France</t>
        </is>
      </c>
      <c r="H4489" t="inlineStr">
        <is>
          <t>Marketplace</t>
        </is>
      </c>
      <c r="I4489" t="n">
        <v>5</v>
      </c>
      <c r="J4489" s="3" t="n">
        <v>724.3</v>
      </c>
      <c r="K4489" s="3" t="n">
        <v>0</v>
      </c>
      <c r="L4489" s="3" t="n">
        <v>724.3</v>
      </c>
      <c r="M4489" s="3" t="n">
        <v>482</v>
      </c>
      <c r="N4489" s="3" t="n">
        <v>242.3</v>
      </c>
      <c r="O4489">
        <f>TEXT(A4489,"yyyy-mm")</f>
        <v/>
      </c>
    </row>
    <row r="4490">
      <c r="A4490" s="2" t="n">
        <v>46226</v>
      </c>
      <c r="B4490" t="n">
        <v>2026</v>
      </c>
      <c r="C4490" t="inlineStr">
        <is>
          <t>July</t>
        </is>
      </c>
      <c r="D4490" t="inlineStr">
        <is>
          <t>Essential Charger</t>
        </is>
      </c>
      <c r="E4490" t="inlineStr">
        <is>
          <t>Electronics</t>
        </is>
      </c>
      <c r="F4490" t="inlineStr">
        <is>
          <t>Julia Wojcik</t>
        </is>
      </c>
      <c r="G4490" t="inlineStr">
        <is>
          <t>France</t>
        </is>
      </c>
      <c r="H4490" t="inlineStr">
        <is>
          <t>Marketplace</t>
        </is>
      </c>
      <c r="I4490" t="n">
        <v>5</v>
      </c>
      <c r="J4490" s="3" t="n">
        <v>226.55</v>
      </c>
      <c r="K4490" s="3" t="n">
        <v>22.66</v>
      </c>
      <c r="L4490" s="3" t="n">
        <v>203.9</v>
      </c>
      <c r="M4490" s="3" t="n">
        <v>145.5</v>
      </c>
      <c r="N4490" s="3" t="n">
        <v>58.4</v>
      </c>
      <c r="O4490">
        <f>TEXT(A4490,"yyyy-mm")</f>
        <v/>
      </c>
    </row>
    <row r="4491">
      <c r="A4491" s="2" t="n">
        <v>46226</v>
      </c>
      <c r="B4491" t="n">
        <v>2026</v>
      </c>
      <c r="C4491" t="inlineStr">
        <is>
          <t>July</t>
        </is>
      </c>
      <c r="D4491" t="inlineStr">
        <is>
          <t>Premium Tent</t>
        </is>
      </c>
      <c r="E4491" t="inlineStr">
        <is>
          <t>Sports &amp; Outdoors</t>
        </is>
      </c>
      <c r="F4491" t="inlineStr">
        <is>
          <t>John Conti</t>
        </is>
      </c>
      <c r="G4491" t="inlineStr">
        <is>
          <t>Germany</t>
        </is>
      </c>
      <c r="H4491" t="inlineStr">
        <is>
          <t>Mobile App</t>
        </is>
      </c>
      <c r="I4491" t="n">
        <v>1</v>
      </c>
      <c r="J4491" s="3" t="n">
        <v>258.06</v>
      </c>
      <c r="K4491" s="3" t="n">
        <v>0</v>
      </c>
      <c r="L4491" s="3" t="n">
        <v>258.06</v>
      </c>
      <c r="M4491" s="3" t="n">
        <v>165.31</v>
      </c>
      <c r="N4491" s="3" t="n">
        <v>92.75</v>
      </c>
      <c r="O4491">
        <f>TEXT(A4491,"yyyy-mm")</f>
        <v/>
      </c>
    </row>
    <row r="4492">
      <c r="A4492" s="2" t="n">
        <v>46226</v>
      </c>
      <c r="B4492" t="n">
        <v>2026</v>
      </c>
      <c r="C4492" t="inlineStr">
        <is>
          <t>July</t>
        </is>
      </c>
      <c r="D4492" t="inlineStr">
        <is>
          <t>Classic Bike Helmet</t>
        </is>
      </c>
      <c r="E4492" t="inlineStr">
        <is>
          <t>Sports &amp; Outdoors</t>
        </is>
      </c>
      <c r="F4492" t="inlineStr">
        <is>
          <t>John Conti</t>
        </is>
      </c>
      <c r="G4492" t="inlineStr">
        <is>
          <t>Germany</t>
        </is>
      </c>
      <c r="H4492" t="inlineStr">
        <is>
          <t>Mobile App</t>
        </is>
      </c>
      <c r="I4492" t="n">
        <v>3</v>
      </c>
      <c r="J4492" s="3" t="n">
        <v>676.71</v>
      </c>
      <c r="K4492" s="3" t="n">
        <v>101.51</v>
      </c>
      <c r="L4492" s="3" t="n">
        <v>575.2</v>
      </c>
      <c r="M4492" s="3" t="n">
        <v>461.43</v>
      </c>
      <c r="N4492" s="3" t="n">
        <v>113.77</v>
      </c>
      <c r="O4492">
        <f>TEXT(A4492,"yyyy-mm")</f>
        <v/>
      </c>
    </row>
    <row r="4493">
      <c r="A4493" s="2" t="n">
        <v>46226</v>
      </c>
      <c r="B4493" t="n">
        <v>2026</v>
      </c>
      <c r="C4493" t="inlineStr">
        <is>
          <t>July</t>
        </is>
      </c>
      <c r="D4493" t="inlineStr">
        <is>
          <t>Ultra Backpack</t>
        </is>
      </c>
      <c r="E4493" t="inlineStr">
        <is>
          <t>Sports &amp; Outdoors</t>
        </is>
      </c>
      <c r="F4493" t="inlineStr">
        <is>
          <t>Emily Schmidt</t>
        </is>
      </c>
      <c r="G4493" t="inlineStr">
        <is>
          <t>Netherlands</t>
        </is>
      </c>
      <c r="H4493" t="inlineStr">
        <is>
          <t>Retail Store</t>
        </is>
      </c>
      <c r="I4493" t="n">
        <v>2</v>
      </c>
      <c r="J4493" s="3" t="n">
        <v>613.2</v>
      </c>
      <c r="K4493" s="3" t="n">
        <v>91.98</v>
      </c>
      <c r="L4493" s="3" t="n">
        <v>521.22</v>
      </c>
      <c r="M4493" s="3" t="n">
        <v>347.38</v>
      </c>
      <c r="N4493" s="3" t="n">
        <v>173.84</v>
      </c>
      <c r="O4493">
        <f>TEXT(A4493,"yyyy-mm")</f>
        <v/>
      </c>
    </row>
    <row r="4494">
      <c r="A4494" s="2" t="n">
        <v>46227</v>
      </c>
      <c r="B4494" t="n">
        <v>2026</v>
      </c>
      <c r="C4494" t="inlineStr">
        <is>
          <t>July</t>
        </is>
      </c>
      <c r="D4494" t="inlineStr">
        <is>
          <t>Premium Water Bottle</t>
        </is>
      </c>
      <c r="E4494" t="inlineStr">
        <is>
          <t>Sports &amp; Outdoors</t>
        </is>
      </c>
      <c r="F4494" t="inlineStr">
        <is>
          <t>John Wilson</t>
        </is>
      </c>
      <c r="G4494" t="inlineStr">
        <is>
          <t>France</t>
        </is>
      </c>
      <c r="H4494" t="inlineStr">
        <is>
          <t>Marketplace</t>
        </is>
      </c>
      <c r="I4494" t="n">
        <v>4</v>
      </c>
      <c r="J4494" s="3" t="n">
        <v>1234.24</v>
      </c>
      <c r="K4494" s="3" t="n">
        <v>0</v>
      </c>
      <c r="L4494" s="3" t="n">
        <v>1234.24</v>
      </c>
      <c r="M4494" s="3" t="n">
        <v>724.64</v>
      </c>
      <c r="N4494" s="3" t="n">
        <v>509.6</v>
      </c>
      <c r="O4494">
        <f>TEXT(A4494,"yyyy-mm")</f>
        <v/>
      </c>
    </row>
    <row r="4495">
      <c r="A4495" s="2" t="n">
        <v>46227</v>
      </c>
      <c r="B4495" t="n">
        <v>2026</v>
      </c>
      <c r="C4495" t="inlineStr">
        <is>
          <t>July</t>
        </is>
      </c>
      <c r="D4495" t="inlineStr">
        <is>
          <t>Deluxe Cookbook</t>
        </is>
      </c>
      <c r="E4495" t="inlineStr">
        <is>
          <t>Books</t>
        </is>
      </c>
      <c r="F4495" t="inlineStr">
        <is>
          <t>John Wilson</t>
        </is>
      </c>
      <c r="G4495" t="inlineStr">
        <is>
          <t>France</t>
        </is>
      </c>
      <c r="H4495" t="inlineStr">
        <is>
          <t>Marketplace</t>
        </is>
      </c>
      <c r="I4495" t="n">
        <v>2</v>
      </c>
      <c r="J4495" s="3" t="n">
        <v>270.42</v>
      </c>
      <c r="K4495" s="3" t="n">
        <v>54.08</v>
      </c>
      <c r="L4495" s="3" t="n">
        <v>216.34</v>
      </c>
      <c r="M4495" s="3" t="n">
        <v>170.54</v>
      </c>
      <c r="N4495" s="3" t="n">
        <v>45.8</v>
      </c>
      <c r="O4495">
        <f>TEXT(A4495,"yyyy-mm")</f>
        <v/>
      </c>
    </row>
    <row r="4496">
      <c r="A4496" s="2" t="n">
        <v>46227</v>
      </c>
      <c r="B4496" t="n">
        <v>2026</v>
      </c>
      <c r="C4496" t="inlineStr">
        <is>
          <t>July</t>
        </is>
      </c>
      <c r="D4496" t="inlineStr">
        <is>
          <t>Deluxe Toothbrush</t>
        </is>
      </c>
      <c r="E4496" t="inlineStr">
        <is>
          <t>Beauty &amp; Health</t>
        </is>
      </c>
      <c r="F4496" t="inlineStr">
        <is>
          <t>John Wilson</t>
        </is>
      </c>
      <c r="G4496" t="inlineStr">
        <is>
          <t>France</t>
        </is>
      </c>
      <c r="H4496" t="inlineStr">
        <is>
          <t>Marketplace</t>
        </is>
      </c>
      <c r="I4496" t="n">
        <v>5</v>
      </c>
      <c r="J4496" s="3" t="n">
        <v>1660.4</v>
      </c>
      <c r="K4496" s="3" t="n">
        <v>0</v>
      </c>
      <c r="L4496" s="3" t="n">
        <v>1660.4</v>
      </c>
      <c r="M4496" s="3" t="n">
        <v>872.85</v>
      </c>
      <c r="N4496" s="3" t="n">
        <v>787.55</v>
      </c>
      <c r="O4496">
        <f>TEXT(A4496,"yyyy-mm")</f>
        <v/>
      </c>
    </row>
    <row r="4497">
      <c r="A4497" s="2" t="n">
        <v>46228</v>
      </c>
      <c r="B4497" t="n">
        <v>2026</v>
      </c>
      <c r="C4497" t="inlineStr">
        <is>
          <t>July</t>
        </is>
      </c>
      <c r="D4497" t="inlineStr">
        <is>
          <t>Eco Backpack</t>
        </is>
      </c>
      <c r="E4497" t="inlineStr">
        <is>
          <t>Sports &amp; Outdoors</t>
        </is>
      </c>
      <c r="F4497" t="inlineStr">
        <is>
          <t>Emily Garcia</t>
        </is>
      </c>
      <c r="G4497" t="inlineStr">
        <is>
          <t>Germany</t>
        </is>
      </c>
      <c r="H4497" t="inlineStr">
        <is>
          <t>Marketplace</t>
        </is>
      </c>
      <c r="I4497" t="n">
        <v>2</v>
      </c>
      <c r="J4497" s="3" t="n">
        <v>539.28</v>
      </c>
      <c r="K4497" s="3" t="n">
        <v>0</v>
      </c>
      <c r="L4497" s="3" t="n">
        <v>539.28</v>
      </c>
      <c r="M4497" s="3" t="n">
        <v>293.16</v>
      </c>
      <c r="N4497" s="3" t="n">
        <v>246.12</v>
      </c>
      <c r="O4497">
        <f>TEXT(A4497,"yyyy-mm")</f>
        <v/>
      </c>
    </row>
    <row r="4498">
      <c r="A4498" s="2" t="n">
        <v>46228</v>
      </c>
      <c r="B4498" t="n">
        <v>2026</v>
      </c>
      <c r="C4498" t="inlineStr">
        <is>
          <t>July</t>
        </is>
      </c>
      <c r="D4498" t="inlineStr">
        <is>
          <t>Smart Puzzle</t>
        </is>
      </c>
      <c r="E4498" t="inlineStr">
        <is>
          <t>Toys &amp; Games</t>
        </is>
      </c>
      <c r="F4498" t="inlineStr">
        <is>
          <t>Emily Garcia</t>
        </is>
      </c>
      <c r="G4498" t="inlineStr">
        <is>
          <t>Germany</t>
        </is>
      </c>
      <c r="H4498" t="inlineStr">
        <is>
          <t>Marketplace</t>
        </is>
      </c>
      <c r="I4498" t="n">
        <v>5</v>
      </c>
      <c r="J4498" s="3" t="n">
        <v>234.9</v>
      </c>
      <c r="K4498" s="3" t="n">
        <v>0</v>
      </c>
      <c r="L4498" s="3" t="n">
        <v>234.9</v>
      </c>
      <c r="M4498" s="3" t="n">
        <v>122.2</v>
      </c>
      <c r="N4498" s="3" t="n">
        <v>112.7</v>
      </c>
      <c r="O4498">
        <f>TEXT(A4498,"yyyy-mm")</f>
        <v/>
      </c>
    </row>
    <row r="4499">
      <c r="A4499" s="2" t="n">
        <v>46228</v>
      </c>
      <c r="B4499" t="n">
        <v>2026</v>
      </c>
      <c r="C4499" t="inlineStr">
        <is>
          <t>July</t>
        </is>
      </c>
      <c r="D4499" t="inlineStr">
        <is>
          <t>Portable Toolset</t>
        </is>
      </c>
      <c r="E4499" t="inlineStr">
        <is>
          <t>Home &amp; Garden</t>
        </is>
      </c>
      <c r="F4499" t="inlineStr">
        <is>
          <t>Emily Garcia</t>
        </is>
      </c>
      <c r="G4499" t="inlineStr">
        <is>
          <t>Germany</t>
        </is>
      </c>
      <c r="H4499" t="inlineStr">
        <is>
          <t>Marketplace</t>
        </is>
      </c>
      <c r="I4499" t="n">
        <v>3</v>
      </c>
      <c r="J4499" s="3" t="n">
        <v>261.81</v>
      </c>
      <c r="K4499" s="3" t="n">
        <v>0</v>
      </c>
      <c r="L4499" s="3" t="n">
        <v>261.81</v>
      </c>
      <c r="M4499" s="3" t="n">
        <v>151.62</v>
      </c>
      <c r="N4499" s="3" t="n">
        <v>110.19</v>
      </c>
      <c r="O4499">
        <f>TEXT(A4499,"yyyy-mm")</f>
        <v/>
      </c>
    </row>
    <row r="4500">
      <c r="A4500" s="2" t="n">
        <v>46229</v>
      </c>
      <c r="B4500" t="n">
        <v>2026</v>
      </c>
      <c r="C4500" t="inlineStr">
        <is>
          <t>July</t>
        </is>
      </c>
      <c r="D4500" t="inlineStr">
        <is>
          <t>Deluxe Headphones</t>
        </is>
      </c>
      <c r="E4500" t="inlineStr">
        <is>
          <t>Electronics</t>
        </is>
      </c>
      <c r="F4500" t="inlineStr">
        <is>
          <t>Sophie Martin</t>
        </is>
      </c>
      <c r="G4500" t="inlineStr">
        <is>
          <t>United States</t>
        </is>
      </c>
      <c r="H4500" t="inlineStr">
        <is>
          <t>Web Store</t>
        </is>
      </c>
      <c r="I4500" t="n">
        <v>4</v>
      </c>
      <c r="J4500" s="3" t="n">
        <v>285.16</v>
      </c>
      <c r="K4500" s="3" t="n">
        <v>0</v>
      </c>
      <c r="L4500" s="3" t="n">
        <v>285.16</v>
      </c>
      <c r="M4500" s="3" t="n">
        <v>210</v>
      </c>
      <c r="N4500" s="3" t="n">
        <v>75.16</v>
      </c>
      <c r="O4500">
        <f>TEXT(A4500,"yyyy-mm")</f>
        <v/>
      </c>
    </row>
    <row r="4501">
      <c r="A4501" s="2" t="n">
        <v>46229</v>
      </c>
      <c r="B4501" t="n">
        <v>2026</v>
      </c>
      <c r="C4501" t="inlineStr">
        <is>
          <t>July</t>
        </is>
      </c>
      <c r="D4501" t="inlineStr">
        <is>
          <t>Smart Honey</t>
        </is>
      </c>
      <c r="E4501" t="inlineStr">
        <is>
          <t>Grocery</t>
        </is>
      </c>
      <c r="F4501" t="inlineStr">
        <is>
          <t>Sophie Martin</t>
        </is>
      </c>
      <c r="G4501" t="inlineStr">
        <is>
          <t>United States</t>
        </is>
      </c>
      <c r="H4501" t="inlineStr">
        <is>
          <t>Web Store</t>
        </is>
      </c>
      <c r="I4501" t="n">
        <v>4</v>
      </c>
      <c r="J4501" s="3" t="n">
        <v>558.4400000000001</v>
      </c>
      <c r="K4501" s="3" t="n">
        <v>55.84</v>
      </c>
      <c r="L4501" s="3" t="n">
        <v>502.6</v>
      </c>
      <c r="M4501" s="3" t="n">
        <v>285.76</v>
      </c>
      <c r="N4501" s="3" t="n">
        <v>216.84</v>
      </c>
      <c r="O4501">
        <f>TEXT(A4501,"yyyy-mm")</f>
        <v/>
      </c>
    </row>
    <row r="4502">
      <c r="A4502" s="2" t="n">
        <v>46229</v>
      </c>
      <c r="B4502" t="n">
        <v>2026</v>
      </c>
      <c r="C4502" t="inlineStr">
        <is>
          <t>July</t>
        </is>
      </c>
      <c r="D4502" t="inlineStr">
        <is>
          <t>Portable Pasta</t>
        </is>
      </c>
      <c r="E4502" t="inlineStr">
        <is>
          <t>Grocery</t>
        </is>
      </c>
      <c r="F4502" t="inlineStr">
        <is>
          <t>Sophie Martin</t>
        </is>
      </c>
      <c r="G4502" t="inlineStr">
        <is>
          <t>United States</t>
        </is>
      </c>
      <c r="H4502" t="inlineStr">
        <is>
          <t>Web Store</t>
        </is>
      </c>
      <c r="I4502" t="n">
        <v>3</v>
      </c>
      <c r="J4502" s="3" t="n">
        <v>110.4</v>
      </c>
      <c r="K4502" s="3" t="n">
        <v>22.08</v>
      </c>
      <c r="L4502" s="3" t="n">
        <v>88.31999999999999</v>
      </c>
      <c r="M4502" s="3" t="n">
        <v>83.25</v>
      </c>
      <c r="N4502" s="3" t="n">
        <v>5.07</v>
      </c>
      <c r="O4502">
        <f>TEXT(A4502,"yyyy-mm")</f>
        <v/>
      </c>
    </row>
    <row r="4503">
      <c r="A4503" s="2" t="n">
        <v>46229</v>
      </c>
      <c r="B4503" t="n">
        <v>2026</v>
      </c>
      <c r="C4503" t="inlineStr">
        <is>
          <t>July</t>
        </is>
      </c>
      <c r="D4503" t="inlineStr">
        <is>
          <t>Ultra Vitamins</t>
        </is>
      </c>
      <c r="E4503" t="inlineStr">
        <is>
          <t>Beauty &amp; Health</t>
        </is>
      </c>
      <c r="F4503" t="inlineStr">
        <is>
          <t>Sophie Martin</t>
        </is>
      </c>
      <c r="G4503" t="inlineStr">
        <is>
          <t>United States</t>
        </is>
      </c>
      <c r="H4503" t="inlineStr">
        <is>
          <t>Web Store</t>
        </is>
      </c>
      <c r="I4503" t="n">
        <v>5</v>
      </c>
      <c r="J4503" s="3" t="n">
        <v>1027.15</v>
      </c>
      <c r="K4503" s="3" t="n">
        <v>0</v>
      </c>
      <c r="L4503" s="3" t="n">
        <v>1027.15</v>
      </c>
      <c r="M4503" s="3" t="n">
        <v>630.5</v>
      </c>
      <c r="N4503" s="3" t="n">
        <v>396.65</v>
      </c>
      <c r="O4503">
        <f>TEXT(A4503,"yyyy-mm")</f>
        <v/>
      </c>
    </row>
    <row r="4504">
      <c r="A4504" s="2" t="n">
        <v>46229</v>
      </c>
      <c r="B4504" t="n">
        <v>2026</v>
      </c>
      <c r="C4504" t="inlineStr">
        <is>
          <t>July</t>
        </is>
      </c>
      <c r="D4504" t="inlineStr">
        <is>
          <t>Essential Rug</t>
        </is>
      </c>
      <c r="E4504" t="inlineStr">
        <is>
          <t>Home &amp; Garden</t>
        </is>
      </c>
      <c r="F4504" t="inlineStr">
        <is>
          <t>Anna Nowak</t>
        </is>
      </c>
      <c r="G4504" t="inlineStr">
        <is>
          <t>Poland</t>
        </is>
      </c>
      <c r="H4504" t="inlineStr">
        <is>
          <t>Web Store</t>
        </is>
      </c>
      <c r="I4504" t="n">
        <v>4</v>
      </c>
      <c r="J4504" s="3" t="n">
        <v>558.92</v>
      </c>
      <c r="K4504" s="3" t="n">
        <v>111.78</v>
      </c>
      <c r="L4504" s="3" t="n">
        <v>447.14</v>
      </c>
      <c r="M4504" s="3" t="n">
        <v>305.32</v>
      </c>
      <c r="N4504" s="3" t="n">
        <v>141.82</v>
      </c>
      <c r="O4504">
        <f>TEXT(A4504,"yyyy-mm")</f>
        <v/>
      </c>
    </row>
    <row r="4505">
      <c r="A4505" s="2" t="n">
        <v>46229</v>
      </c>
      <c r="B4505" t="n">
        <v>2026</v>
      </c>
      <c r="C4505" t="inlineStr">
        <is>
          <t>July</t>
        </is>
      </c>
      <c r="D4505" t="inlineStr">
        <is>
          <t>Smart Honey</t>
        </is>
      </c>
      <c r="E4505" t="inlineStr">
        <is>
          <t>Grocery</t>
        </is>
      </c>
      <c r="F4505" t="inlineStr">
        <is>
          <t>James Johnson</t>
        </is>
      </c>
      <c r="G4505" t="inlineStr">
        <is>
          <t>United Kingdom</t>
        </is>
      </c>
      <c r="H4505" t="inlineStr">
        <is>
          <t>Retail Store</t>
        </is>
      </c>
      <c r="I4505" t="n">
        <v>1</v>
      </c>
      <c r="J4505" s="3" t="n">
        <v>131.17</v>
      </c>
      <c r="K4505" s="3" t="n">
        <v>19.68</v>
      </c>
      <c r="L4505" s="3" t="n">
        <v>111.49</v>
      </c>
      <c r="M4505" s="3" t="n">
        <v>71.44</v>
      </c>
      <c r="N4505" s="3" t="n">
        <v>40.05</v>
      </c>
      <c r="O4505">
        <f>TEXT(A4505,"yyyy-mm")</f>
        <v/>
      </c>
    </row>
    <row r="4506">
      <c r="A4506" s="2" t="n">
        <v>46229</v>
      </c>
      <c r="B4506" t="n">
        <v>2026</v>
      </c>
      <c r="C4506" t="inlineStr">
        <is>
          <t>July</t>
        </is>
      </c>
      <c r="D4506" t="inlineStr">
        <is>
          <t>Wireless Cookbook</t>
        </is>
      </c>
      <c r="E4506" t="inlineStr">
        <is>
          <t>Books</t>
        </is>
      </c>
      <c r="F4506" t="inlineStr">
        <is>
          <t>Sophie Brown</t>
        </is>
      </c>
      <c r="G4506" t="inlineStr">
        <is>
          <t>Poland</t>
        </is>
      </c>
      <c r="H4506" t="inlineStr">
        <is>
          <t>Web Store</t>
        </is>
      </c>
      <c r="I4506" t="n">
        <v>3</v>
      </c>
      <c r="J4506" s="3" t="n">
        <v>218.25</v>
      </c>
      <c r="K4506" s="3" t="n">
        <v>0</v>
      </c>
      <c r="L4506" s="3" t="n">
        <v>218.25</v>
      </c>
      <c r="M4506" s="3" t="n">
        <v>169.83</v>
      </c>
      <c r="N4506" s="3" t="n">
        <v>48.42</v>
      </c>
      <c r="O4506">
        <f>TEXT(A4506,"yyyy-mm")</f>
        <v/>
      </c>
    </row>
    <row r="4507">
      <c r="A4507" s="2" t="n">
        <v>46229</v>
      </c>
      <c r="B4507" t="n">
        <v>2026</v>
      </c>
      <c r="C4507" t="inlineStr">
        <is>
          <t>July</t>
        </is>
      </c>
      <c r="D4507" t="inlineStr">
        <is>
          <t>Essential Vitamins</t>
        </is>
      </c>
      <c r="E4507" t="inlineStr">
        <is>
          <t>Beauty &amp; Health</t>
        </is>
      </c>
      <c r="F4507" t="inlineStr">
        <is>
          <t>Sophie Brown</t>
        </is>
      </c>
      <c r="G4507" t="inlineStr">
        <is>
          <t>Poland</t>
        </is>
      </c>
      <c r="H4507" t="inlineStr">
        <is>
          <t>Web Store</t>
        </is>
      </c>
      <c r="I4507" t="n">
        <v>1</v>
      </c>
      <c r="J4507" s="3" t="n">
        <v>170.16</v>
      </c>
      <c r="K4507" s="3" t="n">
        <v>0</v>
      </c>
      <c r="L4507" s="3" t="n">
        <v>170.16</v>
      </c>
      <c r="M4507" s="3" t="n">
        <v>110.3</v>
      </c>
      <c r="N4507" s="3" t="n">
        <v>59.86</v>
      </c>
      <c r="O4507">
        <f>TEXT(A4507,"yyyy-mm")</f>
        <v/>
      </c>
    </row>
    <row r="4508">
      <c r="A4508" s="2" t="n">
        <v>46229</v>
      </c>
      <c r="B4508" t="n">
        <v>2026</v>
      </c>
      <c r="C4508" t="inlineStr">
        <is>
          <t>July</t>
        </is>
      </c>
      <c r="D4508" t="inlineStr">
        <is>
          <t>Smart Puzzle</t>
        </is>
      </c>
      <c r="E4508" t="inlineStr">
        <is>
          <t>Toys &amp; Games</t>
        </is>
      </c>
      <c r="F4508" t="inlineStr">
        <is>
          <t>Sophie Brown</t>
        </is>
      </c>
      <c r="G4508" t="inlineStr">
        <is>
          <t>Poland</t>
        </is>
      </c>
      <c r="H4508" t="inlineStr">
        <is>
          <t>Web Store</t>
        </is>
      </c>
      <c r="I4508" t="n">
        <v>3</v>
      </c>
      <c r="J4508" s="3" t="n">
        <v>813.84</v>
      </c>
      <c r="K4508" s="3" t="n">
        <v>81.38</v>
      </c>
      <c r="L4508" s="3" t="n">
        <v>732.46</v>
      </c>
      <c r="M4508" s="3" t="n">
        <v>578.28</v>
      </c>
      <c r="N4508" s="3" t="n">
        <v>154.18</v>
      </c>
      <c r="O4508">
        <f>TEXT(A4508,"yyyy-mm")</f>
        <v/>
      </c>
    </row>
    <row r="4509">
      <c r="A4509" s="2" t="n">
        <v>46229</v>
      </c>
      <c r="B4509" t="n">
        <v>2026</v>
      </c>
      <c r="C4509" t="inlineStr">
        <is>
          <t>July</t>
        </is>
      </c>
      <c r="D4509" t="inlineStr">
        <is>
          <t>Smart Sweater</t>
        </is>
      </c>
      <c r="E4509" t="inlineStr">
        <is>
          <t>Clothing</t>
        </is>
      </c>
      <c r="F4509" t="inlineStr">
        <is>
          <t>Sophie Brown</t>
        </is>
      </c>
      <c r="G4509" t="inlineStr">
        <is>
          <t>Poland</t>
        </is>
      </c>
      <c r="H4509" t="inlineStr">
        <is>
          <t>Web Store</t>
        </is>
      </c>
      <c r="I4509" t="n">
        <v>4</v>
      </c>
      <c r="J4509" s="3" t="n">
        <v>559</v>
      </c>
      <c r="K4509" s="3" t="n">
        <v>111.8</v>
      </c>
      <c r="L4509" s="3" t="n">
        <v>447.2</v>
      </c>
      <c r="M4509" s="3" t="n">
        <v>309.4</v>
      </c>
      <c r="N4509" s="3" t="n">
        <v>137.8</v>
      </c>
      <c r="O4509">
        <f>TEXT(A4509,"yyyy-mm")</f>
        <v/>
      </c>
    </row>
    <row r="4510">
      <c r="A4510" s="2" t="n">
        <v>46229</v>
      </c>
      <c r="B4510" t="n">
        <v>2026</v>
      </c>
      <c r="C4510" t="inlineStr">
        <is>
          <t>July</t>
        </is>
      </c>
      <c r="D4510" t="inlineStr">
        <is>
          <t>Deluxe Toothbrush</t>
        </is>
      </c>
      <c r="E4510" t="inlineStr">
        <is>
          <t>Beauty &amp; Health</t>
        </is>
      </c>
      <c r="F4510" t="inlineStr">
        <is>
          <t>Anna Nowak</t>
        </is>
      </c>
      <c r="G4510" t="inlineStr">
        <is>
          <t>Poland</t>
        </is>
      </c>
      <c r="H4510" t="inlineStr">
        <is>
          <t>Web Store</t>
        </is>
      </c>
      <c r="I4510" t="n">
        <v>5</v>
      </c>
      <c r="J4510" s="3" t="n">
        <v>1599.5</v>
      </c>
      <c r="K4510" s="3" t="n">
        <v>319.9</v>
      </c>
      <c r="L4510" s="3" t="n">
        <v>1279.6</v>
      </c>
      <c r="M4510" s="3" t="n">
        <v>872.85</v>
      </c>
      <c r="N4510" s="3" t="n">
        <v>406.75</v>
      </c>
      <c r="O4510">
        <f>TEXT(A4510,"yyyy-mm")</f>
        <v/>
      </c>
    </row>
    <row r="4511">
      <c r="A4511" s="2" t="n">
        <v>46229</v>
      </c>
      <c r="B4511" t="n">
        <v>2026</v>
      </c>
      <c r="C4511" t="inlineStr">
        <is>
          <t>July</t>
        </is>
      </c>
      <c r="D4511" t="inlineStr">
        <is>
          <t>Classic Bike Helmet</t>
        </is>
      </c>
      <c r="E4511" t="inlineStr">
        <is>
          <t>Sports &amp; Outdoors</t>
        </is>
      </c>
      <c r="F4511" t="inlineStr">
        <is>
          <t>Anna Nowak</t>
        </is>
      </c>
      <c r="G4511" t="inlineStr">
        <is>
          <t>Poland</t>
        </is>
      </c>
      <c r="H4511" t="inlineStr">
        <is>
          <t>Web Store</t>
        </is>
      </c>
      <c r="I4511" t="n">
        <v>2</v>
      </c>
      <c r="J4511" s="3" t="n">
        <v>428.9</v>
      </c>
      <c r="K4511" s="3" t="n">
        <v>21.44</v>
      </c>
      <c r="L4511" s="3" t="n">
        <v>407.46</v>
      </c>
      <c r="M4511" s="3" t="n">
        <v>307.62</v>
      </c>
      <c r="N4511" s="3" t="n">
        <v>99.83</v>
      </c>
      <c r="O4511">
        <f>TEXT(A4511,"yyyy-mm")</f>
        <v/>
      </c>
    </row>
    <row r="4512">
      <c r="A4512" s="2" t="n">
        <v>46230</v>
      </c>
      <c r="B4512" t="n">
        <v>2026</v>
      </c>
      <c r="C4512" t="inlineStr">
        <is>
          <t>July</t>
        </is>
      </c>
      <c r="D4512" t="inlineStr">
        <is>
          <t>Deluxe Cookbook</t>
        </is>
      </c>
      <c r="E4512" t="inlineStr">
        <is>
          <t>Books</t>
        </is>
      </c>
      <c r="F4512" t="inlineStr">
        <is>
          <t>Olivia Schmidt</t>
        </is>
      </c>
      <c r="G4512" t="inlineStr">
        <is>
          <t>United States</t>
        </is>
      </c>
      <c r="H4512" t="inlineStr">
        <is>
          <t>Web Store</t>
        </is>
      </c>
      <c r="I4512" t="n">
        <v>2</v>
      </c>
      <c r="J4512" s="3" t="n">
        <v>264.68</v>
      </c>
      <c r="K4512" s="3" t="n">
        <v>0</v>
      </c>
      <c r="L4512" s="3" t="n">
        <v>264.68</v>
      </c>
      <c r="M4512" s="3" t="n">
        <v>170.54</v>
      </c>
      <c r="N4512" s="3" t="n">
        <v>94.14</v>
      </c>
      <c r="O4512">
        <f>TEXT(A4512,"yyyy-mm")</f>
        <v/>
      </c>
    </row>
    <row r="4513">
      <c r="A4513" s="2" t="n">
        <v>46230</v>
      </c>
      <c r="B4513" t="n">
        <v>2026</v>
      </c>
      <c r="C4513" t="inlineStr">
        <is>
          <t>July</t>
        </is>
      </c>
      <c r="D4513" t="inlineStr">
        <is>
          <t>Smart Camera</t>
        </is>
      </c>
      <c r="E4513" t="inlineStr">
        <is>
          <t>Electronics</t>
        </is>
      </c>
      <c r="F4513" t="inlineStr">
        <is>
          <t>Olivia Schmidt</t>
        </is>
      </c>
      <c r="G4513" t="inlineStr">
        <is>
          <t>United States</t>
        </is>
      </c>
      <c r="H4513" t="inlineStr">
        <is>
          <t>Web Store</t>
        </is>
      </c>
      <c r="I4513" t="n">
        <v>5</v>
      </c>
      <c r="J4513" s="3" t="n">
        <v>1497.8</v>
      </c>
      <c r="K4513" s="3" t="n">
        <v>224.67</v>
      </c>
      <c r="L4513" s="3" t="n">
        <v>1273.13</v>
      </c>
      <c r="M4513" s="3" t="n">
        <v>837</v>
      </c>
      <c r="N4513" s="3" t="n">
        <v>436.13</v>
      </c>
      <c r="O4513">
        <f>TEXT(A4513,"yyyy-mm")</f>
        <v/>
      </c>
    </row>
    <row r="4514">
      <c r="A4514" s="2" t="n">
        <v>46230</v>
      </c>
      <c r="B4514" t="n">
        <v>2026</v>
      </c>
      <c r="C4514" t="inlineStr">
        <is>
          <t>July</t>
        </is>
      </c>
      <c r="D4514" t="inlineStr">
        <is>
          <t>Classic Charger</t>
        </is>
      </c>
      <c r="E4514" t="inlineStr">
        <is>
          <t>Electronics</t>
        </is>
      </c>
      <c r="F4514" t="inlineStr">
        <is>
          <t>Olivia Schmidt</t>
        </is>
      </c>
      <c r="G4514" t="inlineStr">
        <is>
          <t>United States</t>
        </is>
      </c>
      <c r="H4514" t="inlineStr">
        <is>
          <t>Web Store</t>
        </is>
      </c>
      <c r="I4514" t="n">
        <v>1</v>
      </c>
      <c r="J4514" s="3" t="n">
        <v>98.05</v>
      </c>
      <c r="K4514" s="3" t="n">
        <v>19.61</v>
      </c>
      <c r="L4514" s="3" t="n">
        <v>78.44</v>
      </c>
      <c r="M4514" s="3" t="n">
        <v>62.21</v>
      </c>
      <c r="N4514" s="3" t="n">
        <v>16.23</v>
      </c>
      <c r="O4514">
        <f>TEXT(A4514,"yyyy-mm")</f>
        <v/>
      </c>
    </row>
    <row r="4515">
      <c r="A4515" s="2" t="n">
        <v>46230</v>
      </c>
      <c r="B4515" t="n">
        <v>2026</v>
      </c>
      <c r="C4515" t="inlineStr">
        <is>
          <t>July</t>
        </is>
      </c>
      <c r="D4515" t="inlineStr">
        <is>
          <t>Compact Jacket</t>
        </is>
      </c>
      <c r="E4515" t="inlineStr">
        <is>
          <t>Clothing</t>
        </is>
      </c>
      <c r="F4515" t="inlineStr">
        <is>
          <t>David Nowak</t>
        </is>
      </c>
      <c r="G4515" t="inlineStr">
        <is>
          <t>United States</t>
        </is>
      </c>
      <c r="H4515" t="inlineStr">
        <is>
          <t>Web Store</t>
        </is>
      </c>
      <c r="I4515" t="n">
        <v>2</v>
      </c>
      <c r="J4515" s="3" t="n">
        <v>71.09999999999999</v>
      </c>
      <c r="K4515" s="3" t="n">
        <v>14.22</v>
      </c>
      <c r="L4515" s="3" t="n">
        <v>56.88</v>
      </c>
      <c r="M4515" s="3" t="n">
        <v>40.8</v>
      </c>
      <c r="N4515" s="3" t="n">
        <v>16.08</v>
      </c>
      <c r="O4515">
        <f>TEXT(A4515,"yyyy-mm")</f>
        <v/>
      </c>
    </row>
    <row r="4516">
      <c r="A4516" s="2" t="n">
        <v>46230</v>
      </c>
      <c r="B4516" t="n">
        <v>2026</v>
      </c>
      <c r="C4516" t="inlineStr">
        <is>
          <t>July</t>
        </is>
      </c>
      <c r="D4516" t="inlineStr">
        <is>
          <t>Essential Cushion</t>
        </is>
      </c>
      <c r="E4516" t="inlineStr">
        <is>
          <t>Home &amp; Garden</t>
        </is>
      </c>
      <c r="F4516" t="inlineStr">
        <is>
          <t>David Nowak</t>
        </is>
      </c>
      <c r="G4516" t="inlineStr">
        <is>
          <t>United States</t>
        </is>
      </c>
      <c r="H4516" t="inlineStr">
        <is>
          <t>Web Store</t>
        </is>
      </c>
      <c r="I4516" t="n">
        <v>3</v>
      </c>
      <c r="J4516" s="3" t="n">
        <v>131.13</v>
      </c>
      <c r="K4516" s="3" t="n">
        <v>6.56</v>
      </c>
      <c r="L4516" s="3" t="n">
        <v>124.57</v>
      </c>
      <c r="M4516" s="3" t="n">
        <v>91.65000000000001</v>
      </c>
      <c r="N4516" s="3" t="n">
        <v>32.92</v>
      </c>
      <c r="O4516">
        <f>TEXT(A4516,"yyyy-mm")</f>
        <v/>
      </c>
    </row>
    <row r="4517">
      <c r="A4517" s="2" t="n">
        <v>46230</v>
      </c>
      <c r="B4517" t="n">
        <v>2026</v>
      </c>
      <c r="C4517" t="inlineStr">
        <is>
          <t>July</t>
        </is>
      </c>
      <c r="D4517" t="inlineStr">
        <is>
          <t>Classic Tent</t>
        </is>
      </c>
      <c r="E4517" t="inlineStr">
        <is>
          <t>Sports &amp; Outdoors</t>
        </is>
      </c>
      <c r="F4517" t="inlineStr">
        <is>
          <t>David Nowak</t>
        </is>
      </c>
      <c r="G4517" t="inlineStr">
        <is>
          <t>United States</t>
        </is>
      </c>
      <c r="H4517" t="inlineStr">
        <is>
          <t>Web Store</t>
        </is>
      </c>
      <c r="I4517" t="n">
        <v>2</v>
      </c>
      <c r="J4517" s="3" t="n">
        <v>395.14</v>
      </c>
      <c r="K4517" s="3" t="n">
        <v>0</v>
      </c>
      <c r="L4517" s="3" t="n">
        <v>395.14</v>
      </c>
      <c r="M4517" s="3" t="n">
        <v>236.04</v>
      </c>
      <c r="N4517" s="3" t="n">
        <v>159.1</v>
      </c>
      <c r="O4517">
        <f>TEXT(A4517,"yyyy-mm")</f>
        <v/>
      </c>
    </row>
    <row r="4518">
      <c r="A4518" s="2" t="n">
        <v>46231</v>
      </c>
      <c r="B4518" t="n">
        <v>2026</v>
      </c>
      <c r="C4518" t="inlineStr">
        <is>
          <t>July</t>
        </is>
      </c>
      <c r="D4518" t="inlineStr">
        <is>
          <t>Portable Pasta</t>
        </is>
      </c>
      <c r="E4518" t="inlineStr">
        <is>
          <t>Grocery</t>
        </is>
      </c>
      <c r="F4518" t="inlineStr">
        <is>
          <t>Julia Zielinski</t>
        </is>
      </c>
      <c r="G4518" t="inlineStr">
        <is>
          <t>Germany</t>
        </is>
      </c>
      <c r="H4518" t="inlineStr">
        <is>
          <t>Marketplace</t>
        </is>
      </c>
      <c r="I4518" t="n">
        <v>2</v>
      </c>
      <c r="J4518" s="3" t="n">
        <v>72.56</v>
      </c>
      <c r="K4518" s="3" t="n">
        <v>0</v>
      </c>
      <c r="L4518" s="3" t="n">
        <v>72.56</v>
      </c>
      <c r="M4518" s="3" t="n">
        <v>55.5</v>
      </c>
      <c r="N4518" s="3" t="n">
        <v>17.06</v>
      </c>
      <c r="O4518">
        <f>TEXT(A4518,"yyyy-mm")</f>
        <v/>
      </c>
    </row>
    <row r="4519">
      <c r="A4519" s="2" t="n">
        <v>46231</v>
      </c>
      <c r="B4519" t="n">
        <v>2026</v>
      </c>
      <c r="C4519" t="inlineStr">
        <is>
          <t>July</t>
        </is>
      </c>
      <c r="D4519" t="inlineStr">
        <is>
          <t>Ultra Vitamins</t>
        </is>
      </c>
      <c r="E4519" t="inlineStr">
        <is>
          <t>Beauty &amp; Health</t>
        </is>
      </c>
      <c r="F4519" t="inlineStr">
        <is>
          <t>Julia Zielinski</t>
        </is>
      </c>
      <c r="G4519" t="inlineStr">
        <is>
          <t>Germany</t>
        </is>
      </c>
      <c r="H4519" t="inlineStr">
        <is>
          <t>Marketplace</t>
        </is>
      </c>
      <c r="I4519" t="n">
        <v>5</v>
      </c>
      <c r="J4519" s="3" t="n">
        <v>1044.35</v>
      </c>
      <c r="K4519" s="3" t="n">
        <v>104.44</v>
      </c>
      <c r="L4519" s="3" t="n">
        <v>939.92</v>
      </c>
      <c r="M4519" s="3" t="n">
        <v>630.5</v>
      </c>
      <c r="N4519" s="3" t="n">
        <v>309.41</v>
      </c>
      <c r="O4519">
        <f>TEXT(A4519,"yyyy-mm")</f>
        <v/>
      </c>
    </row>
    <row r="4520">
      <c r="A4520" s="2" t="n">
        <v>46231</v>
      </c>
      <c r="B4520" t="n">
        <v>2026</v>
      </c>
      <c r="C4520" t="inlineStr">
        <is>
          <t>July</t>
        </is>
      </c>
      <c r="D4520" t="inlineStr">
        <is>
          <t>Portable Puzzle</t>
        </is>
      </c>
      <c r="E4520" t="inlineStr">
        <is>
          <t>Toys &amp; Games</t>
        </is>
      </c>
      <c r="F4520" t="inlineStr">
        <is>
          <t>Julia Zielinski</t>
        </is>
      </c>
      <c r="G4520" t="inlineStr">
        <is>
          <t>Germany</t>
        </is>
      </c>
      <c r="H4520" t="inlineStr">
        <is>
          <t>Marketplace</t>
        </is>
      </c>
      <c r="I4520" t="n">
        <v>1</v>
      </c>
      <c r="J4520" s="3" t="n">
        <v>107.69</v>
      </c>
      <c r="K4520" s="3" t="n">
        <v>0</v>
      </c>
      <c r="L4520" s="3" t="n">
        <v>107.69</v>
      </c>
      <c r="M4520" s="3" t="n">
        <v>58.8</v>
      </c>
      <c r="N4520" s="3" t="n">
        <v>48.89</v>
      </c>
      <c r="O4520">
        <f>TEXT(A4520,"yyyy-mm")</f>
        <v/>
      </c>
    </row>
    <row r="4521">
      <c r="A4521" s="2" t="n">
        <v>46231</v>
      </c>
      <c r="B4521" t="n">
        <v>2026</v>
      </c>
      <c r="C4521" t="inlineStr">
        <is>
          <t>July</t>
        </is>
      </c>
      <c r="D4521" t="inlineStr">
        <is>
          <t>Portable Pasta</t>
        </is>
      </c>
      <c r="E4521" t="inlineStr">
        <is>
          <t>Grocery</t>
        </is>
      </c>
      <c r="F4521" t="inlineStr">
        <is>
          <t>Clara Kowalski</t>
        </is>
      </c>
      <c r="G4521" t="inlineStr">
        <is>
          <t>France</t>
        </is>
      </c>
      <c r="H4521" t="inlineStr">
        <is>
          <t>Web Store</t>
        </is>
      </c>
      <c r="I4521" t="n">
        <v>4</v>
      </c>
      <c r="J4521" s="3" t="n">
        <v>140.88</v>
      </c>
      <c r="K4521" s="3" t="n">
        <v>28.18</v>
      </c>
      <c r="L4521" s="3" t="n">
        <v>112.7</v>
      </c>
      <c r="M4521" s="3" t="n">
        <v>111</v>
      </c>
      <c r="N4521" s="3" t="n">
        <v>1.7</v>
      </c>
      <c r="O4521">
        <f>TEXT(A4521,"yyyy-mm")</f>
        <v/>
      </c>
    </row>
    <row r="4522">
      <c r="A4522" s="2" t="n">
        <v>46231</v>
      </c>
      <c r="B4522" t="n">
        <v>2026</v>
      </c>
      <c r="C4522" t="inlineStr">
        <is>
          <t>July</t>
        </is>
      </c>
      <c r="D4522" t="inlineStr">
        <is>
          <t>Premium Cookbook</t>
        </is>
      </c>
      <c r="E4522" t="inlineStr">
        <is>
          <t>Books</t>
        </is>
      </c>
      <c r="F4522" t="inlineStr">
        <is>
          <t>Clara Kowalski</t>
        </is>
      </c>
      <c r="G4522" t="inlineStr">
        <is>
          <t>France</t>
        </is>
      </c>
      <c r="H4522" t="inlineStr">
        <is>
          <t>Web Store</t>
        </is>
      </c>
      <c r="I4522" t="n">
        <v>1</v>
      </c>
      <c r="J4522" s="3" t="n">
        <v>125.48</v>
      </c>
      <c r="K4522" s="3" t="n">
        <v>0</v>
      </c>
      <c r="L4522" s="3" t="n">
        <v>125.48</v>
      </c>
      <c r="M4522" s="3" t="n">
        <v>94.98</v>
      </c>
      <c r="N4522" s="3" t="n">
        <v>30.5</v>
      </c>
      <c r="O4522">
        <f>TEXT(A4522,"yyyy-mm")</f>
        <v/>
      </c>
    </row>
    <row r="4523">
      <c r="A4523" s="2" t="n">
        <v>46232</v>
      </c>
      <c r="B4523" t="n">
        <v>2026</v>
      </c>
      <c r="C4523" t="inlineStr">
        <is>
          <t>July</t>
        </is>
      </c>
      <c r="D4523" t="inlineStr">
        <is>
          <t>Portable Pasta</t>
        </is>
      </c>
      <c r="E4523" t="inlineStr">
        <is>
          <t>Grocery</t>
        </is>
      </c>
      <c r="F4523" t="inlineStr">
        <is>
          <t>Nina Muller</t>
        </is>
      </c>
      <c r="G4523" t="inlineStr">
        <is>
          <t>Spain</t>
        </is>
      </c>
      <c r="H4523" t="inlineStr">
        <is>
          <t>Web Store</t>
        </is>
      </c>
      <c r="I4523" t="n">
        <v>3</v>
      </c>
      <c r="J4523" s="3" t="n">
        <v>108.27</v>
      </c>
      <c r="K4523" s="3" t="n">
        <v>0</v>
      </c>
      <c r="L4523" s="3" t="n">
        <v>108.27</v>
      </c>
      <c r="M4523" s="3" t="n">
        <v>83.25</v>
      </c>
      <c r="N4523" s="3" t="n">
        <v>25.02</v>
      </c>
      <c r="O4523">
        <f>TEXT(A4523,"yyyy-mm")</f>
        <v/>
      </c>
    </row>
    <row r="4524">
      <c r="A4524" s="2" t="n">
        <v>46232</v>
      </c>
      <c r="B4524" t="n">
        <v>2026</v>
      </c>
      <c r="C4524" t="inlineStr">
        <is>
          <t>July</t>
        </is>
      </c>
      <c r="D4524" t="inlineStr">
        <is>
          <t>Ultra Toolset</t>
        </is>
      </c>
      <c r="E4524" t="inlineStr">
        <is>
          <t>Home &amp; Garden</t>
        </is>
      </c>
      <c r="F4524" t="inlineStr">
        <is>
          <t>Nina Muller</t>
        </is>
      </c>
      <c r="G4524" t="inlineStr">
        <is>
          <t>Spain</t>
        </is>
      </c>
      <c r="H4524" t="inlineStr">
        <is>
          <t>Web Store</t>
        </is>
      </c>
      <c r="I4524" t="n">
        <v>3</v>
      </c>
      <c r="J4524" s="3" t="n">
        <v>1053.99</v>
      </c>
      <c r="K4524" s="3" t="n">
        <v>158.1</v>
      </c>
      <c r="L4524" s="3" t="n">
        <v>895.89</v>
      </c>
      <c r="M4524" s="3" t="n">
        <v>571.2</v>
      </c>
      <c r="N4524" s="3" t="n">
        <v>324.69</v>
      </c>
      <c r="O4524">
        <f>TEXT(A4524,"yyyy-mm")</f>
        <v/>
      </c>
    </row>
    <row r="4525">
      <c r="A4525" s="2" t="n">
        <v>46232</v>
      </c>
      <c r="B4525" t="n">
        <v>2026</v>
      </c>
      <c r="C4525" t="inlineStr">
        <is>
          <t>July</t>
        </is>
      </c>
      <c r="D4525" t="inlineStr">
        <is>
          <t>Classic Tea Set</t>
        </is>
      </c>
      <c r="E4525" t="inlineStr">
        <is>
          <t>Grocery</t>
        </is>
      </c>
      <c r="F4525" t="inlineStr">
        <is>
          <t>Robert Fischer</t>
        </is>
      </c>
      <c r="G4525" t="inlineStr">
        <is>
          <t>Poland</t>
        </is>
      </c>
      <c r="H4525" t="inlineStr">
        <is>
          <t>Mobile App</t>
        </is>
      </c>
      <c r="I4525" t="n">
        <v>4</v>
      </c>
      <c r="J4525" s="3" t="n">
        <v>754.92</v>
      </c>
      <c r="K4525" s="3" t="n">
        <v>0</v>
      </c>
      <c r="L4525" s="3" t="n">
        <v>754.92</v>
      </c>
      <c r="M4525" s="3" t="n">
        <v>501.6</v>
      </c>
      <c r="N4525" s="3" t="n">
        <v>253.32</v>
      </c>
      <c r="O4525">
        <f>TEXT(A4525,"yyyy-mm")</f>
        <v/>
      </c>
    </row>
    <row r="4526">
      <c r="A4526" s="2" t="n">
        <v>46232</v>
      </c>
      <c r="B4526" t="n">
        <v>2026</v>
      </c>
      <c r="C4526" t="inlineStr">
        <is>
          <t>July</t>
        </is>
      </c>
      <c r="D4526" t="inlineStr">
        <is>
          <t>Essential Pasta</t>
        </is>
      </c>
      <c r="E4526" t="inlineStr">
        <is>
          <t>Grocery</t>
        </is>
      </c>
      <c r="F4526" t="inlineStr">
        <is>
          <t>Robert Fischer</t>
        </is>
      </c>
      <c r="G4526" t="inlineStr">
        <is>
          <t>Poland</t>
        </is>
      </c>
      <c r="H4526" t="inlineStr">
        <is>
          <t>Mobile App</t>
        </is>
      </c>
      <c r="I4526" t="n">
        <v>3</v>
      </c>
      <c r="J4526" s="3" t="n">
        <v>162.93</v>
      </c>
      <c r="K4526" s="3" t="n">
        <v>16.29</v>
      </c>
      <c r="L4526" s="3" t="n">
        <v>146.64</v>
      </c>
      <c r="M4526" s="3" t="n">
        <v>107.43</v>
      </c>
      <c r="N4526" s="3" t="n">
        <v>39.21</v>
      </c>
      <c r="O4526">
        <f>TEXT(A4526,"yyyy-mm")</f>
        <v/>
      </c>
    </row>
    <row r="4527">
      <c r="A4527" s="2" t="n">
        <v>46232</v>
      </c>
      <c r="B4527" t="n">
        <v>2026</v>
      </c>
      <c r="C4527" t="inlineStr">
        <is>
          <t>July</t>
        </is>
      </c>
      <c r="D4527" t="inlineStr">
        <is>
          <t>Deluxe Puzzle</t>
        </is>
      </c>
      <c r="E4527" t="inlineStr">
        <is>
          <t>Toys &amp; Games</t>
        </is>
      </c>
      <c r="F4527" t="inlineStr">
        <is>
          <t>Robert Fischer</t>
        </is>
      </c>
      <c r="G4527" t="inlineStr">
        <is>
          <t>Poland</t>
        </is>
      </c>
      <c r="H4527" t="inlineStr">
        <is>
          <t>Mobile App</t>
        </is>
      </c>
      <c r="I4527" t="n">
        <v>5</v>
      </c>
      <c r="J4527" s="3" t="n">
        <v>1069.9</v>
      </c>
      <c r="K4527" s="3" t="n">
        <v>213.98</v>
      </c>
      <c r="L4527" s="3" t="n">
        <v>855.92</v>
      </c>
      <c r="M4527" s="3" t="n">
        <v>555.85</v>
      </c>
      <c r="N4527" s="3" t="n">
        <v>300.07</v>
      </c>
      <c r="O4527">
        <f>TEXT(A4527,"yyyy-mm")</f>
        <v/>
      </c>
    </row>
    <row r="4528">
      <c r="A4528" s="2" t="n">
        <v>46232</v>
      </c>
      <c r="B4528" t="n">
        <v>2026</v>
      </c>
      <c r="C4528" t="inlineStr">
        <is>
          <t>July</t>
        </is>
      </c>
      <c r="D4528" t="inlineStr">
        <is>
          <t>Wireless Honey</t>
        </is>
      </c>
      <c r="E4528" t="inlineStr">
        <is>
          <t>Grocery</t>
        </is>
      </c>
      <c r="F4528" t="inlineStr">
        <is>
          <t>David Nowak</t>
        </is>
      </c>
      <c r="G4528" t="inlineStr">
        <is>
          <t>Spain</t>
        </is>
      </c>
      <c r="H4528" t="inlineStr">
        <is>
          <t>Retail Store</t>
        </is>
      </c>
      <c r="I4528" t="n">
        <v>3</v>
      </c>
      <c r="J4528" s="3" t="n">
        <v>397.59</v>
      </c>
      <c r="K4528" s="3" t="n">
        <v>59.64</v>
      </c>
      <c r="L4528" s="3" t="n">
        <v>337.95</v>
      </c>
      <c r="M4528" s="3" t="n">
        <v>282.21</v>
      </c>
      <c r="N4528" s="3" t="n">
        <v>55.74</v>
      </c>
      <c r="O4528">
        <f>TEXT(A4528,"yyyy-mm")</f>
        <v/>
      </c>
    </row>
    <row r="4529">
      <c r="A4529" s="2" t="n">
        <v>46232</v>
      </c>
      <c r="B4529" t="n">
        <v>2026</v>
      </c>
      <c r="C4529" t="inlineStr">
        <is>
          <t>July</t>
        </is>
      </c>
      <c r="D4529" t="inlineStr">
        <is>
          <t>Eco Drone</t>
        </is>
      </c>
      <c r="E4529" t="inlineStr">
        <is>
          <t>Toys &amp; Games</t>
        </is>
      </c>
      <c r="F4529" t="inlineStr">
        <is>
          <t>David Nowak</t>
        </is>
      </c>
      <c r="G4529" t="inlineStr">
        <is>
          <t>Spain</t>
        </is>
      </c>
      <c r="H4529" t="inlineStr">
        <is>
          <t>Retail Store</t>
        </is>
      </c>
      <c r="I4529" t="n">
        <v>1</v>
      </c>
      <c r="J4529" s="3" t="n">
        <v>201.85</v>
      </c>
      <c r="K4529" s="3" t="n">
        <v>40.37</v>
      </c>
      <c r="L4529" s="3" t="n">
        <v>161.48</v>
      </c>
      <c r="M4529" s="3" t="n">
        <v>129.59</v>
      </c>
      <c r="N4529" s="3" t="n">
        <v>31.89</v>
      </c>
      <c r="O4529">
        <f>TEXT(A4529,"yyyy-mm")</f>
        <v/>
      </c>
    </row>
    <row r="4530">
      <c r="A4530" s="2" t="n">
        <v>46232</v>
      </c>
      <c r="B4530" t="n">
        <v>2026</v>
      </c>
      <c r="C4530" t="inlineStr">
        <is>
          <t>July</t>
        </is>
      </c>
      <c r="D4530" t="inlineStr">
        <is>
          <t>Smart Charger</t>
        </is>
      </c>
      <c r="E4530" t="inlineStr">
        <is>
          <t>Electronics</t>
        </is>
      </c>
      <c r="F4530" t="inlineStr">
        <is>
          <t>David Nowak</t>
        </is>
      </c>
      <c r="G4530" t="inlineStr">
        <is>
          <t>Spain</t>
        </is>
      </c>
      <c r="H4530" t="inlineStr">
        <is>
          <t>Retail Store</t>
        </is>
      </c>
      <c r="I4530" t="n">
        <v>5</v>
      </c>
      <c r="J4530" s="3" t="n">
        <v>204.05</v>
      </c>
      <c r="K4530" s="3" t="n">
        <v>20.4</v>
      </c>
      <c r="L4530" s="3" t="n">
        <v>183.64</v>
      </c>
      <c r="M4530" s="3" t="n">
        <v>138.2</v>
      </c>
      <c r="N4530" s="3" t="n">
        <v>45.45</v>
      </c>
      <c r="O4530">
        <f>TEXT(A4530,"yyyy-mm")</f>
        <v/>
      </c>
    </row>
    <row r="4531">
      <c r="A4531" s="2" t="n">
        <v>46232</v>
      </c>
      <c r="B4531" t="n">
        <v>2026</v>
      </c>
      <c r="C4531" t="inlineStr">
        <is>
          <t>July</t>
        </is>
      </c>
      <c r="D4531" t="inlineStr">
        <is>
          <t>Smart Tea Set</t>
        </is>
      </c>
      <c r="E4531" t="inlineStr">
        <is>
          <t>Grocery</t>
        </is>
      </c>
      <c r="F4531" t="inlineStr">
        <is>
          <t>David Nowak</t>
        </is>
      </c>
      <c r="G4531" t="inlineStr">
        <is>
          <t>Spain</t>
        </is>
      </c>
      <c r="H4531" t="inlineStr">
        <is>
          <t>Retail Store</t>
        </is>
      </c>
      <c r="I4531" t="n">
        <v>1</v>
      </c>
      <c r="J4531" s="3" t="n">
        <v>92.81999999999999</v>
      </c>
      <c r="K4531" s="3" t="n">
        <v>0</v>
      </c>
      <c r="L4531" s="3" t="n">
        <v>92.81999999999999</v>
      </c>
      <c r="M4531" s="3" t="n">
        <v>61.8</v>
      </c>
      <c r="N4531" s="3" t="n">
        <v>31.02</v>
      </c>
      <c r="O4531">
        <f>TEXT(A4531,"yyyy-mm")</f>
        <v/>
      </c>
    </row>
    <row r="4532">
      <c r="A4532" s="2" t="n">
        <v>46232</v>
      </c>
      <c r="B4532" t="n">
        <v>2026</v>
      </c>
      <c r="C4532" t="inlineStr">
        <is>
          <t>July</t>
        </is>
      </c>
      <c r="D4532" t="inlineStr">
        <is>
          <t>Portable Speaker</t>
        </is>
      </c>
      <c r="E4532" t="inlineStr">
        <is>
          <t>Electronics</t>
        </is>
      </c>
      <c r="F4532" t="inlineStr">
        <is>
          <t>Emily Muller</t>
        </is>
      </c>
      <c r="G4532" t="inlineStr">
        <is>
          <t>Netherlands</t>
        </is>
      </c>
      <c r="H4532" t="inlineStr">
        <is>
          <t>Mobile App</t>
        </is>
      </c>
      <c r="I4532" t="n">
        <v>5</v>
      </c>
      <c r="J4532" s="3" t="n">
        <v>1614.7</v>
      </c>
      <c r="K4532" s="3" t="n">
        <v>242.2</v>
      </c>
      <c r="L4532" s="3" t="n">
        <v>1372.5</v>
      </c>
      <c r="M4532" s="3" t="n">
        <v>874.15</v>
      </c>
      <c r="N4532" s="3" t="n">
        <v>498.34</v>
      </c>
      <c r="O4532">
        <f>TEXT(A4532,"yyyy-mm")</f>
        <v/>
      </c>
    </row>
    <row r="4533">
      <c r="A4533" s="2" t="n">
        <v>46232</v>
      </c>
      <c r="B4533" t="n">
        <v>2026</v>
      </c>
      <c r="C4533" t="inlineStr">
        <is>
          <t>July</t>
        </is>
      </c>
      <c r="D4533" t="inlineStr">
        <is>
          <t>Compact Jacket</t>
        </is>
      </c>
      <c r="E4533" t="inlineStr">
        <is>
          <t>Clothing</t>
        </is>
      </c>
      <c r="F4533" t="inlineStr">
        <is>
          <t>Robert Rossi</t>
        </is>
      </c>
      <c r="G4533" t="inlineStr">
        <is>
          <t>Italy</t>
        </is>
      </c>
      <c r="H4533" t="inlineStr">
        <is>
          <t>Mobile App</t>
        </is>
      </c>
      <c r="I4533" t="n">
        <v>3</v>
      </c>
      <c r="J4533" s="3" t="n">
        <v>106.14</v>
      </c>
      <c r="K4533" s="3" t="n">
        <v>0</v>
      </c>
      <c r="L4533" s="3" t="n">
        <v>106.14</v>
      </c>
      <c r="M4533" s="3" t="n">
        <v>61.2</v>
      </c>
      <c r="N4533" s="3" t="n">
        <v>44.94</v>
      </c>
      <c r="O4533">
        <f>TEXT(A4533,"yyyy-mm")</f>
        <v/>
      </c>
    </row>
    <row r="4534">
      <c r="A4534" s="2" t="n">
        <v>46233</v>
      </c>
      <c r="B4534" t="n">
        <v>2026</v>
      </c>
      <c r="C4534" t="inlineStr">
        <is>
          <t>July</t>
        </is>
      </c>
      <c r="D4534" t="inlineStr">
        <is>
          <t>Smart Cookbook</t>
        </is>
      </c>
      <c r="E4534" t="inlineStr">
        <is>
          <t>Books</t>
        </is>
      </c>
      <c r="F4534" t="inlineStr">
        <is>
          <t>Michael Nowak</t>
        </is>
      </c>
      <c r="G4534" t="inlineStr">
        <is>
          <t>United Kingdom</t>
        </is>
      </c>
      <c r="H4534" t="inlineStr">
        <is>
          <t>Mobile App</t>
        </is>
      </c>
      <c r="I4534" t="n">
        <v>4</v>
      </c>
      <c r="J4534" s="3" t="n">
        <v>72.56</v>
      </c>
      <c r="K4534" s="3" t="n">
        <v>0</v>
      </c>
      <c r="L4534" s="3" t="n">
        <v>72.56</v>
      </c>
      <c r="M4534" s="3" t="n">
        <v>39.52</v>
      </c>
      <c r="N4534" s="3" t="n">
        <v>33.04</v>
      </c>
      <c r="O4534">
        <f>TEXT(A4534,"yyyy-mm")</f>
        <v/>
      </c>
    </row>
    <row r="4535">
      <c r="A4535" s="2" t="n">
        <v>46234</v>
      </c>
      <c r="B4535" t="n">
        <v>2026</v>
      </c>
      <c r="C4535" t="inlineStr">
        <is>
          <t>July</t>
        </is>
      </c>
      <c r="D4535" t="inlineStr">
        <is>
          <t>Portable Toolset</t>
        </is>
      </c>
      <c r="E4535" t="inlineStr">
        <is>
          <t>Home &amp; Garden</t>
        </is>
      </c>
      <c r="F4535" t="inlineStr">
        <is>
          <t>Daniel Wilson</t>
        </is>
      </c>
      <c r="G4535" t="inlineStr">
        <is>
          <t>Italy</t>
        </is>
      </c>
      <c r="H4535" t="inlineStr">
        <is>
          <t>Retail Store</t>
        </is>
      </c>
      <c r="I4535" t="n">
        <v>1</v>
      </c>
      <c r="J4535" s="3" t="n">
        <v>140.87</v>
      </c>
      <c r="K4535" s="3" t="n">
        <v>7.04</v>
      </c>
      <c r="L4535" s="3" t="n">
        <v>133.83</v>
      </c>
      <c r="M4535" s="3" t="n">
        <v>92.84999999999999</v>
      </c>
      <c r="N4535" s="3" t="n">
        <v>40.98</v>
      </c>
      <c r="O4535">
        <f>TEXT(A4535,"yyyy-mm")</f>
        <v/>
      </c>
    </row>
    <row r="4536">
      <c r="A4536" s="2" t="n">
        <v>46234</v>
      </c>
      <c r="B4536" t="n">
        <v>2026</v>
      </c>
      <c r="C4536" t="inlineStr">
        <is>
          <t>July</t>
        </is>
      </c>
      <c r="D4536" t="inlineStr">
        <is>
          <t>Portable Tea Set</t>
        </is>
      </c>
      <c r="E4536" t="inlineStr">
        <is>
          <t>Grocery</t>
        </is>
      </c>
      <c r="F4536" t="inlineStr">
        <is>
          <t>Daniel Wilson</t>
        </is>
      </c>
      <c r="G4536" t="inlineStr">
        <is>
          <t>Italy</t>
        </is>
      </c>
      <c r="H4536" t="inlineStr">
        <is>
          <t>Retail Store</t>
        </is>
      </c>
      <c r="I4536" t="n">
        <v>3</v>
      </c>
      <c r="J4536" s="3" t="n">
        <v>821.67</v>
      </c>
      <c r="K4536" s="3" t="n">
        <v>41.08</v>
      </c>
      <c r="L4536" s="3" t="n">
        <v>780.59</v>
      </c>
      <c r="M4536" s="3" t="n">
        <v>564.36</v>
      </c>
      <c r="N4536" s="3" t="n">
        <v>216.23</v>
      </c>
      <c r="O4536">
        <f>TEXT(A4536,"yyyy-mm")</f>
        <v/>
      </c>
    </row>
    <row r="4537">
      <c r="A4537" s="2" t="n">
        <v>46234</v>
      </c>
      <c r="B4537" t="n">
        <v>2026</v>
      </c>
      <c r="C4537" t="inlineStr">
        <is>
          <t>July</t>
        </is>
      </c>
      <c r="D4537" t="inlineStr">
        <is>
          <t>Essential Toolset</t>
        </is>
      </c>
      <c r="E4537" t="inlineStr">
        <is>
          <t>Home &amp; Garden</t>
        </is>
      </c>
      <c r="F4537" t="inlineStr">
        <is>
          <t>Michael Moreau</t>
        </is>
      </c>
      <c r="G4537" t="inlineStr">
        <is>
          <t>Poland</t>
        </is>
      </c>
      <c r="H4537" t="inlineStr">
        <is>
          <t>Retail Store</t>
        </is>
      </c>
      <c r="I4537" t="n">
        <v>3</v>
      </c>
      <c r="J4537" s="3" t="n">
        <v>623.37</v>
      </c>
      <c r="K4537" s="3" t="n">
        <v>31.17</v>
      </c>
      <c r="L4537" s="3" t="n">
        <v>592.2</v>
      </c>
      <c r="M4537" s="3" t="n">
        <v>451.59</v>
      </c>
      <c r="N4537" s="3" t="n">
        <v>140.61</v>
      </c>
      <c r="O4537">
        <f>TEXT(A4537,"yyyy-mm")</f>
        <v/>
      </c>
    </row>
    <row r="4538">
      <c r="A4538" s="2" t="n">
        <v>46234</v>
      </c>
      <c r="B4538" t="n">
        <v>2026</v>
      </c>
      <c r="C4538" t="inlineStr">
        <is>
          <t>July</t>
        </is>
      </c>
      <c r="D4538" t="inlineStr">
        <is>
          <t>Smart Charger</t>
        </is>
      </c>
      <c r="E4538" t="inlineStr">
        <is>
          <t>Electronics</t>
        </is>
      </c>
      <c r="F4538" t="inlineStr">
        <is>
          <t>Nina Lopez</t>
        </is>
      </c>
      <c r="G4538" t="inlineStr">
        <is>
          <t>Poland</t>
        </is>
      </c>
      <c r="H4538" t="inlineStr">
        <is>
          <t>Mobile App</t>
        </is>
      </c>
      <c r="I4538" t="n">
        <v>1</v>
      </c>
      <c r="J4538" s="3" t="n">
        <v>261.31</v>
      </c>
      <c r="K4538" s="3" t="n">
        <v>13.07</v>
      </c>
      <c r="L4538" s="3" t="n">
        <v>248.24</v>
      </c>
      <c r="M4538" s="3" t="n">
        <v>142.52</v>
      </c>
      <c r="N4538" s="3" t="n">
        <v>105.72</v>
      </c>
      <c r="O4538">
        <f>TEXT(A4538,"yyyy-mm")</f>
        <v/>
      </c>
    </row>
    <row r="4539">
      <c r="A4539" s="2" t="n">
        <v>46234</v>
      </c>
      <c r="B4539" t="n">
        <v>2026</v>
      </c>
      <c r="C4539" t="inlineStr">
        <is>
          <t>July</t>
        </is>
      </c>
      <c r="D4539" t="inlineStr">
        <is>
          <t>Wireless Drone</t>
        </is>
      </c>
      <c r="E4539" t="inlineStr">
        <is>
          <t>Toys &amp; Games</t>
        </is>
      </c>
      <c r="F4539" t="inlineStr">
        <is>
          <t>Nina Lopez</t>
        </is>
      </c>
      <c r="G4539" t="inlineStr">
        <is>
          <t>Poland</t>
        </is>
      </c>
      <c r="H4539" t="inlineStr">
        <is>
          <t>Mobile App</t>
        </is>
      </c>
      <c r="I4539" t="n">
        <v>2</v>
      </c>
      <c r="J4539" s="3" t="n">
        <v>461.34</v>
      </c>
      <c r="K4539" s="3" t="n">
        <v>46.13</v>
      </c>
      <c r="L4539" s="3" t="n">
        <v>415.21</v>
      </c>
      <c r="M4539" s="3" t="n">
        <v>262.58</v>
      </c>
      <c r="N4539" s="3" t="n">
        <v>152.63</v>
      </c>
      <c r="O4539">
        <f>TEXT(A4539,"yyyy-mm")</f>
        <v/>
      </c>
    </row>
    <row r="4540">
      <c r="A4540" s="2" t="n">
        <v>46234</v>
      </c>
      <c r="B4540" t="n">
        <v>2026</v>
      </c>
      <c r="C4540" t="inlineStr">
        <is>
          <t>July</t>
        </is>
      </c>
      <c r="D4540" t="inlineStr">
        <is>
          <t>Compact Sunscreen</t>
        </is>
      </c>
      <c r="E4540" t="inlineStr">
        <is>
          <t>Beauty &amp; Health</t>
        </is>
      </c>
      <c r="F4540" t="inlineStr">
        <is>
          <t>Nina Lopez</t>
        </is>
      </c>
      <c r="G4540" t="inlineStr">
        <is>
          <t>Poland</t>
        </is>
      </c>
      <c r="H4540" t="inlineStr">
        <is>
          <t>Mobile App</t>
        </is>
      </c>
      <c r="I4540" t="n">
        <v>4</v>
      </c>
      <c r="J4540" s="3" t="n">
        <v>1167.08</v>
      </c>
      <c r="K4540" s="3" t="n">
        <v>116.71</v>
      </c>
      <c r="L4540" s="3" t="n">
        <v>1050.37</v>
      </c>
      <c r="M4540" s="3" t="n">
        <v>710.64</v>
      </c>
      <c r="N4540" s="3" t="n">
        <v>339.73</v>
      </c>
      <c r="O4540">
        <f>TEXT(A4540,"yyyy-mm")</f>
        <v/>
      </c>
    </row>
    <row r="4541">
      <c r="A4541" s="2" t="n">
        <v>46234</v>
      </c>
      <c r="B4541" t="n">
        <v>2026</v>
      </c>
      <c r="C4541" t="inlineStr">
        <is>
          <t>July</t>
        </is>
      </c>
      <c r="D4541" t="inlineStr">
        <is>
          <t>Smart Olive Oil</t>
        </is>
      </c>
      <c r="E4541" t="inlineStr">
        <is>
          <t>Grocery</t>
        </is>
      </c>
      <c r="F4541" t="inlineStr">
        <is>
          <t>Nina Lopez</t>
        </is>
      </c>
      <c r="G4541" t="inlineStr">
        <is>
          <t>Poland</t>
        </is>
      </c>
      <c r="H4541" t="inlineStr">
        <is>
          <t>Mobile App</t>
        </is>
      </c>
      <c r="I4541" t="n">
        <v>1</v>
      </c>
      <c r="J4541" s="3" t="n">
        <v>165.3</v>
      </c>
      <c r="K4541" s="3" t="n">
        <v>0</v>
      </c>
      <c r="L4541" s="3" t="n">
        <v>165.3</v>
      </c>
      <c r="M4541" s="3" t="n">
        <v>110.02</v>
      </c>
      <c r="N4541" s="3" t="n">
        <v>55.28</v>
      </c>
      <c r="O4541">
        <f>TEXT(A4541,"yyyy-mm")</f>
        <v/>
      </c>
    </row>
    <row r="4542">
      <c r="A4542" s="2" t="n">
        <v>46234</v>
      </c>
      <c r="B4542" t="n">
        <v>2026</v>
      </c>
      <c r="C4542" t="inlineStr">
        <is>
          <t>July</t>
        </is>
      </c>
      <c r="D4542" t="inlineStr">
        <is>
          <t>Portable Notebook</t>
        </is>
      </c>
      <c r="E4542" t="inlineStr">
        <is>
          <t>Books</t>
        </is>
      </c>
      <c r="F4542" t="inlineStr">
        <is>
          <t>Michael Brown</t>
        </is>
      </c>
      <c r="G4542" t="inlineStr">
        <is>
          <t>Spain</t>
        </is>
      </c>
      <c r="H4542" t="inlineStr">
        <is>
          <t>Web Store</t>
        </is>
      </c>
      <c r="I4542" t="n">
        <v>5</v>
      </c>
      <c r="J4542" s="3" t="n">
        <v>627.5</v>
      </c>
      <c r="K4542" s="3" t="n">
        <v>0</v>
      </c>
      <c r="L4542" s="3" t="n">
        <v>627.5</v>
      </c>
      <c r="M4542" s="3" t="n">
        <v>356.4</v>
      </c>
      <c r="N4542" s="3" t="n">
        <v>271.1</v>
      </c>
      <c r="O4542">
        <f>TEXT(A4542,"yyyy-mm")</f>
        <v/>
      </c>
    </row>
    <row r="4543">
      <c r="A4543" s="2" t="n">
        <v>46234</v>
      </c>
      <c r="B4543" t="n">
        <v>2026</v>
      </c>
      <c r="C4543" t="inlineStr">
        <is>
          <t>July</t>
        </is>
      </c>
      <c r="D4543" t="inlineStr">
        <is>
          <t>Premium Tent</t>
        </is>
      </c>
      <c r="E4543" t="inlineStr">
        <is>
          <t>Sports &amp; Outdoors</t>
        </is>
      </c>
      <c r="F4543" t="inlineStr">
        <is>
          <t>Michael Brown</t>
        </is>
      </c>
      <c r="G4543" t="inlineStr">
        <is>
          <t>Spain</t>
        </is>
      </c>
      <c r="H4543" t="inlineStr">
        <is>
          <t>Web Store</t>
        </is>
      </c>
      <c r="I4543" t="n">
        <v>5</v>
      </c>
      <c r="J4543" s="3" t="n">
        <v>1266.6</v>
      </c>
      <c r="K4543" s="3" t="n">
        <v>126.66</v>
      </c>
      <c r="L4543" s="3" t="n">
        <v>1139.94</v>
      </c>
      <c r="M4543" s="3" t="n">
        <v>826.55</v>
      </c>
      <c r="N4543" s="3" t="n">
        <v>313.39</v>
      </c>
      <c r="O4543">
        <f>TEXT(A4543,"yyyy-mm")</f>
        <v/>
      </c>
    </row>
    <row r="4544">
      <c r="A4544" s="2" t="n">
        <v>46234</v>
      </c>
      <c r="B4544" t="n">
        <v>2026</v>
      </c>
      <c r="C4544" t="inlineStr">
        <is>
          <t>July</t>
        </is>
      </c>
      <c r="D4544" t="inlineStr">
        <is>
          <t>Premium Water Bottle</t>
        </is>
      </c>
      <c r="E4544" t="inlineStr">
        <is>
          <t>Sports &amp; Outdoors</t>
        </is>
      </c>
      <c r="F4544" t="inlineStr">
        <is>
          <t>Mark Weber</t>
        </is>
      </c>
      <c r="G4544" t="inlineStr">
        <is>
          <t>Poland</t>
        </is>
      </c>
      <c r="H4544" t="inlineStr">
        <is>
          <t>Retail Store</t>
        </is>
      </c>
      <c r="I4544" t="n">
        <v>1</v>
      </c>
      <c r="J4544" s="3" t="n">
        <v>125.21</v>
      </c>
      <c r="K4544" s="3" t="n">
        <v>25.04</v>
      </c>
      <c r="L4544" s="3" t="n">
        <v>100.17</v>
      </c>
      <c r="M4544" s="3" t="n">
        <v>89.62</v>
      </c>
      <c r="N4544" s="3" t="n">
        <v>10.55</v>
      </c>
      <c r="O4544">
        <f>TEXT(A4544,"yyyy-mm")</f>
        <v/>
      </c>
    </row>
    <row r="4545">
      <c r="A4545" s="2" t="n">
        <v>46234</v>
      </c>
      <c r="B4545" t="n">
        <v>2026</v>
      </c>
      <c r="C4545" t="inlineStr">
        <is>
          <t>July</t>
        </is>
      </c>
      <c r="D4545" t="inlineStr">
        <is>
          <t>Wireless Backpack</t>
        </is>
      </c>
      <c r="E4545" t="inlineStr">
        <is>
          <t>Sports &amp; Outdoors</t>
        </is>
      </c>
      <c r="F4545" t="inlineStr">
        <is>
          <t>Mark Weber</t>
        </is>
      </c>
      <c r="G4545" t="inlineStr">
        <is>
          <t>Poland</t>
        </is>
      </c>
      <c r="H4545" t="inlineStr">
        <is>
          <t>Retail Store</t>
        </is>
      </c>
      <c r="I4545" t="n">
        <v>1</v>
      </c>
      <c r="J4545" s="3" t="n">
        <v>51.21</v>
      </c>
      <c r="K4545" s="3" t="n">
        <v>7.68</v>
      </c>
      <c r="L4545" s="3" t="n">
        <v>43.53</v>
      </c>
      <c r="M4545" s="3" t="n">
        <v>28.1</v>
      </c>
      <c r="N4545" s="3" t="n">
        <v>15.43</v>
      </c>
      <c r="O4545">
        <f>TEXT(A4545,"yyyy-mm")</f>
        <v/>
      </c>
    </row>
    <row r="4546">
      <c r="A4546" s="2" t="n">
        <v>46234</v>
      </c>
      <c r="B4546" t="n">
        <v>2026</v>
      </c>
      <c r="C4546" t="inlineStr">
        <is>
          <t>July</t>
        </is>
      </c>
      <c r="D4546" t="inlineStr">
        <is>
          <t>Portable Toolset</t>
        </is>
      </c>
      <c r="E4546" t="inlineStr">
        <is>
          <t>Home &amp; Garden</t>
        </is>
      </c>
      <c r="F4546" t="inlineStr">
        <is>
          <t>Mark Weber</t>
        </is>
      </c>
      <c r="G4546" t="inlineStr">
        <is>
          <t>Poland</t>
        </is>
      </c>
      <c r="H4546" t="inlineStr">
        <is>
          <t>Retail Store</t>
        </is>
      </c>
      <c r="I4546" t="n">
        <v>1</v>
      </c>
      <c r="J4546" s="3" t="n">
        <v>139.32</v>
      </c>
      <c r="K4546" s="3" t="n">
        <v>0</v>
      </c>
      <c r="L4546" s="3" t="n">
        <v>139.32</v>
      </c>
      <c r="M4546" s="3" t="n">
        <v>92.84999999999999</v>
      </c>
      <c r="N4546" s="3" t="n">
        <v>46.47</v>
      </c>
      <c r="O4546">
        <f>TEXT(A4546,"yyyy-mm")</f>
        <v/>
      </c>
    </row>
    <row r="4547">
      <c r="A4547" s="2" t="n">
        <v>46234</v>
      </c>
      <c r="B4547" t="n">
        <v>2026</v>
      </c>
      <c r="C4547" t="inlineStr">
        <is>
          <t>July</t>
        </is>
      </c>
      <c r="D4547" t="inlineStr">
        <is>
          <t>Classic Bike Helmet</t>
        </is>
      </c>
      <c r="E4547" t="inlineStr">
        <is>
          <t>Sports &amp; Outdoors</t>
        </is>
      </c>
      <c r="F4547" t="inlineStr">
        <is>
          <t>Robert Martin</t>
        </is>
      </c>
      <c r="G4547" t="inlineStr">
        <is>
          <t>Italy</t>
        </is>
      </c>
      <c r="H4547" t="inlineStr">
        <is>
          <t>Marketplace</t>
        </is>
      </c>
      <c r="I4547" t="n">
        <v>3</v>
      </c>
      <c r="J4547" s="3" t="n">
        <v>616.71</v>
      </c>
      <c r="K4547" s="3" t="n">
        <v>30.84</v>
      </c>
      <c r="L4547" s="3" t="n">
        <v>585.87</v>
      </c>
      <c r="M4547" s="3" t="n">
        <v>461.43</v>
      </c>
      <c r="N4547" s="3" t="n">
        <v>124.44</v>
      </c>
      <c r="O4547">
        <f>TEXT(A4547,"yyyy-mm")</f>
        <v/>
      </c>
    </row>
    <row r="4548">
      <c r="A4548" s="2" t="n">
        <v>46234</v>
      </c>
      <c r="B4548" t="n">
        <v>2026</v>
      </c>
      <c r="C4548" t="inlineStr">
        <is>
          <t>July</t>
        </is>
      </c>
      <c r="D4548" t="inlineStr">
        <is>
          <t>Smart Camera</t>
        </is>
      </c>
      <c r="E4548" t="inlineStr">
        <is>
          <t>Electronics</t>
        </is>
      </c>
      <c r="F4548" t="inlineStr">
        <is>
          <t>Paul Zielinski</t>
        </is>
      </c>
      <c r="G4548" t="inlineStr">
        <is>
          <t>Germany</t>
        </is>
      </c>
      <c r="H4548" t="inlineStr">
        <is>
          <t>Retail Store</t>
        </is>
      </c>
      <c r="I4548" t="n">
        <v>5</v>
      </c>
      <c r="J4548" s="3" t="n">
        <v>1499.7</v>
      </c>
      <c r="K4548" s="3" t="n">
        <v>299.94</v>
      </c>
      <c r="L4548" s="3" t="n">
        <v>1199.76</v>
      </c>
      <c r="M4548" s="3" t="n">
        <v>837</v>
      </c>
      <c r="N4548" s="3" t="n">
        <v>362.76</v>
      </c>
      <c r="O4548">
        <f>TEXT(A4548,"yyyy-mm")</f>
        <v/>
      </c>
    </row>
    <row r="4549">
      <c r="A4549" s="2" t="n">
        <v>46234</v>
      </c>
      <c r="B4549" t="n">
        <v>2026</v>
      </c>
      <c r="C4549" t="inlineStr">
        <is>
          <t>July</t>
        </is>
      </c>
      <c r="D4549" t="inlineStr">
        <is>
          <t>Essential Vitamins</t>
        </is>
      </c>
      <c r="E4549" t="inlineStr">
        <is>
          <t>Beauty &amp; Health</t>
        </is>
      </c>
      <c r="F4549" t="inlineStr">
        <is>
          <t>Paul Zielinski</t>
        </is>
      </c>
      <c r="G4549" t="inlineStr">
        <is>
          <t>Germany</t>
        </is>
      </c>
      <c r="H4549" t="inlineStr">
        <is>
          <t>Retail Store</t>
        </is>
      </c>
      <c r="I4549" t="n">
        <v>2</v>
      </c>
      <c r="J4549" s="3" t="n">
        <v>359.6</v>
      </c>
      <c r="K4549" s="3" t="n">
        <v>0</v>
      </c>
      <c r="L4549" s="3" t="n">
        <v>359.6</v>
      </c>
      <c r="M4549" s="3" t="n">
        <v>220.6</v>
      </c>
      <c r="N4549" s="3" t="n">
        <v>139</v>
      </c>
      <c r="O4549">
        <f>TEXT(A4549,"yyyy-mm")</f>
        <v/>
      </c>
    </row>
    <row r="4550">
      <c r="A4550" s="2" t="n">
        <v>46235</v>
      </c>
      <c r="B4550" t="n">
        <v>2026</v>
      </c>
      <c r="C4550" t="inlineStr">
        <is>
          <t>August</t>
        </is>
      </c>
      <c r="D4550" t="inlineStr">
        <is>
          <t>Eco Planter</t>
        </is>
      </c>
      <c r="E4550" t="inlineStr">
        <is>
          <t>Home &amp; Garden</t>
        </is>
      </c>
      <c r="F4550" t="inlineStr">
        <is>
          <t>Maria Nowak</t>
        </is>
      </c>
      <c r="G4550" t="inlineStr">
        <is>
          <t>Poland</t>
        </is>
      </c>
      <c r="H4550" t="inlineStr">
        <is>
          <t>Retail Store</t>
        </is>
      </c>
      <c r="I4550" t="n">
        <v>4</v>
      </c>
      <c r="J4550" s="3" t="n">
        <v>718.04</v>
      </c>
      <c r="K4550" s="3" t="n">
        <v>0</v>
      </c>
      <c r="L4550" s="3" t="n">
        <v>718.04</v>
      </c>
      <c r="M4550" s="3" t="n">
        <v>449.64</v>
      </c>
      <c r="N4550" s="3" t="n">
        <v>268.4</v>
      </c>
      <c r="O4550">
        <f>TEXT(A4550,"yyyy-mm")</f>
        <v/>
      </c>
    </row>
    <row r="4551">
      <c r="A4551" s="2" t="n">
        <v>46235</v>
      </c>
      <c r="B4551" t="n">
        <v>2026</v>
      </c>
      <c r="C4551" t="inlineStr">
        <is>
          <t>August</t>
        </is>
      </c>
      <c r="D4551" t="inlineStr">
        <is>
          <t>Compact Sunscreen</t>
        </is>
      </c>
      <c r="E4551" t="inlineStr">
        <is>
          <t>Beauty &amp; Health</t>
        </is>
      </c>
      <c r="F4551" t="inlineStr">
        <is>
          <t>Maria Nowak</t>
        </is>
      </c>
      <c r="G4551" t="inlineStr">
        <is>
          <t>Poland</t>
        </is>
      </c>
      <c r="H4551" t="inlineStr">
        <is>
          <t>Retail Store</t>
        </is>
      </c>
      <c r="I4551" t="n">
        <v>2</v>
      </c>
      <c r="J4551" s="3" t="n">
        <v>623.72</v>
      </c>
      <c r="K4551" s="3" t="n">
        <v>0</v>
      </c>
      <c r="L4551" s="3" t="n">
        <v>623.72</v>
      </c>
      <c r="M4551" s="3" t="n">
        <v>355.32</v>
      </c>
      <c r="N4551" s="3" t="n">
        <v>268.4</v>
      </c>
      <c r="O4551">
        <f>TEXT(A4551,"yyyy-mm")</f>
        <v/>
      </c>
    </row>
    <row r="4552">
      <c r="A4552" s="2" t="n">
        <v>46236</v>
      </c>
      <c r="B4552" t="n">
        <v>2026</v>
      </c>
      <c r="C4552" t="inlineStr">
        <is>
          <t>August</t>
        </is>
      </c>
      <c r="D4552" t="inlineStr">
        <is>
          <t>Deluxe Puzzle</t>
        </is>
      </c>
      <c r="E4552" t="inlineStr">
        <is>
          <t>Toys &amp; Games</t>
        </is>
      </c>
      <c r="F4552" t="inlineStr">
        <is>
          <t>David Nowak</t>
        </is>
      </c>
      <c r="G4552" t="inlineStr">
        <is>
          <t>United States</t>
        </is>
      </c>
      <c r="H4552" t="inlineStr">
        <is>
          <t>Web Store</t>
        </is>
      </c>
      <c r="I4552" t="n">
        <v>2</v>
      </c>
      <c r="J4552" s="3" t="n">
        <v>436.28</v>
      </c>
      <c r="K4552" s="3" t="n">
        <v>21.81</v>
      </c>
      <c r="L4552" s="3" t="n">
        <v>414.47</v>
      </c>
      <c r="M4552" s="3" t="n">
        <v>222.34</v>
      </c>
      <c r="N4552" s="3" t="n">
        <v>192.13</v>
      </c>
      <c r="O4552">
        <f>TEXT(A4552,"yyyy-mm")</f>
        <v/>
      </c>
    </row>
    <row r="4553">
      <c r="A4553" s="2" t="n">
        <v>46236</v>
      </c>
      <c r="B4553" t="n">
        <v>2026</v>
      </c>
      <c r="C4553" t="inlineStr">
        <is>
          <t>August</t>
        </is>
      </c>
      <c r="D4553" t="inlineStr">
        <is>
          <t>Portable Bike Helmet</t>
        </is>
      </c>
      <c r="E4553" t="inlineStr">
        <is>
          <t>Sports &amp; Outdoors</t>
        </is>
      </c>
      <c r="F4553" t="inlineStr">
        <is>
          <t>David Nowak</t>
        </is>
      </c>
      <c r="G4553" t="inlineStr">
        <is>
          <t>United States</t>
        </is>
      </c>
      <c r="H4553" t="inlineStr">
        <is>
          <t>Web Store</t>
        </is>
      </c>
      <c r="I4553" t="n">
        <v>2</v>
      </c>
      <c r="J4553" s="3" t="n">
        <v>622.9400000000001</v>
      </c>
      <c r="K4553" s="3" t="n">
        <v>62.29</v>
      </c>
      <c r="L4553" s="3" t="n">
        <v>560.65</v>
      </c>
      <c r="M4553" s="3" t="n">
        <v>330.74</v>
      </c>
      <c r="N4553" s="3" t="n">
        <v>229.91</v>
      </c>
      <c r="O4553">
        <f>TEXT(A4553,"yyyy-mm")</f>
        <v/>
      </c>
    </row>
    <row r="4554">
      <c r="A4554" s="2" t="n">
        <v>46236</v>
      </c>
      <c r="B4554" t="n">
        <v>2026</v>
      </c>
      <c r="C4554" t="inlineStr">
        <is>
          <t>August</t>
        </is>
      </c>
      <c r="D4554" t="inlineStr">
        <is>
          <t>Premium Tent</t>
        </is>
      </c>
      <c r="E4554" t="inlineStr">
        <is>
          <t>Sports &amp; Outdoors</t>
        </is>
      </c>
      <c r="F4554" t="inlineStr">
        <is>
          <t>Sophie Smith</t>
        </is>
      </c>
      <c r="G4554" t="inlineStr">
        <is>
          <t>United Kingdom</t>
        </is>
      </c>
      <c r="H4554" t="inlineStr">
        <is>
          <t>Web Store</t>
        </is>
      </c>
      <c r="I4554" t="n">
        <v>1</v>
      </c>
      <c r="J4554" s="3" t="n">
        <v>262.56</v>
      </c>
      <c r="K4554" s="3" t="n">
        <v>13.13</v>
      </c>
      <c r="L4554" s="3" t="n">
        <v>249.43</v>
      </c>
      <c r="M4554" s="3" t="n">
        <v>165.31</v>
      </c>
      <c r="N4554" s="3" t="n">
        <v>84.12</v>
      </c>
      <c r="O4554">
        <f>TEXT(A4554,"yyyy-mm")</f>
        <v/>
      </c>
    </row>
    <row r="4555">
      <c r="A4555" s="2" t="n">
        <v>46236</v>
      </c>
      <c r="B4555" t="n">
        <v>2026</v>
      </c>
      <c r="C4555" t="inlineStr">
        <is>
          <t>August</t>
        </is>
      </c>
      <c r="D4555" t="inlineStr">
        <is>
          <t>Deluxe Puzzle</t>
        </is>
      </c>
      <c r="E4555" t="inlineStr">
        <is>
          <t>Toys &amp; Games</t>
        </is>
      </c>
      <c r="F4555" t="inlineStr">
        <is>
          <t>Sophie Smith</t>
        </is>
      </c>
      <c r="G4555" t="inlineStr">
        <is>
          <t>United Kingdom</t>
        </is>
      </c>
      <c r="H4555" t="inlineStr">
        <is>
          <t>Web Store</t>
        </is>
      </c>
      <c r="I4555" t="n">
        <v>5</v>
      </c>
      <c r="J4555" s="3" t="n">
        <v>1077.75</v>
      </c>
      <c r="K4555" s="3" t="n">
        <v>107.78</v>
      </c>
      <c r="L4555" s="3" t="n">
        <v>969.98</v>
      </c>
      <c r="M4555" s="3" t="n">
        <v>555.85</v>
      </c>
      <c r="N4555" s="3" t="n">
        <v>414.12</v>
      </c>
      <c r="O4555">
        <f>TEXT(A4555,"yyyy-mm")</f>
        <v/>
      </c>
    </row>
    <row r="4556">
      <c r="A4556" s="2" t="n">
        <v>46236</v>
      </c>
      <c r="B4556" t="n">
        <v>2026</v>
      </c>
      <c r="C4556" t="inlineStr">
        <is>
          <t>August</t>
        </is>
      </c>
      <c r="D4556" t="inlineStr">
        <is>
          <t>Deluxe Toolset</t>
        </is>
      </c>
      <c r="E4556" t="inlineStr">
        <is>
          <t>Home &amp; Garden</t>
        </is>
      </c>
      <c r="F4556" t="inlineStr">
        <is>
          <t>Sophie Smith</t>
        </is>
      </c>
      <c r="G4556" t="inlineStr">
        <is>
          <t>United Kingdom</t>
        </is>
      </c>
      <c r="H4556" t="inlineStr">
        <is>
          <t>Web Store</t>
        </is>
      </c>
      <c r="I4556" t="n">
        <v>4</v>
      </c>
      <c r="J4556" s="3" t="n">
        <v>276.68</v>
      </c>
      <c r="K4556" s="3" t="n">
        <v>27.67</v>
      </c>
      <c r="L4556" s="3" t="n">
        <v>249.01</v>
      </c>
      <c r="M4556" s="3" t="n">
        <v>190.84</v>
      </c>
      <c r="N4556" s="3" t="n">
        <v>58.17</v>
      </c>
      <c r="O4556">
        <f>TEXT(A4556,"yyyy-mm")</f>
        <v/>
      </c>
    </row>
    <row r="4557">
      <c r="A4557" s="2" t="n">
        <v>46236</v>
      </c>
      <c r="B4557" t="n">
        <v>2026</v>
      </c>
      <c r="C4557" t="inlineStr">
        <is>
          <t>August</t>
        </is>
      </c>
      <c r="D4557" t="inlineStr">
        <is>
          <t>Classic Atlas</t>
        </is>
      </c>
      <c r="E4557" t="inlineStr">
        <is>
          <t>Books</t>
        </is>
      </c>
      <c r="F4557" t="inlineStr">
        <is>
          <t>Sophie Smith</t>
        </is>
      </c>
      <c r="G4557" t="inlineStr">
        <is>
          <t>United Kingdom</t>
        </is>
      </c>
      <c r="H4557" t="inlineStr">
        <is>
          <t>Web Store</t>
        </is>
      </c>
      <c r="I4557" t="n">
        <v>5</v>
      </c>
      <c r="J4557" s="3" t="n">
        <v>316.8</v>
      </c>
      <c r="K4557" s="3" t="n">
        <v>15.84</v>
      </c>
      <c r="L4557" s="3" t="n">
        <v>300.96</v>
      </c>
      <c r="M4557" s="3" t="n">
        <v>172.95</v>
      </c>
      <c r="N4557" s="3" t="n">
        <v>128.01</v>
      </c>
      <c r="O4557">
        <f>TEXT(A4557,"yyyy-mm")</f>
        <v/>
      </c>
    </row>
    <row r="4558">
      <c r="A4558" s="2" t="n">
        <v>46237</v>
      </c>
      <c r="B4558" t="n">
        <v>2026</v>
      </c>
      <c r="C4558" t="inlineStr">
        <is>
          <t>August</t>
        </is>
      </c>
      <c r="D4558" t="inlineStr">
        <is>
          <t>Deluxe Puzzle</t>
        </is>
      </c>
      <c r="E4558" t="inlineStr">
        <is>
          <t>Toys &amp; Games</t>
        </is>
      </c>
      <c r="F4558" t="inlineStr">
        <is>
          <t>Peter Conti</t>
        </is>
      </c>
      <c r="G4558" t="inlineStr">
        <is>
          <t>Spain</t>
        </is>
      </c>
      <c r="H4558" t="inlineStr">
        <is>
          <t>Web Store</t>
        </is>
      </c>
      <c r="I4558" t="n">
        <v>4</v>
      </c>
      <c r="J4558" s="3" t="n">
        <v>829.12</v>
      </c>
      <c r="K4558" s="3" t="n">
        <v>0</v>
      </c>
      <c r="L4558" s="3" t="n">
        <v>829.12</v>
      </c>
      <c r="M4558" s="3" t="n">
        <v>444.68</v>
      </c>
      <c r="N4558" s="3" t="n">
        <v>384.44</v>
      </c>
      <c r="O4558">
        <f>TEXT(A4558,"yyyy-mm")</f>
        <v/>
      </c>
    </row>
    <row r="4559">
      <c r="A4559" s="2" t="n">
        <v>46237</v>
      </c>
      <c r="B4559" t="n">
        <v>2026</v>
      </c>
      <c r="C4559" t="inlineStr">
        <is>
          <t>August</t>
        </is>
      </c>
      <c r="D4559" t="inlineStr">
        <is>
          <t>Smart Camera</t>
        </is>
      </c>
      <c r="E4559" t="inlineStr">
        <is>
          <t>Electronics</t>
        </is>
      </c>
      <c r="F4559" t="inlineStr">
        <is>
          <t>Peter Conti</t>
        </is>
      </c>
      <c r="G4559" t="inlineStr">
        <is>
          <t>Spain</t>
        </is>
      </c>
      <c r="H4559" t="inlineStr">
        <is>
          <t>Web Store</t>
        </is>
      </c>
      <c r="I4559" t="n">
        <v>4</v>
      </c>
      <c r="J4559" s="3" t="n">
        <v>500.88</v>
      </c>
      <c r="K4559" s="3" t="n">
        <v>100.18</v>
      </c>
      <c r="L4559" s="3" t="n">
        <v>400.7</v>
      </c>
      <c r="M4559" s="3" t="n">
        <v>342.32</v>
      </c>
      <c r="N4559" s="3" t="n">
        <v>58.38</v>
      </c>
      <c r="O4559">
        <f>TEXT(A4559,"yyyy-mm")</f>
        <v/>
      </c>
    </row>
    <row r="4560">
      <c r="A4560" s="2" t="n">
        <v>46237</v>
      </c>
      <c r="B4560" t="n">
        <v>2026</v>
      </c>
      <c r="C4560" t="inlineStr">
        <is>
          <t>August</t>
        </is>
      </c>
      <c r="D4560" t="inlineStr">
        <is>
          <t>Compact Jacket</t>
        </is>
      </c>
      <c r="E4560" t="inlineStr">
        <is>
          <t>Clothing</t>
        </is>
      </c>
      <c r="F4560" t="inlineStr">
        <is>
          <t>Clara Kowalski</t>
        </is>
      </c>
      <c r="G4560" t="inlineStr">
        <is>
          <t>France</t>
        </is>
      </c>
      <c r="H4560" t="inlineStr">
        <is>
          <t>Retail Store</t>
        </is>
      </c>
      <c r="I4560" t="n">
        <v>3</v>
      </c>
      <c r="J4560" s="3" t="n">
        <v>108.03</v>
      </c>
      <c r="K4560" s="3" t="n">
        <v>16.2</v>
      </c>
      <c r="L4560" s="3" t="n">
        <v>91.83</v>
      </c>
      <c r="M4560" s="3" t="n">
        <v>61.2</v>
      </c>
      <c r="N4560" s="3" t="n">
        <v>30.63</v>
      </c>
      <c r="O4560">
        <f>TEXT(A4560,"yyyy-mm")</f>
        <v/>
      </c>
    </row>
    <row r="4561">
      <c r="A4561" s="2" t="n">
        <v>46237</v>
      </c>
      <c r="B4561" t="n">
        <v>2026</v>
      </c>
      <c r="C4561" t="inlineStr">
        <is>
          <t>August</t>
        </is>
      </c>
      <c r="D4561" t="inlineStr">
        <is>
          <t>Classic Atlas</t>
        </is>
      </c>
      <c r="E4561" t="inlineStr">
        <is>
          <t>Books</t>
        </is>
      </c>
      <c r="F4561" t="inlineStr">
        <is>
          <t>Clara Smith</t>
        </is>
      </c>
      <c r="G4561" t="inlineStr">
        <is>
          <t>France</t>
        </is>
      </c>
      <c r="H4561" t="inlineStr">
        <is>
          <t>Marketplace</t>
        </is>
      </c>
      <c r="I4561" t="n">
        <v>3</v>
      </c>
      <c r="J4561" s="3" t="n">
        <v>192.54</v>
      </c>
      <c r="K4561" s="3" t="n">
        <v>0</v>
      </c>
      <c r="L4561" s="3" t="n">
        <v>192.54</v>
      </c>
      <c r="M4561" s="3" t="n">
        <v>103.77</v>
      </c>
      <c r="N4561" s="3" t="n">
        <v>88.77</v>
      </c>
      <c r="O4561">
        <f>TEXT(A4561,"yyyy-mm")</f>
        <v/>
      </c>
    </row>
    <row r="4562">
      <c r="A4562" s="2" t="n">
        <v>46237</v>
      </c>
      <c r="B4562" t="n">
        <v>2026</v>
      </c>
      <c r="C4562" t="inlineStr">
        <is>
          <t>August</t>
        </is>
      </c>
      <c r="D4562" t="inlineStr">
        <is>
          <t>Essential Charger</t>
        </is>
      </c>
      <c r="E4562" t="inlineStr">
        <is>
          <t>Electronics</t>
        </is>
      </c>
      <c r="F4562" t="inlineStr">
        <is>
          <t>Clara Kowalski</t>
        </is>
      </c>
      <c r="G4562" t="inlineStr">
        <is>
          <t>France</t>
        </is>
      </c>
      <c r="H4562" t="inlineStr">
        <is>
          <t>Retail Store</t>
        </is>
      </c>
      <c r="I4562" t="n">
        <v>5</v>
      </c>
      <c r="J4562" s="3" t="n">
        <v>219</v>
      </c>
      <c r="K4562" s="3" t="n">
        <v>0</v>
      </c>
      <c r="L4562" s="3" t="n">
        <v>219</v>
      </c>
      <c r="M4562" s="3" t="n">
        <v>145.5</v>
      </c>
      <c r="N4562" s="3" t="n">
        <v>73.5</v>
      </c>
      <c r="O4562">
        <f>TEXT(A4562,"yyyy-mm")</f>
        <v/>
      </c>
    </row>
    <row r="4563">
      <c r="A4563" s="2" t="n">
        <v>46237</v>
      </c>
      <c r="B4563" t="n">
        <v>2026</v>
      </c>
      <c r="C4563" t="inlineStr">
        <is>
          <t>August</t>
        </is>
      </c>
      <c r="D4563" t="inlineStr">
        <is>
          <t>Smart Sweater</t>
        </is>
      </c>
      <c r="E4563" t="inlineStr">
        <is>
          <t>Clothing</t>
        </is>
      </c>
      <c r="F4563" t="inlineStr">
        <is>
          <t>Michael Weber</t>
        </is>
      </c>
      <c r="G4563" t="inlineStr">
        <is>
          <t>France</t>
        </is>
      </c>
      <c r="H4563" t="inlineStr">
        <is>
          <t>Mobile App</t>
        </is>
      </c>
      <c r="I4563" t="n">
        <v>3</v>
      </c>
      <c r="J4563" s="3" t="n">
        <v>445.89</v>
      </c>
      <c r="K4563" s="3" t="n">
        <v>66.88</v>
      </c>
      <c r="L4563" s="3" t="n">
        <v>379.01</v>
      </c>
      <c r="M4563" s="3" t="n">
        <v>232.05</v>
      </c>
      <c r="N4563" s="3" t="n">
        <v>146.96</v>
      </c>
      <c r="O4563">
        <f>TEXT(A4563,"yyyy-mm")</f>
        <v/>
      </c>
    </row>
    <row r="4564">
      <c r="A4564" s="2" t="n">
        <v>46237</v>
      </c>
      <c r="B4564" t="n">
        <v>2026</v>
      </c>
      <c r="C4564" t="inlineStr">
        <is>
          <t>August</t>
        </is>
      </c>
      <c r="D4564" t="inlineStr">
        <is>
          <t>Eco Tent</t>
        </is>
      </c>
      <c r="E4564" t="inlineStr">
        <is>
          <t>Sports &amp; Outdoors</t>
        </is>
      </c>
      <c r="F4564" t="inlineStr">
        <is>
          <t>Michael Weber</t>
        </is>
      </c>
      <c r="G4564" t="inlineStr">
        <is>
          <t>France</t>
        </is>
      </c>
      <c r="H4564" t="inlineStr">
        <is>
          <t>Mobile App</t>
        </is>
      </c>
      <c r="I4564" t="n">
        <v>3</v>
      </c>
      <c r="J4564" s="3" t="n">
        <v>752.88</v>
      </c>
      <c r="K4564" s="3" t="n">
        <v>0</v>
      </c>
      <c r="L4564" s="3" t="n">
        <v>752.88</v>
      </c>
      <c r="M4564" s="3" t="n">
        <v>405.09</v>
      </c>
      <c r="N4564" s="3" t="n">
        <v>347.79</v>
      </c>
      <c r="O4564">
        <f>TEXT(A4564,"yyyy-mm")</f>
        <v/>
      </c>
    </row>
    <row r="4565">
      <c r="A4565" s="2" t="n">
        <v>46238</v>
      </c>
      <c r="B4565" t="n">
        <v>2026</v>
      </c>
      <c r="C4565" t="inlineStr">
        <is>
          <t>August</t>
        </is>
      </c>
      <c r="D4565" t="inlineStr">
        <is>
          <t>Deluxe Smartwatch</t>
        </is>
      </c>
      <c r="E4565" t="inlineStr">
        <is>
          <t>Electronics</t>
        </is>
      </c>
      <c r="F4565" t="inlineStr">
        <is>
          <t>Olivia Weber</t>
        </is>
      </c>
      <c r="G4565" t="inlineStr">
        <is>
          <t>Poland</t>
        </is>
      </c>
      <c r="H4565" t="inlineStr">
        <is>
          <t>Retail Store</t>
        </is>
      </c>
      <c r="I4565" t="n">
        <v>4</v>
      </c>
      <c r="J4565" s="3" t="n">
        <v>640.84</v>
      </c>
      <c r="K4565" s="3" t="n">
        <v>0</v>
      </c>
      <c r="L4565" s="3" t="n">
        <v>640.84</v>
      </c>
      <c r="M4565" s="3" t="n">
        <v>490.88</v>
      </c>
      <c r="N4565" s="3" t="n">
        <v>149.96</v>
      </c>
      <c r="O4565">
        <f>TEXT(A4565,"yyyy-mm")</f>
        <v/>
      </c>
    </row>
    <row r="4566">
      <c r="A4566" s="2" t="n">
        <v>46238</v>
      </c>
      <c r="B4566" t="n">
        <v>2026</v>
      </c>
      <c r="C4566" t="inlineStr">
        <is>
          <t>August</t>
        </is>
      </c>
      <c r="D4566" t="inlineStr">
        <is>
          <t>Deluxe Toothbrush</t>
        </is>
      </c>
      <c r="E4566" t="inlineStr">
        <is>
          <t>Beauty &amp; Health</t>
        </is>
      </c>
      <c r="F4566" t="inlineStr">
        <is>
          <t>Olivia Bianchi</t>
        </is>
      </c>
      <c r="G4566" t="inlineStr">
        <is>
          <t>Spain</t>
        </is>
      </c>
      <c r="H4566" t="inlineStr">
        <is>
          <t>Marketplace</t>
        </is>
      </c>
      <c r="I4566" t="n">
        <v>5</v>
      </c>
      <c r="J4566" s="3" t="n">
        <v>1661.55</v>
      </c>
      <c r="K4566" s="3" t="n">
        <v>332.31</v>
      </c>
      <c r="L4566" s="3" t="n">
        <v>1329.24</v>
      </c>
      <c r="M4566" s="3" t="n">
        <v>872.85</v>
      </c>
      <c r="N4566" s="3" t="n">
        <v>456.39</v>
      </c>
      <c r="O4566">
        <f>TEXT(A4566,"yyyy-mm")</f>
        <v/>
      </c>
    </row>
    <row r="4567">
      <c r="A4567" s="2" t="n">
        <v>46238</v>
      </c>
      <c r="B4567" t="n">
        <v>2026</v>
      </c>
      <c r="C4567" t="inlineStr">
        <is>
          <t>August</t>
        </is>
      </c>
      <c r="D4567" t="inlineStr">
        <is>
          <t>Essential Jacket</t>
        </is>
      </c>
      <c r="E4567" t="inlineStr">
        <is>
          <t>Clothing</t>
        </is>
      </c>
      <c r="F4567" t="inlineStr">
        <is>
          <t>Olivia Bianchi</t>
        </is>
      </c>
      <c r="G4567" t="inlineStr">
        <is>
          <t>Spain</t>
        </is>
      </c>
      <c r="H4567" t="inlineStr">
        <is>
          <t>Marketplace</t>
        </is>
      </c>
      <c r="I4567" t="n">
        <v>2</v>
      </c>
      <c r="J4567" s="3" t="n">
        <v>277.52</v>
      </c>
      <c r="K4567" s="3" t="n">
        <v>27.75</v>
      </c>
      <c r="L4567" s="3" t="n">
        <v>249.77</v>
      </c>
      <c r="M4567" s="3" t="n">
        <v>170.7</v>
      </c>
      <c r="N4567" s="3" t="n">
        <v>79.06999999999999</v>
      </c>
      <c r="O4567">
        <f>TEXT(A4567,"yyyy-mm")</f>
        <v/>
      </c>
    </row>
    <row r="4568">
      <c r="A4568" s="2" t="n">
        <v>46238</v>
      </c>
      <c r="B4568" t="n">
        <v>2026</v>
      </c>
      <c r="C4568" t="inlineStr">
        <is>
          <t>August</t>
        </is>
      </c>
      <c r="D4568" t="inlineStr">
        <is>
          <t>Premium Tent</t>
        </is>
      </c>
      <c r="E4568" t="inlineStr">
        <is>
          <t>Sports &amp; Outdoors</t>
        </is>
      </c>
      <c r="F4568" t="inlineStr">
        <is>
          <t>Olivia Bianchi</t>
        </is>
      </c>
      <c r="G4568" t="inlineStr">
        <is>
          <t>Spain</t>
        </is>
      </c>
      <c r="H4568" t="inlineStr">
        <is>
          <t>Marketplace</t>
        </is>
      </c>
      <c r="I4568" t="n">
        <v>3</v>
      </c>
      <c r="J4568" s="3" t="n">
        <v>423.3</v>
      </c>
      <c r="K4568" s="3" t="n">
        <v>21.16</v>
      </c>
      <c r="L4568" s="3" t="n">
        <v>402.13</v>
      </c>
      <c r="M4568" s="3" t="n">
        <v>289.2</v>
      </c>
      <c r="N4568" s="3" t="n">
        <v>112.93</v>
      </c>
      <c r="O4568">
        <f>TEXT(A4568,"yyyy-mm")</f>
        <v/>
      </c>
    </row>
    <row r="4569">
      <c r="A4569" s="2" t="n">
        <v>46239</v>
      </c>
      <c r="B4569" t="n">
        <v>2026</v>
      </c>
      <c r="C4569" t="inlineStr">
        <is>
          <t>August</t>
        </is>
      </c>
      <c r="D4569" t="inlineStr">
        <is>
          <t>Deluxe Toolset</t>
        </is>
      </c>
      <c r="E4569" t="inlineStr">
        <is>
          <t>Home &amp; Garden</t>
        </is>
      </c>
      <c r="F4569" t="inlineStr">
        <is>
          <t>Emily Dubois</t>
        </is>
      </c>
      <c r="G4569" t="inlineStr">
        <is>
          <t>Italy</t>
        </is>
      </c>
      <c r="H4569" t="inlineStr">
        <is>
          <t>Retail Store</t>
        </is>
      </c>
      <c r="I4569" t="n">
        <v>3</v>
      </c>
      <c r="J4569" s="3" t="n">
        <v>199.29</v>
      </c>
      <c r="K4569" s="3" t="n">
        <v>29.89</v>
      </c>
      <c r="L4569" s="3" t="n">
        <v>169.4</v>
      </c>
      <c r="M4569" s="3" t="n">
        <v>143.13</v>
      </c>
      <c r="N4569" s="3" t="n">
        <v>26.27</v>
      </c>
      <c r="O4569">
        <f>TEXT(A4569,"yyyy-mm")</f>
        <v/>
      </c>
    </row>
    <row r="4570">
      <c r="A4570" s="2" t="n">
        <v>46239</v>
      </c>
      <c r="B4570" t="n">
        <v>2026</v>
      </c>
      <c r="C4570" t="inlineStr">
        <is>
          <t>August</t>
        </is>
      </c>
      <c r="D4570" t="inlineStr">
        <is>
          <t>Essential Toolset</t>
        </is>
      </c>
      <c r="E4570" t="inlineStr">
        <is>
          <t>Home &amp; Garden</t>
        </is>
      </c>
      <c r="F4570" t="inlineStr">
        <is>
          <t>Emily Dubois</t>
        </is>
      </c>
      <c r="G4570" t="inlineStr">
        <is>
          <t>Italy</t>
        </is>
      </c>
      <c r="H4570" t="inlineStr">
        <is>
          <t>Retail Store</t>
        </is>
      </c>
      <c r="I4570" t="n">
        <v>4</v>
      </c>
      <c r="J4570" s="3" t="n">
        <v>830.36</v>
      </c>
      <c r="K4570" s="3" t="n">
        <v>0</v>
      </c>
      <c r="L4570" s="3" t="n">
        <v>830.36</v>
      </c>
      <c r="M4570" s="3" t="n">
        <v>602.12</v>
      </c>
      <c r="N4570" s="3" t="n">
        <v>228.24</v>
      </c>
      <c r="O4570">
        <f>TEXT(A4570,"yyyy-mm")</f>
        <v/>
      </c>
    </row>
    <row r="4571">
      <c r="A4571" s="2" t="n">
        <v>46239</v>
      </c>
      <c r="B4571" t="n">
        <v>2026</v>
      </c>
      <c r="C4571" t="inlineStr">
        <is>
          <t>August</t>
        </is>
      </c>
      <c r="D4571" t="inlineStr">
        <is>
          <t>Smart Jeans</t>
        </is>
      </c>
      <c r="E4571" t="inlineStr">
        <is>
          <t>Clothing</t>
        </is>
      </c>
      <c r="F4571" t="inlineStr">
        <is>
          <t>Emily Dubois</t>
        </is>
      </c>
      <c r="G4571" t="inlineStr">
        <is>
          <t>Italy</t>
        </is>
      </c>
      <c r="H4571" t="inlineStr">
        <is>
          <t>Retail Store</t>
        </is>
      </c>
      <c r="I4571" t="n">
        <v>4</v>
      </c>
      <c r="J4571" s="3" t="n">
        <v>1148.24</v>
      </c>
      <c r="K4571" s="3" t="n">
        <v>0</v>
      </c>
      <c r="L4571" s="3" t="n">
        <v>1148.24</v>
      </c>
      <c r="M4571" s="3" t="n">
        <v>774.5599999999999</v>
      </c>
      <c r="N4571" s="3" t="n">
        <v>373.68</v>
      </c>
      <c r="O4571">
        <f>TEXT(A4571,"yyyy-mm")</f>
        <v/>
      </c>
    </row>
    <row r="4572">
      <c r="A4572" s="2" t="n">
        <v>46239</v>
      </c>
      <c r="B4572" t="n">
        <v>2026</v>
      </c>
      <c r="C4572" t="inlineStr">
        <is>
          <t>August</t>
        </is>
      </c>
      <c r="D4572" t="inlineStr">
        <is>
          <t>Deluxe Headphones</t>
        </is>
      </c>
      <c r="E4572" t="inlineStr">
        <is>
          <t>Electronics</t>
        </is>
      </c>
      <c r="F4572" t="inlineStr">
        <is>
          <t>Emily Dubois</t>
        </is>
      </c>
      <c r="G4572" t="inlineStr">
        <is>
          <t>Italy</t>
        </is>
      </c>
      <c r="H4572" t="inlineStr">
        <is>
          <t>Retail Store</t>
        </is>
      </c>
      <c r="I4572" t="n">
        <v>2</v>
      </c>
      <c r="J4572" s="3" t="n">
        <v>139.3</v>
      </c>
      <c r="K4572" s="3" t="n">
        <v>20.9</v>
      </c>
      <c r="L4572" s="3" t="n">
        <v>118.41</v>
      </c>
      <c r="M4572" s="3" t="n">
        <v>105</v>
      </c>
      <c r="N4572" s="3" t="n">
        <v>13.41</v>
      </c>
      <c r="O4572">
        <f>TEXT(A4572,"yyyy-mm")</f>
        <v/>
      </c>
    </row>
    <row r="4573">
      <c r="A4573" s="2" t="n">
        <v>46239</v>
      </c>
      <c r="B4573" t="n">
        <v>2026</v>
      </c>
      <c r="C4573" t="inlineStr">
        <is>
          <t>August</t>
        </is>
      </c>
      <c r="D4573" t="inlineStr">
        <is>
          <t>Eco Tent</t>
        </is>
      </c>
      <c r="E4573" t="inlineStr">
        <is>
          <t>Sports &amp; Outdoors</t>
        </is>
      </c>
      <c r="F4573" t="inlineStr">
        <is>
          <t>Maria Moreau</t>
        </is>
      </c>
      <c r="G4573" t="inlineStr">
        <is>
          <t>United Kingdom</t>
        </is>
      </c>
      <c r="H4573" t="inlineStr">
        <is>
          <t>Retail Store</t>
        </is>
      </c>
      <c r="I4573" t="n">
        <v>4</v>
      </c>
      <c r="J4573" s="3" t="n">
        <v>1009.6</v>
      </c>
      <c r="K4573" s="3" t="n">
        <v>0</v>
      </c>
      <c r="L4573" s="3" t="n">
        <v>1009.6</v>
      </c>
      <c r="M4573" s="3" t="n">
        <v>540.12</v>
      </c>
      <c r="N4573" s="3" t="n">
        <v>469.48</v>
      </c>
      <c r="O4573">
        <f>TEXT(A4573,"yyyy-mm")</f>
        <v/>
      </c>
    </row>
    <row r="4574">
      <c r="A4574" s="2" t="n">
        <v>46239</v>
      </c>
      <c r="B4574" t="n">
        <v>2026</v>
      </c>
      <c r="C4574" t="inlineStr">
        <is>
          <t>August</t>
        </is>
      </c>
      <c r="D4574" t="inlineStr">
        <is>
          <t>Deluxe Cookbook</t>
        </is>
      </c>
      <c r="E4574" t="inlineStr">
        <is>
          <t>Books</t>
        </is>
      </c>
      <c r="F4574" t="inlineStr">
        <is>
          <t>Sophie Conti</t>
        </is>
      </c>
      <c r="G4574" t="inlineStr">
        <is>
          <t>Netherlands</t>
        </is>
      </c>
      <c r="H4574" t="inlineStr">
        <is>
          <t>Web Store</t>
        </is>
      </c>
      <c r="I4574" t="n">
        <v>5</v>
      </c>
      <c r="J4574" s="3" t="n">
        <v>677.2</v>
      </c>
      <c r="K4574" s="3" t="n">
        <v>0</v>
      </c>
      <c r="L4574" s="3" t="n">
        <v>677.2</v>
      </c>
      <c r="M4574" s="3" t="n">
        <v>426.35</v>
      </c>
      <c r="N4574" s="3" t="n">
        <v>250.85</v>
      </c>
      <c r="O4574">
        <f>TEXT(A4574,"yyyy-mm")</f>
        <v/>
      </c>
    </row>
    <row r="4575">
      <c r="A4575" s="2" t="n">
        <v>46239</v>
      </c>
      <c r="B4575" t="n">
        <v>2026</v>
      </c>
      <c r="C4575" t="inlineStr">
        <is>
          <t>August</t>
        </is>
      </c>
      <c r="D4575" t="inlineStr">
        <is>
          <t>Essential Planter</t>
        </is>
      </c>
      <c r="E4575" t="inlineStr">
        <is>
          <t>Home &amp; Garden</t>
        </is>
      </c>
      <c r="F4575" t="inlineStr">
        <is>
          <t>Sophie Conti</t>
        </is>
      </c>
      <c r="G4575" t="inlineStr">
        <is>
          <t>Netherlands</t>
        </is>
      </c>
      <c r="H4575" t="inlineStr">
        <is>
          <t>Web Store</t>
        </is>
      </c>
      <c r="I4575" t="n">
        <v>1</v>
      </c>
      <c r="J4575" s="3" t="n">
        <v>25.31</v>
      </c>
      <c r="K4575" s="3" t="n">
        <v>1.27</v>
      </c>
      <c r="L4575" s="3" t="n">
        <v>24.04</v>
      </c>
      <c r="M4575" s="3" t="n">
        <v>19.64</v>
      </c>
      <c r="N4575" s="3" t="n">
        <v>4.4</v>
      </c>
      <c r="O4575">
        <f>TEXT(A4575,"yyyy-mm")</f>
        <v/>
      </c>
    </row>
    <row r="4576">
      <c r="A4576" s="2" t="n">
        <v>46240</v>
      </c>
      <c r="B4576" t="n">
        <v>2026</v>
      </c>
      <c r="C4576" t="inlineStr">
        <is>
          <t>August</t>
        </is>
      </c>
      <c r="D4576" t="inlineStr">
        <is>
          <t>Smart Tea Set</t>
        </is>
      </c>
      <c r="E4576" t="inlineStr">
        <is>
          <t>Grocery</t>
        </is>
      </c>
      <c r="F4576" t="inlineStr">
        <is>
          <t>Sophie Dubois</t>
        </is>
      </c>
      <c r="G4576" t="inlineStr">
        <is>
          <t>United Kingdom</t>
        </is>
      </c>
      <c r="H4576" t="inlineStr">
        <is>
          <t>Marketplace</t>
        </is>
      </c>
      <c r="I4576" t="n">
        <v>1</v>
      </c>
      <c r="J4576" s="3" t="n">
        <v>91.09</v>
      </c>
      <c r="K4576" s="3" t="n">
        <v>0</v>
      </c>
      <c r="L4576" s="3" t="n">
        <v>91.09</v>
      </c>
      <c r="M4576" s="3" t="n">
        <v>61.8</v>
      </c>
      <c r="N4576" s="3" t="n">
        <v>29.29</v>
      </c>
      <c r="O4576">
        <f>TEXT(A4576,"yyyy-mm")</f>
        <v/>
      </c>
    </row>
    <row r="4577">
      <c r="A4577" s="2" t="n">
        <v>46240</v>
      </c>
      <c r="B4577" t="n">
        <v>2026</v>
      </c>
      <c r="C4577" t="inlineStr">
        <is>
          <t>August</t>
        </is>
      </c>
      <c r="D4577" t="inlineStr">
        <is>
          <t>Premium Water Bottle</t>
        </is>
      </c>
      <c r="E4577" t="inlineStr">
        <is>
          <t>Sports &amp; Outdoors</t>
        </is>
      </c>
      <c r="F4577" t="inlineStr">
        <is>
          <t>Sophie Dubois</t>
        </is>
      </c>
      <c r="G4577" t="inlineStr">
        <is>
          <t>United Kingdom</t>
        </is>
      </c>
      <c r="H4577" t="inlineStr">
        <is>
          <t>Marketplace</t>
        </is>
      </c>
      <c r="I4577" t="n">
        <v>2</v>
      </c>
      <c r="J4577" s="3" t="n">
        <v>59.4</v>
      </c>
      <c r="K4577" s="3" t="n">
        <v>5.94</v>
      </c>
      <c r="L4577" s="3" t="n">
        <v>53.46</v>
      </c>
      <c r="M4577" s="3" t="n">
        <v>33.26</v>
      </c>
      <c r="N4577" s="3" t="n">
        <v>20.2</v>
      </c>
      <c r="O4577">
        <f>TEXT(A4577,"yyyy-mm")</f>
        <v/>
      </c>
    </row>
    <row r="4578">
      <c r="A4578" s="2" t="n">
        <v>46240</v>
      </c>
      <c r="B4578" t="n">
        <v>2026</v>
      </c>
      <c r="C4578" t="inlineStr">
        <is>
          <t>August</t>
        </is>
      </c>
      <c r="D4578" t="inlineStr">
        <is>
          <t>Premium Rug</t>
        </is>
      </c>
      <c r="E4578" t="inlineStr">
        <is>
          <t>Home &amp; Garden</t>
        </is>
      </c>
      <c r="F4578" t="inlineStr">
        <is>
          <t>Sophie Dubois</t>
        </is>
      </c>
      <c r="G4578" t="inlineStr">
        <is>
          <t>United Kingdom</t>
        </is>
      </c>
      <c r="H4578" t="inlineStr">
        <is>
          <t>Marketplace</t>
        </is>
      </c>
      <c r="I4578" t="n">
        <v>5</v>
      </c>
      <c r="J4578" s="3" t="n">
        <v>944.55</v>
      </c>
      <c r="K4578" s="3" t="n">
        <v>141.68</v>
      </c>
      <c r="L4578" s="3" t="n">
        <v>802.87</v>
      </c>
      <c r="M4578" s="3" t="n">
        <v>555.95</v>
      </c>
      <c r="N4578" s="3" t="n">
        <v>246.92</v>
      </c>
      <c r="O4578">
        <f>TEXT(A4578,"yyyy-mm")</f>
        <v/>
      </c>
    </row>
    <row r="4579">
      <c r="A4579" s="2" t="n">
        <v>46240</v>
      </c>
      <c r="B4579" t="n">
        <v>2026</v>
      </c>
      <c r="C4579" t="inlineStr">
        <is>
          <t>August</t>
        </is>
      </c>
      <c r="D4579" t="inlineStr">
        <is>
          <t>Ultra Backpack</t>
        </is>
      </c>
      <c r="E4579" t="inlineStr">
        <is>
          <t>Sports &amp; Outdoors</t>
        </is>
      </c>
      <c r="F4579" t="inlineStr">
        <is>
          <t>Sophie Dubois</t>
        </is>
      </c>
      <c r="G4579" t="inlineStr">
        <is>
          <t>United Kingdom</t>
        </is>
      </c>
      <c r="H4579" t="inlineStr">
        <is>
          <t>Marketplace</t>
        </is>
      </c>
      <c r="I4579" t="n">
        <v>1</v>
      </c>
      <c r="J4579" s="3" t="n">
        <v>304.17</v>
      </c>
      <c r="K4579" s="3" t="n">
        <v>60.83</v>
      </c>
      <c r="L4579" s="3" t="n">
        <v>243.34</v>
      </c>
      <c r="M4579" s="3" t="n">
        <v>173.69</v>
      </c>
      <c r="N4579" s="3" t="n">
        <v>69.65000000000001</v>
      </c>
      <c r="O4579">
        <f>TEXT(A4579,"yyyy-mm")</f>
        <v/>
      </c>
    </row>
    <row r="4580">
      <c r="A4580" s="2" t="n">
        <v>46240</v>
      </c>
      <c r="B4580" t="n">
        <v>2026</v>
      </c>
      <c r="C4580" t="inlineStr">
        <is>
          <t>August</t>
        </is>
      </c>
      <c r="D4580" t="inlineStr">
        <is>
          <t>Classic Charger</t>
        </is>
      </c>
      <c r="E4580" t="inlineStr">
        <is>
          <t>Electronics</t>
        </is>
      </c>
      <c r="F4580" t="inlineStr">
        <is>
          <t>Julia Schmidt</t>
        </is>
      </c>
      <c r="G4580" t="inlineStr">
        <is>
          <t>France</t>
        </is>
      </c>
      <c r="H4580" t="inlineStr">
        <is>
          <t>Mobile App</t>
        </is>
      </c>
      <c r="I4580" t="n">
        <v>1</v>
      </c>
      <c r="J4580" s="3" t="n">
        <v>96.64</v>
      </c>
      <c r="K4580" s="3" t="n">
        <v>4.83</v>
      </c>
      <c r="L4580" s="3" t="n">
        <v>91.81</v>
      </c>
      <c r="M4580" s="3" t="n">
        <v>62.21</v>
      </c>
      <c r="N4580" s="3" t="n">
        <v>29.6</v>
      </c>
      <c r="O4580">
        <f>TEXT(A4580,"yyyy-mm")</f>
        <v/>
      </c>
    </row>
    <row r="4581">
      <c r="A4581" s="2" t="n">
        <v>46240</v>
      </c>
      <c r="B4581" t="n">
        <v>2026</v>
      </c>
      <c r="C4581" t="inlineStr">
        <is>
          <t>August</t>
        </is>
      </c>
      <c r="D4581" t="inlineStr">
        <is>
          <t>Ultra Rug</t>
        </is>
      </c>
      <c r="E4581" t="inlineStr">
        <is>
          <t>Home &amp; Garden</t>
        </is>
      </c>
      <c r="F4581" t="inlineStr">
        <is>
          <t>Clara Johnson</t>
        </is>
      </c>
      <c r="G4581" t="inlineStr">
        <is>
          <t>United Kingdom</t>
        </is>
      </c>
      <c r="H4581" t="inlineStr">
        <is>
          <t>Mobile App</t>
        </is>
      </c>
      <c r="I4581" t="n">
        <v>1</v>
      </c>
      <c r="J4581" s="3" t="n">
        <v>50.47</v>
      </c>
      <c r="K4581" s="3" t="n">
        <v>5.05</v>
      </c>
      <c r="L4581" s="3" t="n">
        <v>45.42</v>
      </c>
      <c r="M4581" s="3" t="n">
        <v>32.91</v>
      </c>
      <c r="N4581" s="3" t="n">
        <v>12.51</v>
      </c>
      <c r="O4581">
        <f>TEXT(A4581,"yyyy-mm")</f>
        <v/>
      </c>
    </row>
    <row r="4582">
      <c r="A4582" s="2" t="n">
        <v>46240</v>
      </c>
      <c r="B4582" t="n">
        <v>2026</v>
      </c>
      <c r="C4582" t="inlineStr">
        <is>
          <t>August</t>
        </is>
      </c>
      <c r="D4582" t="inlineStr">
        <is>
          <t>Essential Jacket</t>
        </is>
      </c>
      <c r="E4582" t="inlineStr">
        <is>
          <t>Clothing</t>
        </is>
      </c>
      <c r="F4582" t="inlineStr">
        <is>
          <t>Clara Johnson</t>
        </is>
      </c>
      <c r="G4582" t="inlineStr">
        <is>
          <t>United Kingdom</t>
        </is>
      </c>
      <c r="H4582" t="inlineStr">
        <is>
          <t>Mobile App</t>
        </is>
      </c>
      <c r="I4582" t="n">
        <v>3</v>
      </c>
      <c r="J4582" s="3" t="n">
        <v>420.69</v>
      </c>
      <c r="K4582" s="3" t="n">
        <v>21.03</v>
      </c>
      <c r="L4582" s="3" t="n">
        <v>399.66</v>
      </c>
      <c r="M4582" s="3" t="n">
        <v>256.05</v>
      </c>
      <c r="N4582" s="3" t="n">
        <v>143.61</v>
      </c>
      <c r="O4582">
        <f>TEXT(A4582,"yyyy-mm")</f>
        <v/>
      </c>
    </row>
    <row r="4583">
      <c r="A4583" s="2" t="n">
        <v>46240</v>
      </c>
      <c r="B4583" t="n">
        <v>2026</v>
      </c>
      <c r="C4583" t="inlineStr">
        <is>
          <t>August</t>
        </is>
      </c>
      <c r="D4583" t="inlineStr">
        <is>
          <t>Portable Notebook</t>
        </is>
      </c>
      <c r="E4583" t="inlineStr">
        <is>
          <t>Books</t>
        </is>
      </c>
      <c r="F4583" t="inlineStr">
        <is>
          <t>Clara Johnson</t>
        </is>
      </c>
      <c r="G4583" t="inlineStr">
        <is>
          <t>United Kingdom</t>
        </is>
      </c>
      <c r="H4583" t="inlineStr">
        <is>
          <t>Mobile App</t>
        </is>
      </c>
      <c r="I4583" t="n">
        <v>1</v>
      </c>
      <c r="J4583" s="3" t="n">
        <v>125.37</v>
      </c>
      <c r="K4583" s="3" t="n">
        <v>18.81</v>
      </c>
      <c r="L4583" s="3" t="n">
        <v>106.56</v>
      </c>
      <c r="M4583" s="3" t="n">
        <v>71.28</v>
      </c>
      <c r="N4583" s="3" t="n">
        <v>35.28</v>
      </c>
      <c r="O4583">
        <f>TEXT(A4583,"yyyy-mm")</f>
        <v/>
      </c>
    </row>
    <row r="4584">
      <c r="A4584" s="2" t="n">
        <v>46240</v>
      </c>
      <c r="B4584" t="n">
        <v>2026</v>
      </c>
      <c r="C4584" t="inlineStr">
        <is>
          <t>August</t>
        </is>
      </c>
      <c r="D4584" t="inlineStr">
        <is>
          <t>Ultra Vitamins</t>
        </is>
      </c>
      <c r="E4584" t="inlineStr">
        <is>
          <t>Beauty &amp; Health</t>
        </is>
      </c>
      <c r="F4584" t="inlineStr">
        <is>
          <t>Clara Johnson</t>
        </is>
      </c>
      <c r="G4584" t="inlineStr">
        <is>
          <t>United Kingdom</t>
        </is>
      </c>
      <c r="H4584" t="inlineStr">
        <is>
          <t>Mobile App</t>
        </is>
      </c>
      <c r="I4584" t="n">
        <v>5</v>
      </c>
      <c r="J4584" s="3" t="n">
        <v>1076.8</v>
      </c>
      <c r="K4584" s="3" t="n">
        <v>107.68</v>
      </c>
      <c r="L4584" s="3" t="n">
        <v>969.12</v>
      </c>
      <c r="M4584" s="3" t="n">
        <v>630.5</v>
      </c>
      <c r="N4584" s="3" t="n">
        <v>338.62</v>
      </c>
      <c r="O4584">
        <f>TEXT(A4584,"yyyy-mm")</f>
        <v/>
      </c>
    </row>
    <row r="4585">
      <c r="A4585" s="2" t="n">
        <v>46241</v>
      </c>
      <c r="B4585" t="n">
        <v>2026</v>
      </c>
      <c r="C4585" t="inlineStr">
        <is>
          <t>August</t>
        </is>
      </c>
      <c r="D4585" t="inlineStr">
        <is>
          <t>Eco Tent</t>
        </is>
      </c>
      <c r="E4585" t="inlineStr">
        <is>
          <t>Sports &amp; Outdoors</t>
        </is>
      </c>
      <c r="F4585" t="inlineStr">
        <is>
          <t>Mark Wilson</t>
        </is>
      </c>
      <c r="G4585" t="inlineStr">
        <is>
          <t>Italy</t>
        </is>
      </c>
      <c r="H4585" t="inlineStr">
        <is>
          <t>Retail Store</t>
        </is>
      </c>
      <c r="I4585" t="n">
        <v>2</v>
      </c>
      <c r="J4585" s="3" t="n">
        <v>472.76</v>
      </c>
      <c r="K4585" s="3" t="n">
        <v>0</v>
      </c>
      <c r="L4585" s="3" t="n">
        <v>472.76</v>
      </c>
      <c r="M4585" s="3" t="n">
        <v>270.06</v>
      </c>
      <c r="N4585" s="3" t="n">
        <v>202.7</v>
      </c>
      <c r="O4585">
        <f>TEXT(A4585,"yyyy-mm")</f>
        <v/>
      </c>
    </row>
    <row r="4586">
      <c r="A4586" s="2" t="n">
        <v>46241</v>
      </c>
      <c r="B4586" t="n">
        <v>2026</v>
      </c>
      <c r="C4586" t="inlineStr">
        <is>
          <t>August</t>
        </is>
      </c>
      <c r="D4586" t="inlineStr">
        <is>
          <t>Deluxe Notebook</t>
        </is>
      </c>
      <c r="E4586" t="inlineStr">
        <is>
          <t>Books</t>
        </is>
      </c>
      <c r="F4586" t="inlineStr">
        <is>
          <t>Daniel Wilson</t>
        </is>
      </c>
      <c r="G4586" t="inlineStr">
        <is>
          <t>Italy</t>
        </is>
      </c>
      <c r="H4586" t="inlineStr">
        <is>
          <t>Web Store</t>
        </is>
      </c>
      <c r="I4586" t="n">
        <v>1</v>
      </c>
      <c r="J4586" s="3" t="n">
        <v>221.63</v>
      </c>
      <c r="K4586" s="3" t="n">
        <v>11.08</v>
      </c>
      <c r="L4586" s="3" t="n">
        <v>210.55</v>
      </c>
      <c r="M4586" s="3" t="n">
        <v>150.76</v>
      </c>
      <c r="N4586" s="3" t="n">
        <v>59.79</v>
      </c>
      <c r="O4586">
        <f>TEXT(A4586,"yyyy-mm")</f>
        <v/>
      </c>
    </row>
    <row r="4587">
      <c r="A4587" s="2" t="n">
        <v>46241</v>
      </c>
      <c r="B4587" t="n">
        <v>2026</v>
      </c>
      <c r="C4587" t="inlineStr">
        <is>
          <t>August</t>
        </is>
      </c>
      <c r="D4587" t="inlineStr">
        <is>
          <t>Smart Puzzle</t>
        </is>
      </c>
      <c r="E4587" t="inlineStr">
        <is>
          <t>Toys &amp; Games</t>
        </is>
      </c>
      <c r="F4587" t="inlineStr">
        <is>
          <t>Daniel Wilson</t>
        </is>
      </c>
      <c r="G4587" t="inlineStr">
        <is>
          <t>Italy</t>
        </is>
      </c>
      <c r="H4587" t="inlineStr">
        <is>
          <t>Web Store</t>
        </is>
      </c>
      <c r="I4587" t="n">
        <v>1</v>
      </c>
      <c r="J4587" s="3" t="n">
        <v>277.07</v>
      </c>
      <c r="K4587" s="3" t="n">
        <v>41.56</v>
      </c>
      <c r="L4587" s="3" t="n">
        <v>235.51</v>
      </c>
      <c r="M4587" s="3" t="n">
        <v>192.76</v>
      </c>
      <c r="N4587" s="3" t="n">
        <v>42.75</v>
      </c>
      <c r="O4587">
        <f>TEXT(A4587,"yyyy-mm")</f>
        <v/>
      </c>
    </row>
    <row r="4588">
      <c r="A4588" s="2" t="n">
        <v>46241</v>
      </c>
      <c r="B4588" t="n">
        <v>2026</v>
      </c>
      <c r="C4588" t="inlineStr">
        <is>
          <t>August</t>
        </is>
      </c>
      <c r="D4588" t="inlineStr">
        <is>
          <t>Smart Olive Oil</t>
        </is>
      </c>
      <c r="E4588" t="inlineStr">
        <is>
          <t>Grocery</t>
        </is>
      </c>
      <c r="F4588" t="inlineStr">
        <is>
          <t>Daniel Wilson</t>
        </is>
      </c>
      <c r="G4588" t="inlineStr">
        <is>
          <t>Italy</t>
        </is>
      </c>
      <c r="H4588" t="inlineStr">
        <is>
          <t>Web Store</t>
        </is>
      </c>
      <c r="I4588" t="n">
        <v>2</v>
      </c>
      <c r="J4588" s="3" t="n">
        <v>328.04</v>
      </c>
      <c r="K4588" s="3" t="n">
        <v>32.8</v>
      </c>
      <c r="L4588" s="3" t="n">
        <v>295.24</v>
      </c>
      <c r="M4588" s="3" t="n">
        <v>220.04</v>
      </c>
      <c r="N4588" s="3" t="n">
        <v>75.2</v>
      </c>
      <c r="O4588">
        <f>TEXT(A4588,"yyyy-mm")</f>
        <v/>
      </c>
    </row>
    <row r="4589">
      <c r="A4589" s="2" t="n">
        <v>46241</v>
      </c>
      <c r="B4589" t="n">
        <v>2026</v>
      </c>
      <c r="C4589" t="inlineStr">
        <is>
          <t>August</t>
        </is>
      </c>
      <c r="D4589" t="inlineStr">
        <is>
          <t>Deluxe Scarf</t>
        </is>
      </c>
      <c r="E4589" t="inlineStr">
        <is>
          <t>Clothing</t>
        </is>
      </c>
      <c r="F4589" t="inlineStr">
        <is>
          <t>John Wilson</t>
        </is>
      </c>
      <c r="G4589" t="inlineStr">
        <is>
          <t>France</t>
        </is>
      </c>
      <c r="H4589" t="inlineStr">
        <is>
          <t>Web Store</t>
        </is>
      </c>
      <c r="I4589" t="n">
        <v>4</v>
      </c>
      <c r="J4589" s="3" t="n">
        <v>824.96</v>
      </c>
      <c r="K4589" s="3" t="n">
        <v>82.5</v>
      </c>
      <c r="L4589" s="3" t="n">
        <v>742.46</v>
      </c>
      <c r="M4589" s="3" t="n">
        <v>434.08</v>
      </c>
      <c r="N4589" s="3" t="n">
        <v>308.38</v>
      </c>
      <c r="O4589">
        <f>TEXT(A4589,"yyyy-mm")</f>
        <v/>
      </c>
    </row>
    <row r="4590">
      <c r="A4590" s="2" t="n">
        <v>46241</v>
      </c>
      <c r="B4590" t="n">
        <v>2026</v>
      </c>
      <c r="C4590" t="inlineStr">
        <is>
          <t>August</t>
        </is>
      </c>
      <c r="D4590" t="inlineStr">
        <is>
          <t>Premium Tent</t>
        </is>
      </c>
      <c r="E4590" t="inlineStr">
        <is>
          <t>Sports &amp; Outdoors</t>
        </is>
      </c>
      <c r="F4590" t="inlineStr">
        <is>
          <t>John Wilson</t>
        </is>
      </c>
      <c r="G4590" t="inlineStr">
        <is>
          <t>France</t>
        </is>
      </c>
      <c r="H4590" t="inlineStr">
        <is>
          <t>Web Store</t>
        </is>
      </c>
      <c r="I4590" t="n">
        <v>3</v>
      </c>
      <c r="J4590" s="3" t="n">
        <v>409.74</v>
      </c>
      <c r="K4590" s="3" t="n">
        <v>61.46</v>
      </c>
      <c r="L4590" s="3" t="n">
        <v>348.28</v>
      </c>
      <c r="M4590" s="3" t="n">
        <v>289.2</v>
      </c>
      <c r="N4590" s="3" t="n">
        <v>59.08</v>
      </c>
      <c r="O4590">
        <f>TEXT(A4590,"yyyy-mm")</f>
        <v/>
      </c>
    </row>
    <row r="4591">
      <c r="A4591" s="2" t="n">
        <v>46241</v>
      </c>
      <c r="B4591" t="n">
        <v>2026</v>
      </c>
      <c r="C4591" t="inlineStr">
        <is>
          <t>August</t>
        </is>
      </c>
      <c r="D4591" t="inlineStr">
        <is>
          <t>Deluxe Scarf</t>
        </is>
      </c>
      <c r="E4591" t="inlineStr">
        <is>
          <t>Clothing</t>
        </is>
      </c>
      <c r="F4591" t="inlineStr">
        <is>
          <t>Mark Wilson</t>
        </is>
      </c>
      <c r="G4591" t="inlineStr">
        <is>
          <t>Italy</t>
        </is>
      </c>
      <c r="H4591" t="inlineStr">
        <is>
          <t>Retail Store</t>
        </is>
      </c>
      <c r="I4591" t="n">
        <v>2</v>
      </c>
      <c r="J4591" s="3" t="n">
        <v>400.32</v>
      </c>
      <c r="K4591" s="3" t="n">
        <v>20.02</v>
      </c>
      <c r="L4591" s="3" t="n">
        <v>380.3</v>
      </c>
      <c r="M4591" s="3" t="n">
        <v>217.04</v>
      </c>
      <c r="N4591" s="3" t="n">
        <v>163.26</v>
      </c>
      <c r="O4591">
        <f>TEXT(A4591,"yyyy-mm")</f>
        <v/>
      </c>
    </row>
    <row r="4592">
      <c r="A4592" s="2" t="n">
        <v>46241</v>
      </c>
      <c r="B4592" t="n">
        <v>2026</v>
      </c>
      <c r="C4592" t="inlineStr">
        <is>
          <t>August</t>
        </is>
      </c>
      <c r="D4592" t="inlineStr">
        <is>
          <t>Deluxe Toothbrush</t>
        </is>
      </c>
      <c r="E4592" t="inlineStr">
        <is>
          <t>Beauty &amp; Health</t>
        </is>
      </c>
      <c r="F4592" t="inlineStr">
        <is>
          <t>Mark Wilson</t>
        </is>
      </c>
      <c r="G4592" t="inlineStr">
        <is>
          <t>Italy</t>
        </is>
      </c>
      <c r="H4592" t="inlineStr">
        <is>
          <t>Retail Store</t>
        </is>
      </c>
      <c r="I4592" t="n">
        <v>4</v>
      </c>
      <c r="J4592" s="3" t="n">
        <v>1303.48</v>
      </c>
      <c r="K4592" s="3" t="n">
        <v>130.35</v>
      </c>
      <c r="L4592" s="3" t="n">
        <v>1173.13</v>
      </c>
      <c r="M4592" s="3" t="n">
        <v>698.28</v>
      </c>
      <c r="N4592" s="3" t="n">
        <v>474.85</v>
      </c>
      <c r="O4592">
        <f>TEXT(A4592,"yyyy-mm")</f>
        <v/>
      </c>
    </row>
    <row r="4593">
      <c r="A4593" s="2" t="n">
        <v>46241</v>
      </c>
      <c r="B4593" t="n">
        <v>2026</v>
      </c>
      <c r="C4593" t="inlineStr">
        <is>
          <t>August</t>
        </is>
      </c>
      <c r="D4593" t="inlineStr">
        <is>
          <t>Classic Tea Set</t>
        </is>
      </c>
      <c r="E4593" t="inlineStr">
        <is>
          <t>Grocery</t>
        </is>
      </c>
      <c r="F4593" t="inlineStr">
        <is>
          <t>Daniel Wilson</t>
        </is>
      </c>
      <c r="G4593" t="inlineStr">
        <is>
          <t>Italy</t>
        </is>
      </c>
      <c r="H4593" t="inlineStr">
        <is>
          <t>Web Store</t>
        </is>
      </c>
      <c r="I4593" t="n">
        <v>3</v>
      </c>
      <c r="J4593" s="3" t="n">
        <v>559.5599999999999</v>
      </c>
      <c r="K4593" s="3" t="n">
        <v>55.96</v>
      </c>
      <c r="L4593" s="3" t="n">
        <v>503.6</v>
      </c>
      <c r="M4593" s="3" t="n">
        <v>376.2</v>
      </c>
      <c r="N4593" s="3" t="n">
        <v>127.4</v>
      </c>
      <c r="O4593">
        <f>TEXT(A4593,"yyyy-mm")</f>
        <v/>
      </c>
    </row>
    <row r="4594">
      <c r="A4594" s="2" t="n">
        <v>46242</v>
      </c>
      <c r="B4594" t="n">
        <v>2026</v>
      </c>
      <c r="C4594" t="inlineStr">
        <is>
          <t>August</t>
        </is>
      </c>
      <c r="D4594" t="inlineStr">
        <is>
          <t>Classic Bike Helmet</t>
        </is>
      </c>
      <c r="E4594" t="inlineStr">
        <is>
          <t>Sports &amp; Outdoors</t>
        </is>
      </c>
      <c r="F4594" t="inlineStr">
        <is>
          <t>Sophie Nowak</t>
        </is>
      </c>
      <c r="G4594" t="inlineStr">
        <is>
          <t>Germany</t>
        </is>
      </c>
      <c r="H4594" t="inlineStr">
        <is>
          <t>Retail Store</t>
        </is>
      </c>
      <c r="I4594" t="n">
        <v>5</v>
      </c>
      <c r="J4594" s="3" t="n">
        <v>1068.9</v>
      </c>
      <c r="K4594" s="3" t="n">
        <v>213.78</v>
      </c>
      <c r="L4594" s="3" t="n">
        <v>855.12</v>
      </c>
      <c r="M4594" s="3" t="n">
        <v>769.05</v>
      </c>
      <c r="N4594" s="3" t="n">
        <v>86.06999999999999</v>
      </c>
      <c r="O4594">
        <f>TEXT(A4594,"yyyy-mm")</f>
        <v/>
      </c>
    </row>
    <row r="4595">
      <c r="A4595" s="2" t="n">
        <v>46242</v>
      </c>
      <c r="B4595" t="n">
        <v>2026</v>
      </c>
      <c r="C4595" t="inlineStr">
        <is>
          <t>August</t>
        </is>
      </c>
      <c r="D4595" t="inlineStr">
        <is>
          <t>Smart Camera</t>
        </is>
      </c>
      <c r="E4595" t="inlineStr">
        <is>
          <t>Electronics</t>
        </is>
      </c>
      <c r="F4595" t="inlineStr">
        <is>
          <t>Sophie Nowak</t>
        </is>
      </c>
      <c r="G4595" t="inlineStr">
        <is>
          <t>Germany</t>
        </is>
      </c>
      <c r="H4595" t="inlineStr">
        <is>
          <t>Retail Store</t>
        </is>
      </c>
      <c r="I4595" t="n">
        <v>5</v>
      </c>
      <c r="J4595" s="3" t="n">
        <v>576.2</v>
      </c>
      <c r="K4595" s="3" t="n">
        <v>57.62</v>
      </c>
      <c r="L4595" s="3" t="n">
        <v>518.58</v>
      </c>
      <c r="M4595" s="3" t="n">
        <v>427.9</v>
      </c>
      <c r="N4595" s="3" t="n">
        <v>90.68000000000001</v>
      </c>
      <c r="O4595">
        <f>TEXT(A4595,"yyyy-mm")</f>
        <v/>
      </c>
    </row>
    <row r="4596">
      <c r="A4596" s="2" t="n">
        <v>46242</v>
      </c>
      <c r="B4596" t="n">
        <v>2026</v>
      </c>
      <c r="C4596" t="inlineStr">
        <is>
          <t>August</t>
        </is>
      </c>
      <c r="D4596" t="inlineStr">
        <is>
          <t>Smart Honey</t>
        </is>
      </c>
      <c r="E4596" t="inlineStr">
        <is>
          <t>Grocery</t>
        </is>
      </c>
      <c r="F4596" t="inlineStr">
        <is>
          <t>Sophie Nowak</t>
        </is>
      </c>
      <c r="G4596" t="inlineStr">
        <is>
          <t>Germany</t>
        </is>
      </c>
      <c r="H4596" t="inlineStr">
        <is>
          <t>Retail Store</t>
        </is>
      </c>
      <c r="I4596" t="n">
        <v>3</v>
      </c>
      <c r="J4596" s="3" t="n">
        <v>419.73</v>
      </c>
      <c r="K4596" s="3" t="n">
        <v>41.97</v>
      </c>
      <c r="L4596" s="3" t="n">
        <v>377.76</v>
      </c>
      <c r="M4596" s="3" t="n">
        <v>214.32</v>
      </c>
      <c r="N4596" s="3" t="n">
        <v>163.44</v>
      </c>
      <c r="O4596">
        <f>TEXT(A4596,"yyyy-mm")</f>
        <v/>
      </c>
    </row>
    <row r="4597">
      <c r="A4597" s="2" t="n">
        <v>46242</v>
      </c>
      <c r="B4597" t="n">
        <v>2026</v>
      </c>
      <c r="C4597" t="inlineStr">
        <is>
          <t>August</t>
        </is>
      </c>
      <c r="D4597" t="inlineStr">
        <is>
          <t>Deluxe Scarf</t>
        </is>
      </c>
      <c r="E4597" t="inlineStr">
        <is>
          <t>Clothing</t>
        </is>
      </c>
      <c r="F4597" t="inlineStr">
        <is>
          <t>Laura Johnson</t>
        </is>
      </c>
      <c r="G4597" t="inlineStr">
        <is>
          <t>Germany</t>
        </is>
      </c>
      <c r="H4597" t="inlineStr">
        <is>
          <t>Retail Store</t>
        </is>
      </c>
      <c r="I4597" t="n">
        <v>1</v>
      </c>
      <c r="J4597" s="3" t="n">
        <v>193.32</v>
      </c>
      <c r="K4597" s="3" t="n">
        <v>19.33</v>
      </c>
      <c r="L4597" s="3" t="n">
        <v>173.99</v>
      </c>
      <c r="M4597" s="3" t="n">
        <v>108.52</v>
      </c>
      <c r="N4597" s="3" t="n">
        <v>65.47</v>
      </c>
      <c r="O4597">
        <f>TEXT(A4597,"yyyy-mm")</f>
        <v/>
      </c>
    </row>
    <row r="4598">
      <c r="A4598" s="2" t="n">
        <v>46242</v>
      </c>
      <c r="B4598" t="n">
        <v>2026</v>
      </c>
      <c r="C4598" t="inlineStr">
        <is>
          <t>August</t>
        </is>
      </c>
      <c r="D4598" t="inlineStr">
        <is>
          <t>Premium Water Bottle</t>
        </is>
      </c>
      <c r="E4598" t="inlineStr">
        <is>
          <t>Sports &amp; Outdoors</t>
        </is>
      </c>
      <c r="F4598" t="inlineStr">
        <is>
          <t>Thomas Lopez</t>
        </is>
      </c>
      <c r="G4598" t="inlineStr">
        <is>
          <t>Spain</t>
        </is>
      </c>
      <c r="H4598" t="inlineStr">
        <is>
          <t>Marketplace</t>
        </is>
      </c>
      <c r="I4598" t="n">
        <v>5</v>
      </c>
      <c r="J4598" s="3" t="n">
        <v>1523.85</v>
      </c>
      <c r="K4598" s="3" t="n">
        <v>152.38</v>
      </c>
      <c r="L4598" s="3" t="n">
        <v>1371.46</v>
      </c>
      <c r="M4598" s="3" t="n">
        <v>905.8</v>
      </c>
      <c r="N4598" s="3" t="n">
        <v>465.66</v>
      </c>
      <c r="O4598">
        <f>TEXT(A4598,"yyyy-mm")</f>
        <v/>
      </c>
    </row>
    <row r="4599">
      <c r="A4599" s="2" t="n">
        <v>46242</v>
      </c>
      <c r="B4599" t="n">
        <v>2026</v>
      </c>
      <c r="C4599" t="inlineStr">
        <is>
          <t>August</t>
        </is>
      </c>
      <c r="D4599" t="inlineStr">
        <is>
          <t>Essential Toolset</t>
        </is>
      </c>
      <c r="E4599" t="inlineStr">
        <is>
          <t>Home &amp; Garden</t>
        </is>
      </c>
      <c r="F4599" t="inlineStr">
        <is>
          <t>Sophie Wilson</t>
        </is>
      </c>
      <c r="G4599" t="inlineStr">
        <is>
          <t>Poland</t>
        </is>
      </c>
      <c r="H4599" t="inlineStr">
        <is>
          <t>Mobile App</t>
        </is>
      </c>
      <c r="I4599" t="n">
        <v>4</v>
      </c>
      <c r="J4599" s="3" t="n">
        <v>868.84</v>
      </c>
      <c r="K4599" s="3" t="n">
        <v>86.88</v>
      </c>
      <c r="L4599" s="3" t="n">
        <v>781.96</v>
      </c>
      <c r="M4599" s="3" t="n">
        <v>602.12</v>
      </c>
      <c r="N4599" s="3" t="n">
        <v>179.84</v>
      </c>
      <c r="O4599">
        <f>TEXT(A4599,"yyyy-mm")</f>
        <v/>
      </c>
    </row>
    <row r="4600">
      <c r="A4600" s="2" t="n">
        <v>46242</v>
      </c>
      <c r="B4600" t="n">
        <v>2026</v>
      </c>
      <c r="C4600" t="inlineStr">
        <is>
          <t>August</t>
        </is>
      </c>
      <c r="D4600" t="inlineStr">
        <is>
          <t>Premium Water Bottle</t>
        </is>
      </c>
      <c r="E4600" t="inlineStr">
        <is>
          <t>Sports &amp; Outdoors</t>
        </is>
      </c>
      <c r="F4600" t="inlineStr">
        <is>
          <t>Sophie Wilson</t>
        </is>
      </c>
      <c r="G4600" t="inlineStr">
        <is>
          <t>Poland</t>
        </is>
      </c>
      <c r="H4600" t="inlineStr">
        <is>
          <t>Mobile App</t>
        </is>
      </c>
      <c r="I4600" t="n">
        <v>3</v>
      </c>
      <c r="J4600" s="3" t="n">
        <v>84.20999999999999</v>
      </c>
      <c r="K4600" s="3" t="n">
        <v>0</v>
      </c>
      <c r="L4600" s="3" t="n">
        <v>84.20999999999999</v>
      </c>
      <c r="M4600" s="3" t="n">
        <v>49.89</v>
      </c>
      <c r="N4600" s="3" t="n">
        <v>34.32</v>
      </c>
      <c r="O4600">
        <f>TEXT(A4600,"yyyy-mm")</f>
        <v/>
      </c>
    </row>
    <row r="4601">
      <c r="A4601" s="2" t="n">
        <v>46242</v>
      </c>
      <c r="B4601" t="n">
        <v>2026</v>
      </c>
      <c r="C4601" t="inlineStr">
        <is>
          <t>August</t>
        </is>
      </c>
      <c r="D4601" t="inlineStr">
        <is>
          <t>Compact Pasta</t>
        </is>
      </c>
      <c r="E4601" t="inlineStr">
        <is>
          <t>Grocery</t>
        </is>
      </c>
      <c r="F4601" t="inlineStr">
        <is>
          <t>Anna Smith</t>
        </is>
      </c>
      <c r="G4601" t="inlineStr">
        <is>
          <t>Germany</t>
        </is>
      </c>
      <c r="H4601" t="inlineStr">
        <is>
          <t>Marketplace</t>
        </is>
      </c>
      <c r="I4601" t="n">
        <v>3</v>
      </c>
      <c r="J4601" s="3" t="n">
        <v>911.49</v>
      </c>
      <c r="K4601" s="3" t="n">
        <v>136.72</v>
      </c>
      <c r="L4601" s="3" t="n">
        <v>774.77</v>
      </c>
      <c r="M4601" s="3" t="n">
        <v>598.2</v>
      </c>
      <c r="N4601" s="3" t="n">
        <v>176.57</v>
      </c>
      <c r="O4601">
        <f>TEXT(A4601,"yyyy-mm")</f>
        <v/>
      </c>
    </row>
    <row r="4602">
      <c r="A4602" s="2" t="n">
        <v>46242</v>
      </c>
      <c r="B4602" t="n">
        <v>2026</v>
      </c>
      <c r="C4602" t="inlineStr">
        <is>
          <t>August</t>
        </is>
      </c>
      <c r="D4602" t="inlineStr">
        <is>
          <t>Compact Jacket</t>
        </is>
      </c>
      <c r="E4602" t="inlineStr">
        <is>
          <t>Clothing</t>
        </is>
      </c>
      <c r="F4602" t="inlineStr">
        <is>
          <t>Thomas Lopez</t>
        </is>
      </c>
      <c r="G4602" t="inlineStr">
        <is>
          <t>Spain</t>
        </is>
      </c>
      <c r="H4602" t="inlineStr">
        <is>
          <t>Marketplace</t>
        </is>
      </c>
      <c r="I4602" t="n">
        <v>3</v>
      </c>
      <c r="J4602" s="3" t="n">
        <v>108.54</v>
      </c>
      <c r="K4602" s="3" t="n">
        <v>0</v>
      </c>
      <c r="L4602" s="3" t="n">
        <v>108.54</v>
      </c>
      <c r="M4602" s="3" t="n">
        <v>61.2</v>
      </c>
      <c r="N4602" s="3" t="n">
        <v>47.34</v>
      </c>
      <c r="O4602">
        <f>TEXT(A4602,"yyyy-mm")</f>
        <v/>
      </c>
    </row>
    <row r="4603">
      <c r="A4603" s="2" t="n">
        <v>46242</v>
      </c>
      <c r="B4603" t="n">
        <v>2026</v>
      </c>
      <c r="C4603" t="inlineStr">
        <is>
          <t>August</t>
        </is>
      </c>
      <c r="D4603" t="inlineStr">
        <is>
          <t>Deluxe Toolset</t>
        </is>
      </c>
      <c r="E4603" t="inlineStr">
        <is>
          <t>Home &amp; Garden</t>
        </is>
      </c>
      <c r="F4603" t="inlineStr">
        <is>
          <t>Sophie Wilson</t>
        </is>
      </c>
      <c r="G4603" t="inlineStr">
        <is>
          <t>Poland</t>
        </is>
      </c>
      <c r="H4603" t="inlineStr">
        <is>
          <t>Mobile App</t>
        </is>
      </c>
      <c r="I4603" t="n">
        <v>2</v>
      </c>
      <c r="J4603" s="3" t="n">
        <v>141.6</v>
      </c>
      <c r="K4603" s="3" t="n">
        <v>0</v>
      </c>
      <c r="L4603" s="3" t="n">
        <v>141.6</v>
      </c>
      <c r="M4603" s="3" t="n">
        <v>95.42</v>
      </c>
      <c r="N4603" s="3" t="n">
        <v>46.18</v>
      </c>
      <c r="O4603">
        <f>TEXT(A4603,"yyyy-mm")</f>
        <v/>
      </c>
    </row>
    <row r="4604">
      <c r="A4604" s="2" t="n">
        <v>46242</v>
      </c>
      <c r="B4604" t="n">
        <v>2026</v>
      </c>
      <c r="C4604" t="inlineStr">
        <is>
          <t>August</t>
        </is>
      </c>
      <c r="D4604" t="inlineStr">
        <is>
          <t>Eco Planter</t>
        </is>
      </c>
      <c r="E4604" t="inlineStr">
        <is>
          <t>Home &amp; Garden</t>
        </is>
      </c>
      <c r="F4604" t="inlineStr">
        <is>
          <t>Anna Smith</t>
        </is>
      </c>
      <c r="G4604" t="inlineStr">
        <is>
          <t>Germany</t>
        </is>
      </c>
      <c r="H4604" t="inlineStr">
        <is>
          <t>Marketplace</t>
        </is>
      </c>
      <c r="I4604" t="n">
        <v>3</v>
      </c>
      <c r="J4604" s="3" t="n">
        <v>527.67</v>
      </c>
      <c r="K4604" s="3" t="n">
        <v>79.15000000000001</v>
      </c>
      <c r="L4604" s="3" t="n">
        <v>448.52</v>
      </c>
      <c r="M4604" s="3" t="n">
        <v>337.23</v>
      </c>
      <c r="N4604" s="3" t="n">
        <v>111.29</v>
      </c>
      <c r="O4604">
        <f>TEXT(A4604,"yyyy-mm")</f>
        <v/>
      </c>
    </row>
    <row r="4605">
      <c r="A4605" s="2" t="n">
        <v>46242</v>
      </c>
      <c r="B4605" t="n">
        <v>2026</v>
      </c>
      <c r="C4605" t="inlineStr">
        <is>
          <t>August</t>
        </is>
      </c>
      <c r="D4605" t="inlineStr">
        <is>
          <t>Ultra Rug</t>
        </is>
      </c>
      <c r="E4605" t="inlineStr">
        <is>
          <t>Home &amp; Garden</t>
        </is>
      </c>
      <c r="F4605" t="inlineStr">
        <is>
          <t>Anna Smith</t>
        </is>
      </c>
      <c r="G4605" t="inlineStr">
        <is>
          <t>Germany</t>
        </is>
      </c>
      <c r="H4605" t="inlineStr">
        <is>
          <t>Marketplace</t>
        </is>
      </c>
      <c r="I4605" t="n">
        <v>2</v>
      </c>
      <c r="J4605" s="3" t="n">
        <v>100.72</v>
      </c>
      <c r="K4605" s="3" t="n">
        <v>0</v>
      </c>
      <c r="L4605" s="3" t="n">
        <v>100.72</v>
      </c>
      <c r="M4605" s="3" t="n">
        <v>65.81999999999999</v>
      </c>
      <c r="N4605" s="3" t="n">
        <v>34.9</v>
      </c>
      <c r="O4605">
        <f>TEXT(A4605,"yyyy-mm")</f>
        <v/>
      </c>
    </row>
    <row r="4606">
      <c r="A4606" s="2" t="n">
        <v>46243</v>
      </c>
      <c r="B4606" t="n">
        <v>2026</v>
      </c>
      <c r="C4606" t="inlineStr">
        <is>
          <t>August</t>
        </is>
      </c>
      <c r="D4606" t="inlineStr">
        <is>
          <t>Wireless Honey</t>
        </is>
      </c>
      <c r="E4606" t="inlineStr">
        <is>
          <t>Grocery</t>
        </is>
      </c>
      <c r="F4606" t="inlineStr">
        <is>
          <t>Laura Schmidt</t>
        </is>
      </c>
      <c r="G4606" t="inlineStr">
        <is>
          <t>United States</t>
        </is>
      </c>
      <c r="H4606" t="inlineStr">
        <is>
          <t>Marketplace</t>
        </is>
      </c>
      <c r="I4606" t="n">
        <v>2</v>
      </c>
      <c r="J4606" s="3" t="n">
        <v>248.9</v>
      </c>
      <c r="K4606" s="3" t="n">
        <v>24.89</v>
      </c>
      <c r="L4606" s="3" t="n">
        <v>224.01</v>
      </c>
      <c r="M4606" s="3" t="n">
        <v>188.14</v>
      </c>
      <c r="N4606" s="3" t="n">
        <v>35.87</v>
      </c>
      <c r="O4606">
        <f>TEXT(A4606,"yyyy-mm")</f>
        <v/>
      </c>
    </row>
    <row r="4607">
      <c r="A4607" s="2" t="n">
        <v>46243</v>
      </c>
      <c r="B4607" t="n">
        <v>2026</v>
      </c>
      <c r="C4607" t="inlineStr">
        <is>
          <t>August</t>
        </is>
      </c>
      <c r="D4607" t="inlineStr">
        <is>
          <t>Premium Water Bottle</t>
        </is>
      </c>
      <c r="E4607" t="inlineStr">
        <is>
          <t>Sports &amp; Outdoors</t>
        </is>
      </c>
      <c r="F4607" t="inlineStr">
        <is>
          <t>Laura Schmidt</t>
        </is>
      </c>
      <c r="G4607" t="inlineStr">
        <is>
          <t>United States</t>
        </is>
      </c>
      <c r="H4607" t="inlineStr">
        <is>
          <t>Marketplace</t>
        </is>
      </c>
      <c r="I4607" t="n">
        <v>3</v>
      </c>
      <c r="J4607" s="3" t="n">
        <v>922.05</v>
      </c>
      <c r="K4607" s="3" t="n">
        <v>0</v>
      </c>
      <c r="L4607" s="3" t="n">
        <v>922.05</v>
      </c>
      <c r="M4607" s="3" t="n">
        <v>543.48</v>
      </c>
      <c r="N4607" s="3" t="n">
        <v>378.57</v>
      </c>
      <c r="O4607">
        <f>TEXT(A4607,"yyyy-mm")</f>
        <v/>
      </c>
    </row>
    <row r="4608">
      <c r="A4608" s="2" t="n">
        <v>46243</v>
      </c>
      <c r="B4608" t="n">
        <v>2026</v>
      </c>
      <c r="C4608" t="inlineStr">
        <is>
          <t>August</t>
        </is>
      </c>
      <c r="D4608" t="inlineStr">
        <is>
          <t>Ultra Vitamins</t>
        </is>
      </c>
      <c r="E4608" t="inlineStr">
        <is>
          <t>Beauty &amp; Health</t>
        </is>
      </c>
      <c r="F4608" t="inlineStr">
        <is>
          <t>Michael Schmidt</t>
        </is>
      </c>
      <c r="G4608" t="inlineStr">
        <is>
          <t>Netherlands</t>
        </is>
      </c>
      <c r="H4608" t="inlineStr">
        <is>
          <t>Web Store</t>
        </is>
      </c>
      <c r="I4608" t="n">
        <v>3</v>
      </c>
      <c r="J4608" s="3" t="n">
        <v>608.91</v>
      </c>
      <c r="K4608" s="3" t="n">
        <v>0</v>
      </c>
      <c r="L4608" s="3" t="n">
        <v>608.91</v>
      </c>
      <c r="M4608" s="3" t="n">
        <v>378.3</v>
      </c>
      <c r="N4608" s="3" t="n">
        <v>230.61</v>
      </c>
      <c r="O4608">
        <f>TEXT(A4608,"yyyy-mm")</f>
        <v/>
      </c>
    </row>
    <row r="4609">
      <c r="A4609" s="2" t="n">
        <v>46244</v>
      </c>
      <c r="B4609" t="n">
        <v>2026</v>
      </c>
      <c r="C4609" t="inlineStr">
        <is>
          <t>August</t>
        </is>
      </c>
      <c r="D4609" t="inlineStr">
        <is>
          <t>Classic Tea Set</t>
        </is>
      </c>
      <c r="E4609" t="inlineStr">
        <is>
          <t>Grocery</t>
        </is>
      </c>
      <c r="F4609" t="inlineStr">
        <is>
          <t>Sophie Martin</t>
        </is>
      </c>
      <c r="G4609" t="inlineStr">
        <is>
          <t>United States</t>
        </is>
      </c>
      <c r="H4609" t="inlineStr">
        <is>
          <t>Web Store</t>
        </is>
      </c>
      <c r="I4609" t="n">
        <v>1</v>
      </c>
      <c r="J4609" s="3" t="n">
        <v>177.39</v>
      </c>
      <c r="K4609" s="3" t="n">
        <v>0</v>
      </c>
      <c r="L4609" s="3" t="n">
        <v>177.39</v>
      </c>
      <c r="M4609" s="3" t="n">
        <v>125.4</v>
      </c>
      <c r="N4609" s="3" t="n">
        <v>51.99</v>
      </c>
      <c r="O4609">
        <f>TEXT(A4609,"yyyy-mm")</f>
        <v/>
      </c>
    </row>
    <row r="4610">
      <c r="A4610" s="2" t="n">
        <v>46244</v>
      </c>
      <c r="B4610" t="n">
        <v>2026</v>
      </c>
      <c r="C4610" t="inlineStr">
        <is>
          <t>August</t>
        </is>
      </c>
      <c r="D4610" t="inlineStr">
        <is>
          <t>Classic Charger</t>
        </is>
      </c>
      <c r="E4610" t="inlineStr">
        <is>
          <t>Electronics</t>
        </is>
      </c>
      <c r="F4610" t="inlineStr">
        <is>
          <t>Sophie Martin</t>
        </is>
      </c>
      <c r="G4610" t="inlineStr">
        <is>
          <t>United States</t>
        </is>
      </c>
      <c r="H4610" t="inlineStr">
        <is>
          <t>Web Store</t>
        </is>
      </c>
      <c r="I4610" t="n">
        <v>2</v>
      </c>
      <c r="J4610" s="3" t="n">
        <v>193.88</v>
      </c>
      <c r="K4610" s="3" t="n">
        <v>0</v>
      </c>
      <c r="L4610" s="3" t="n">
        <v>193.88</v>
      </c>
      <c r="M4610" s="3" t="n">
        <v>124.42</v>
      </c>
      <c r="N4610" s="3" t="n">
        <v>69.45999999999999</v>
      </c>
      <c r="O4610">
        <f>TEXT(A4610,"yyyy-mm")</f>
        <v/>
      </c>
    </row>
    <row r="4611">
      <c r="A4611" s="2" t="n">
        <v>46244</v>
      </c>
      <c r="B4611" t="n">
        <v>2026</v>
      </c>
      <c r="C4611" t="inlineStr">
        <is>
          <t>August</t>
        </is>
      </c>
      <c r="D4611" t="inlineStr">
        <is>
          <t>Deluxe Notebook</t>
        </is>
      </c>
      <c r="E4611" t="inlineStr">
        <is>
          <t>Books</t>
        </is>
      </c>
      <c r="F4611" t="inlineStr">
        <is>
          <t>Maria Dubois</t>
        </is>
      </c>
      <c r="G4611" t="inlineStr">
        <is>
          <t>France</t>
        </is>
      </c>
      <c r="H4611" t="inlineStr">
        <is>
          <t>Web Store</t>
        </is>
      </c>
      <c r="I4611" t="n">
        <v>2</v>
      </c>
      <c r="J4611" s="3" t="n">
        <v>429.78</v>
      </c>
      <c r="K4611" s="3" t="n">
        <v>0</v>
      </c>
      <c r="L4611" s="3" t="n">
        <v>429.78</v>
      </c>
      <c r="M4611" s="3" t="n">
        <v>301.52</v>
      </c>
      <c r="N4611" s="3" t="n">
        <v>128.26</v>
      </c>
      <c r="O4611">
        <f>TEXT(A4611,"yyyy-mm")</f>
        <v/>
      </c>
    </row>
    <row r="4612">
      <c r="A4612" s="2" t="n">
        <v>46244</v>
      </c>
      <c r="B4612" t="n">
        <v>2026</v>
      </c>
      <c r="C4612" t="inlineStr">
        <is>
          <t>August</t>
        </is>
      </c>
      <c r="D4612" t="inlineStr">
        <is>
          <t>Essential Vitamins</t>
        </is>
      </c>
      <c r="E4612" t="inlineStr">
        <is>
          <t>Beauty &amp; Health</t>
        </is>
      </c>
      <c r="F4612" t="inlineStr">
        <is>
          <t>Maria Dubois</t>
        </is>
      </c>
      <c r="G4612" t="inlineStr">
        <is>
          <t>France</t>
        </is>
      </c>
      <c r="H4612" t="inlineStr">
        <is>
          <t>Web Store</t>
        </is>
      </c>
      <c r="I4612" t="n">
        <v>4</v>
      </c>
      <c r="J4612" s="3" t="n">
        <v>706.2</v>
      </c>
      <c r="K4612" s="3" t="n">
        <v>141.24</v>
      </c>
      <c r="L4612" s="3" t="n">
        <v>564.96</v>
      </c>
      <c r="M4612" s="3" t="n">
        <v>441.2</v>
      </c>
      <c r="N4612" s="3" t="n">
        <v>123.76</v>
      </c>
      <c r="O4612">
        <f>TEXT(A4612,"yyyy-mm")</f>
        <v/>
      </c>
    </row>
    <row r="4613">
      <c r="A4613" s="2" t="n">
        <v>46245</v>
      </c>
      <c r="B4613" t="n">
        <v>2026</v>
      </c>
      <c r="C4613" t="inlineStr">
        <is>
          <t>August</t>
        </is>
      </c>
      <c r="D4613" t="inlineStr">
        <is>
          <t>Portable Toolset</t>
        </is>
      </c>
      <c r="E4613" t="inlineStr">
        <is>
          <t>Home &amp; Garden</t>
        </is>
      </c>
      <c r="F4613" t="inlineStr">
        <is>
          <t>Clara Johnson</t>
        </is>
      </c>
      <c r="G4613" t="inlineStr">
        <is>
          <t>France</t>
        </is>
      </c>
      <c r="H4613" t="inlineStr">
        <is>
          <t>Mobile App</t>
        </is>
      </c>
      <c r="I4613" t="n">
        <v>2</v>
      </c>
      <c r="J4613" s="3" t="n">
        <v>171.5</v>
      </c>
      <c r="K4613" s="3" t="n">
        <v>8.58</v>
      </c>
      <c r="L4613" s="3" t="n">
        <v>162.93</v>
      </c>
      <c r="M4613" s="3" t="n">
        <v>101.08</v>
      </c>
      <c r="N4613" s="3" t="n">
        <v>61.85</v>
      </c>
      <c r="O4613">
        <f>TEXT(A4613,"yyyy-mm")</f>
        <v/>
      </c>
    </row>
    <row r="4614">
      <c r="A4614" s="2" t="n">
        <v>46245</v>
      </c>
      <c r="B4614" t="n">
        <v>2026</v>
      </c>
      <c r="C4614" t="inlineStr">
        <is>
          <t>August</t>
        </is>
      </c>
      <c r="D4614" t="inlineStr">
        <is>
          <t>Smart Board Game</t>
        </is>
      </c>
      <c r="E4614" t="inlineStr">
        <is>
          <t>Toys &amp; Games</t>
        </is>
      </c>
      <c r="F4614" t="inlineStr">
        <is>
          <t>Nina Wojcik</t>
        </is>
      </c>
      <c r="G4614" t="inlineStr">
        <is>
          <t>Germany</t>
        </is>
      </c>
      <c r="H4614" t="inlineStr">
        <is>
          <t>Marketplace</t>
        </is>
      </c>
      <c r="I4614" t="n">
        <v>1</v>
      </c>
      <c r="J4614" s="3" t="n">
        <v>130.67</v>
      </c>
      <c r="K4614" s="3" t="n">
        <v>0</v>
      </c>
      <c r="L4614" s="3" t="n">
        <v>130.67</v>
      </c>
      <c r="M4614" s="3" t="n">
        <v>91.72</v>
      </c>
      <c r="N4614" s="3" t="n">
        <v>38.95</v>
      </c>
      <c r="O4614">
        <f>TEXT(A4614,"yyyy-mm")</f>
        <v/>
      </c>
    </row>
    <row r="4615">
      <c r="A4615" s="2" t="n">
        <v>46245</v>
      </c>
      <c r="B4615" t="n">
        <v>2026</v>
      </c>
      <c r="C4615" t="inlineStr">
        <is>
          <t>August</t>
        </is>
      </c>
      <c r="D4615" t="inlineStr">
        <is>
          <t>Portable Pasta</t>
        </is>
      </c>
      <c r="E4615" t="inlineStr">
        <is>
          <t>Grocery</t>
        </is>
      </c>
      <c r="F4615" t="inlineStr">
        <is>
          <t>Nina Wojcik</t>
        </is>
      </c>
      <c r="G4615" t="inlineStr">
        <is>
          <t>Germany</t>
        </is>
      </c>
      <c r="H4615" t="inlineStr">
        <is>
          <t>Marketplace</t>
        </is>
      </c>
      <c r="I4615" t="n">
        <v>1</v>
      </c>
      <c r="J4615" s="3" t="n">
        <v>35.38</v>
      </c>
      <c r="K4615" s="3" t="n">
        <v>5.31</v>
      </c>
      <c r="L4615" s="3" t="n">
        <v>30.07</v>
      </c>
      <c r="M4615" s="3" t="n">
        <v>27.75</v>
      </c>
      <c r="N4615" s="3" t="n">
        <v>2.32</v>
      </c>
      <c r="O4615">
        <f>TEXT(A4615,"yyyy-mm")</f>
        <v/>
      </c>
    </row>
    <row r="4616">
      <c r="A4616" s="2" t="n">
        <v>46245</v>
      </c>
      <c r="B4616" t="n">
        <v>2026</v>
      </c>
      <c r="C4616" t="inlineStr">
        <is>
          <t>August</t>
        </is>
      </c>
      <c r="D4616" t="inlineStr">
        <is>
          <t>Compact Biography</t>
        </is>
      </c>
      <c r="E4616" t="inlineStr">
        <is>
          <t>Books</t>
        </is>
      </c>
      <c r="F4616" t="inlineStr">
        <is>
          <t>Nina Wojcik</t>
        </is>
      </c>
      <c r="G4616" t="inlineStr">
        <is>
          <t>Germany</t>
        </is>
      </c>
      <c r="H4616" t="inlineStr">
        <is>
          <t>Marketplace</t>
        </is>
      </c>
      <c r="I4616" t="n">
        <v>1</v>
      </c>
      <c r="J4616" s="3" t="n">
        <v>253.84</v>
      </c>
      <c r="K4616" s="3" t="n">
        <v>25.38</v>
      </c>
      <c r="L4616" s="3" t="n">
        <v>228.46</v>
      </c>
      <c r="M4616" s="3" t="n">
        <v>140.33</v>
      </c>
      <c r="N4616" s="3" t="n">
        <v>88.13</v>
      </c>
      <c r="O4616">
        <f>TEXT(A4616,"yyyy-mm")</f>
        <v/>
      </c>
    </row>
    <row r="4617">
      <c r="A4617" s="2" t="n">
        <v>46245</v>
      </c>
      <c r="B4617" t="n">
        <v>2026</v>
      </c>
      <c r="C4617" t="inlineStr">
        <is>
          <t>August</t>
        </is>
      </c>
      <c r="D4617" t="inlineStr">
        <is>
          <t>Essential Pasta</t>
        </is>
      </c>
      <c r="E4617" t="inlineStr">
        <is>
          <t>Grocery</t>
        </is>
      </c>
      <c r="F4617" t="inlineStr">
        <is>
          <t>Sophie Brown</t>
        </is>
      </c>
      <c r="G4617" t="inlineStr">
        <is>
          <t>Poland</t>
        </is>
      </c>
      <c r="H4617" t="inlineStr">
        <is>
          <t>Retail Store</t>
        </is>
      </c>
      <c r="I4617" t="n">
        <v>3</v>
      </c>
      <c r="J4617" s="3" t="n">
        <v>169.32</v>
      </c>
      <c r="K4617" s="3" t="n">
        <v>0</v>
      </c>
      <c r="L4617" s="3" t="n">
        <v>169.32</v>
      </c>
      <c r="M4617" s="3" t="n">
        <v>107.43</v>
      </c>
      <c r="N4617" s="3" t="n">
        <v>61.89</v>
      </c>
      <c r="O4617">
        <f>TEXT(A4617,"yyyy-mm")</f>
        <v/>
      </c>
    </row>
    <row r="4618">
      <c r="A4618" s="2" t="n">
        <v>46245</v>
      </c>
      <c r="B4618" t="n">
        <v>2026</v>
      </c>
      <c r="C4618" t="inlineStr">
        <is>
          <t>August</t>
        </is>
      </c>
      <c r="D4618" t="inlineStr">
        <is>
          <t>Smart Camera</t>
        </is>
      </c>
      <c r="E4618" t="inlineStr">
        <is>
          <t>Electronics</t>
        </is>
      </c>
      <c r="F4618" t="inlineStr">
        <is>
          <t>Robert Smith</t>
        </is>
      </c>
      <c r="G4618" t="inlineStr">
        <is>
          <t>Spain</t>
        </is>
      </c>
      <c r="H4618" t="inlineStr">
        <is>
          <t>Mobile App</t>
        </is>
      </c>
      <c r="I4618" t="n">
        <v>1</v>
      </c>
      <c r="J4618" s="3" t="n">
        <v>296.33</v>
      </c>
      <c r="K4618" s="3" t="n">
        <v>0</v>
      </c>
      <c r="L4618" s="3" t="n">
        <v>296.33</v>
      </c>
      <c r="M4618" s="3" t="n">
        <v>167.4</v>
      </c>
      <c r="N4618" s="3" t="n">
        <v>128.93</v>
      </c>
      <c r="O4618">
        <f>TEXT(A4618,"yyyy-mm")</f>
        <v/>
      </c>
    </row>
    <row r="4619">
      <c r="A4619" s="2" t="n">
        <v>46245</v>
      </c>
      <c r="B4619" t="n">
        <v>2026</v>
      </c>
      <c r="C4619" t="inlineStr">
        <is>
          <t>August</t>
        </is>
      </c>
      <c r="D4619" t="inlineStr">
        <is>
          <t>Classic Coffee Beans</t>
        </is>
      </c>
      <c r="E4619" t="inlineStr">
        <is>
          <t>Grocery</t>
        </is>
      </c>
      <c r="F4619" t="inlineStr">
        <is>
          <t>Robert Kowalski</t>
        </is>
      </c>
      <c r="G4619" t="inlineStr">
        <is>
          <t>Germany</t>
        </is>
      </c>
      <c r="H4619" t="inlineStr">
        <is>
          <t>Mobile App</t>
        </is>
      </c>
      <c r="I4619" t="n">
        <v>3</v>
      </c>
      <c r="J4619" s="3" t="n">
        <v>953.76</v>
      </c>
      <c r="K4619" s="3" t="n">
        <v>190.75</v>
      </c>
      <c r="L4619" s="3" t="n">
        <v>763.01</v>
      </c>
      <c r="M4619" s="3" t="n">
        <v>584.28</v>
      </c>
      <c r="N4619" s="3" t="n">
        <v>178.73</v>
      </c>
      <c r="O4619">
        <f>TEXT(A4619,"yyyy-mm")</f>
        <v/>
      </c>
    </row>
    <row r="4620">
      <c r="A4620" s="2" t="n">
        <v>46245</v>
      </c>
      <c r="B4620" t="n">
        <v>2026</v>
      </c>
      <c r="C4620" t="inlineStr">
        <is>
          <t>August</t>
        </is>
      </c>
      <c r="D4620" t="inlineStr">
        <is>
          <t>Smart Face Cream</t>
        </is>
      </c>
      <c r="E4620" t="inlineStr">
        <is>
          <t>Beauty &amp; Health</t>
        </is>
      </c>
      <c r="F4620" t="inlineStr">
        <is>
          <t>Robert Kowalski</t>
        </is>
      </c>
      <c r="G4620" t="inlineStr">
        <is>
          <t>Germany</t>
        </is>
      </c>
      <c r="H4620" t="inlineStr">
        <is>
          <t>Mobile App</t>
        </is>
      </c>
      <c r="I4620" t="n">
        <v>1</v>
      </c>
      <c r="J4620" s="3" t="n">
        <v>260.52</v>
      </c>
      <c r="K4620" s="3" t="n">
        <v>52.1</v>
      </c>
      <c r="L4620" s="3" t="n">
        <v>208.42</v>
      </c>
      <c r="M4620" s="3" t="n">
        <v>193.14</v>
      </c>
      <c r="N4620" s="3" t="n">
        <v>15.28</v>
      </c>
      <c r="O4620">
        <f>TEXT(A4620,"yyyy-mm")</f>
        <v/>
      </c>
    </row>
    <row r="4621">
      <c r="A4621" s="2" t="n">
        <v>46245</v>
      </c>
      <c r="B4621" t="n">
        <v>2026</v>
      </c>
      <c r="C4621" t="inlineStr">
        <is>
          <t>August</t>
        </is>
      </c>
      <c r="D4621" t="inlineStr">
        <is>
          <t>Premium Water Bottle</t>
        </is>
      </c>
      <c r="E4621" t="inlineStr">
        <is>
          <t>Sports &amp; Outdoors</t>
        </is>
      </c>
      <c r="F4621" t="inlineStr">
        <is>
          <t>Robert Smith</t>
        </is>
      </c>
      <c r="G4621" t="inlineStr">
        <is>
          <t>Spain</t>
        </is>
      </c>
      <c r="H4621" t="inlineStr">
        <is>
          <t>Mobile App</t>
        </is>
      </c>
      <c r="I4621" t="n">
        <v>4</v>
      </c>
      <c r="J4621" s="3" t="n">
        <v>484.92</v>
      </c>
      <c r="K4621" s="3" t="n">
        <v>48.49</v>
      </c>
      <c r="L4621" s="3" t="n">
        <v>436.43</v>
      </c>
      <c r="M4621" s="3" t="n">
        <v>358.48</v>
      </c>
      <c r="N4621" s="3" t="n">
        <v>77.95</v>
      </c>
      <c r="O4621">
        <f>TEXT(A4621,"yyyy-mm")</f>
        <v/>
      </c>
    </row>
    <row r="4622">
      <c r="A4622" s="2" t="n">
        <v>46245</v>
      </c>
      <c r="B4622" t="n">
        <v>2026</v>
      </c>
      <c r="C4622" t="inlineStr">
        <is>
          <t>August</t>
        </is>
      </c>
      <c r="D4622" t="inlineStr">
        <is>
          <t>Smart Coffee Beans</t>
        </is>
      </c>
      <c r="E4622" t="inlineStr">
        <is>
          <t>Grocery</t>
        </is>
      </c>
      <c r="F4622" t="inlineStr">
        <is>
          <t>Robert Smith</t>
        </is>
      </c>
      <c r="G4622" t="inlineStr">
        <is>
          <t>Spain</t>
        </is>
      </c>
      <c r="H4622" t="inlineStr">
        <is>
          <t>Mobile App</t>
        </is>
      </c>
      <c r="I4622" t="n">
        <v>4</v>
      </c>
      <c r="J4622" s="3" t="n">
        <v>432.72</v>
      </c>
      <c r="K4622" s="3" t="n">
        <v>0</v>
      </c>
      <c r="L4622" s="3" t="n">
        <v>432.72</v>
      </c>
      <c r="M4622" s="3" t="n">
        <v>291.4</v>
      </c>
      <c r="N4622" s="3" t="n">
        <v>141.32</v>
      </c>
      <c r="O4622">
        <f>TEXT(A4622,"yyyy-mm")</f>
        <v/>
      </c>
    </row>
    <row r="4623">
      <c r="A4623" s="2" t="n">
        <v>46245</v>
      </c>
      <c r="B4623" t="n">
        <v>2026</v>
      </c>
      <c r="C4623" t="inlineStr">
        <is>
          <t>August</t>
        </is>
      </c>
      <c r="D4623" t="inlineStr">
        <is>
          <t>Smart Olive Oil</t>
        </is>
      </c>
      <c r="E4623" t="inlineStr">
        <is>
          <t>Grocery</t>
        </is>
      </c>
      <c r="F4623" t="inlineStr">
        <is>
          <t>Sophie Brown</t>
        </is>
      </c>
      <c r="G4623" t="inlineStr">
        <is>
          <t>Poland</t>
        </is>
      </c>
      <c r="H4623" t="inlineStr">
        <is>
          <t>Retail Store</t>
        </is>
      </c>
      <c r="I4623" t="n">
        <v>5</v>
      </c>
      <c r="J4623" s="3" t="n">
        <v>833.8</v>
      </c>
      <c r="K4623" s="3" t="n">
        <v>125.07</v>
      </c>
      <c r="L4623" s="3" t="n">
        <v>708.73</v>
      </c>
      <c r="M4623" s="3" t="n">
        <v>550.1</v>
      </c>
      <c r="N4623" s="3" t="n">
        <v>158.63</v>
      </c>
      <c r="O4623">
        <f>TEXT(A4623,"yyyy-mm")</f>
        <v/>
      </c>
    </row>
    <row r="4624">
      <c r="A4624" s="2" t="n">
        <v>46245</v>
      </c>
      <c r="B4624" t="n">
        <v>2026</v>
      </c>
      <c r="C4624" t="inlineStr">
        <is>
          <t>August</t>
        </is>
      </c>
      <c r="D4624" t="inlineStr">
        <is>
          <t>Eco Sweater</t>
        </is>
      </c>
      <c r="E4624" t="inlineStr">
        <is>
          <t>Clothing</t>
        </is>
      </c>
      <c r="F4624" t="inlineStr">
        <is>
          <t>Robert Smith</t>
        </is>
      </c>
      <c r="G4624" t="inlineStr">
        <is>
          <t>Spain</t>
        </is>
      </c>
      <c r="H4624" t="inlineStr">
        <is>
          <t>Mobile App</t>
        </is>
      </c>
      <c r="I4624" t="n">
        <v>4</v>
      </c>
      <c r="J4624" s="3" t="n">
        <v>591.36</v>
      </c>
      <c r="K4624" s="3" t="n">
        <v>29.57</v>
      </c>
      <c r="L4624" s="3" t="n">
        <v>561.79</v>
      </c>
      <c r="M4624" s="3" t="n">
        <v>416.92</v>
      </c>
      <c r="N4624" s="3" t="n">
        <v>144.87</v>
      </c>
      <c r="O4624">
        <f>TEXT(A4624,"yyyy-mm")</f>
        <v/>
      </c>
    </row>
    <row r="4625">
      <c r="A4625" s="2" t="n">
        <v>46245</v>
      </c>
      <c r="B4625" t="n">
        <v>2026</v>
      </c>
      <c r="C4625" t="inlineStr">
        <is>
          <t>August</t>
        </is>
      </c>
      <c r="D4625" t="inlineStr">
        <is>
          <t>Premium Water Bottle</t>
        </is>
      </c>
      <c r="E4625" t="inlineStr">
        <is>
          <t>Sports &amp; Outdoors</t>
        </is>
      </c>
      <c r="F4625" t="inlineStr">
        <is>
          <t>Sophie Brown</t>
        </is>
      </c>
      <c r="G4625" t="inlineStr">
        <is>
          <t>Poland</t>
        </is>
      </c>
      <c r="H4625" t="inlineStr">
        <is>
          <t>Retail Store</t>
        </is>
      </c>
      <c r="I4625" t="n">
        <v>5</v>
      </c>
      <c r="J4625" s="3" t="n">
        <v>617.4</v>
      </c>
      <c r="K4625" s="3" t="n">
        <v>123.48</v>
      </c>
      <c r="L4625" s="3" t="n">
        <v>493.92</v>
      </c>
      <c r="M4625" s="3" t="n">
        <v>448.1</v>
      </c>
      <c r="N4625" s="3" t="n">
        <v>45.82</v>
      </c>
      <c r="O4625">
        <f>TEXT(A4625,"yyyy-mm")</f>
        <v/>
      </c>
    </row>
    <row r="4626">
      <c r="A4626" s="2" t="n">
        <v>46245</v>
      </c>
      <c r="B4626" t="n">
        <v>2026</v>
      </c>
      <c r="C4626" t="inlineStr">
        <is>
          <t>August</t>
        </is>
      </c>
      <c r="D4626" t="inlineStr">
        <is>
          <t>Ultra Backpack</t>
        </is>
      </c>
      <c r="E4626" t="inlineStr">
        <is>
          <t>Sports &amp; Outdoors</t>
        </is>
      </c>
      <c r="F4626" t="inlineStr">
        <is>
          <t>Sophie Brown</t>
        </is>
      </c>
      <c r="G4626" t="inlineStr">
        <is>
          <t>Poland</t>
        </is>
      </c>
      <c r="H4626" t="inlineStr">
        <is>
          <t>Retail Store</t>
        </is>
      </c>
      <c r="I4626" t="n">
        <v>4</v>
      </c>
      <c r="J4626" s="3" t="n">
        <v>1197.92</v>
      </c>
      <c r="K4626" s="3" t="n">
        <v>119.79</v>
      </c>
      <c r="L4626" s="3" t="n">
        <v>1078.13</v>
      </c>
      <c r="M4626" s="3" t="n">
        <v>694.76</v>
      </c>
      <c r="N4626" s="3" t="n">
        <v>383.37</v>
      </c>
      <c r="O4626">
        <f>TEXT(A4626,"yyyy-mm")</f>
        <v/>
      </c>
    </row>
    <row r="4627">
      <c r="A4627" s="2" t="n">
        <v>46246</v>
      </c>
      <c r="B4627" t="n">
        <v>2026</v>
      </c>
      <c r="C4627" t="inlineStr">
        <is>
          <t>August</t>
        </is>
      </c>
      <c r="D4627" t="inlineStr">
        <is>
          <t>Premium Rug</t>
        </is>
      </c>
      <c r="E4627" t="inlineStr">
        <is>
          <t>Home &amp; Garden</t>
        </is>
      </c>
      <c r="F4627" t="inlineStr">
        <is>
          <t>David Wilson</t>
        </is>
      </c>
      <c r="G4627" t="inlineStr">
        <is>
          <t>Italy</t>
        </is>
      </c>
      <c r="H4627" t="inlineStr">
        <is>
          <t>Mobile App</t>
        </is>
      </c>
      <c r="I4627" t="n">
        <v>5</v>
      </c>
      <c r="J4627" s="3" t="n">
        <v>895.75</v>
      </c>
      <c r="K4627" s="3" t="n">
        <v>0</v>
      </c>
      <c r="L4627" s="3" t="n">
        <v>895.75</v>
      </c>
      <c r="M4627" s="3" t="n">
        <v>555.95</v>
      </c>
      <c r="N4627" s="3" t="n">
        <v>339.8</v>
      </c>
      <c r="O4627">
        <f>TEXT(A4627,"yyyy-mm")</f>
        <v/>
      </c>
    </row>
    <row r="4628">
      <c r="A4628" s="2" t="n">
        <v>46246</v>
      </c>
      <c r="B4628" t="n">
        <v>2026</v>
      </c>
      <c r="C4628" t="inlineStr">
        <is>
          <t>August</t>
        </is>
      </c>
      <c r="D4628" t="inlineStr">
        <is>
          <t>Essential Rug</t>
        </is>
      </c>
      <c r="E4628" t="inlineStr">
        <is>
          <t>Home &amp; Garden</t>
        </is>
      </c>
      <c r="F4628" t="inlineStr">
        <is>
          <t>David Wilson</t>
        </is>
      </c>
      <c r="G4628" t="inlineStr">
        <is>
          <t>Italy</t>
        </is>
      </c>
      <c r="H4628" t="inlineStr">
        <is>
          <t>Mobile App</t>
        </is>
      </c>
      <c r="I4628" t="n">
        <v>3</v>
      </c>
      <c r="J4628" s="3" t="n">
        <v>405.87</v>
      </c>
      <c r="K4628" s="3" t="n">
        <v>0</v>
      </c>
      <c r="L4628" s="3" t="n">
        <v>405.87</v>
      </c>
      <c r="M4628" s="3" t="n">
        <v>228.99</v>
      </c>
      <c r="N4628" s="3" t="n">
        <v>176.88</v>
      </c>
      <c r="O4628">
        <f>TEXT(A4628,"yyyy-mm")</f>
        <v/>
      </c>
    </row>
    <row r="4629">
      <c r="A4629" s="2" t="n">
        <v>46246</v>
      </c>
      <c r="B4629" t="n">
        <v>2026</v>
      </c>
      <c r="C4629" t="inlineStr">
        <is>
          <t>August</t>
        </is>
      </c>
      <c r="D4629" t="inlineStr">
        <is>
          <t>Deluxe Smartwatch</t>
        </is>
      </c>
      <c r="E4629" t="inlineStr">
        <is>
          <t>Electronics</t>
        </is>
      </c>
      <c r="F4629" t="inlineStr">
        <is>
          <t>David Wilson</t>
        </is>
      </c>
      <c r="G4629" t="inlineStr">
        <is>
          <t>Italy</t>
        </is>
      </c>
      <c r="H4629" t="inlineStr">
        <is>
          <t>Mobile App</t>
        </is>
      </c>
      <c r="I4629" t="n">
        <v>2</v>
      </c>
      <c r="J4629" s="3" t="n">
        <v>330.62</v>
      </c>
      <c r="K4629" s="3" t="n">
        <v>49.59</v>
      </c>
      <c r="L4629" s="3" t="n">
        <v>281.03</v>
      </c>
      <c r="M4629" s="3" t="n">
        <v>245.44</v>
      </c>
      <c r="N4629" s="3" t="n">
        <v>35.59</v>
      </c>
      <c r="O4629">
        <f>TEXT(A4629,"yyyy-mm")</f>
        <v/>
      </c>
    </row>
    <row r="4630">
      <c r="A4630" s="2" t="n">
        <v>46246</v>
      </c>
      <c r="B4630" t="n">
        <v>2026</v>
      </c>
      <c r="C4630" t="inlineStr">
        <is>
          <t>August</t>
        </is>
      </c>
      <c r="D4630" t="inlineStr">
        <is>
          <t>Wireless Coffee Beans</t>
        </is>
      </c>
      <c r="E4630" t="inlineStr">
        <is>
          <t>Grocery</t>
        </is>
      </c>
      <c r="F4630" t="inlineStr">
        <is>
          <t>David Wilson</t>
        </is>
      </c>
      <c r="G4630" t="inlineStr">
        <is>
          <t>Italy</t>
        </is>
      </c>
      <c r="H4630" t="inlineStr">
        <is>
          <t>Mobile App</t>
        </is>
      </c>
      <c r="I4630" t="n">
        <v>5</v>
      </c>
      <c r="J4630" s="3" t="n">
        <v>571.55</v>
      </c>
      <c r="K4630" s="3" t="n">
        <v>57.16</v>
      </c>
      <c r="L4630" s="3" t="n">
        <v>514.4</v>
      </c>
      <c r="M4630" s="3" t="n">
        <v>396.85</v>
      </c>
      <c r="N4630" s="3" t="n">
        <v>117.54</v>
      </c>
      <c r="O4630">
        <f>TEXT(A4630,"yyyy-mm")</f>
        <v/>
      </c>
    </row>
    <row r="4631">
      <c r="A4631" s="2" t="n">
        <v>46247</v>
      </c>
      <c r="B4631" t="n">
        <v>2026</v>
      </c>
      <c r="C4631" t="inlineStr">
        <is>
          <t>August</t>
        </is>
      </c>
      <c r="D4631" t="inlineStr">
        <is>
          <t>Eco Tent</t>
        </is>
      </c>
      <c r="E4631" t="inlineStr">
        <is>
          <t>Sports &amp; Outdoors</t>
        </is>
      </c>
      <c r="F4631" t="inlineStr">
        <is>
          <t>James Moreau</t>
        </is>
      </c>
      <c r="G4631" t="inlineStr">
        <is>
          <t>Poland</t>
        </is>
      </c>
      <c r="H4631" t="inlineStr">
        <is>
          <t>Mobile App</t>
        </is>
      </c>
      <c r="I4631" t="n">
        <v>4</v>
      </c>
      <c r="J4631" s="3" t="n">
        <v>985.84</v>
      </c>
      <c r="K4631" s="3" t="n">
        <v>49.29</v>
      </c>
      <c r="L4631" s="3" t="n">
        <v>936.55</v>
      </c>
      <c r="M4631" s="3" t="n">
        <v>540.12</v>
      </c>
      <c r="N4631" s="3" t="n">
        <v>396.43</v>
      </c>
      <c r="O4631">
        <f>TEXT(A4631,"yyyy-mm")</f>
        <v/>
      </c>
    </row>
    <row r="4632">
      <c r="A4632" s="2" t="n">
        <v>46247</v>
      </c>
      <c r="B4632" t="n">
        <v>2026</v>
      </c>
      <c r="C4632" t="inlineStr">
        <is>
          <t>August</t>
        </is>
      </c>
      <c r="D4632" t="inlineStr">
        <is>
          <t>Essential Charger</t>
        </is>
      </c>
      <c r="E4632" t="inlineStr">
        <is>
          <t>Electronics</t>
        </is>
      </c>
      <c r="F4632" t="inlineStr">
        <is>
          <t>James Moreau</t>
        </is>
      </c>
      <c r="G4632" t="inlineStr">
        <is>
          <t>Poland</t>
        </is>
      </c>
      <c r="H4632" t="inlineStr">
        <is>
          <t>Mobile App</t>
        </is>
      </c>
      <c r="I4632" t="n">
        <v>4</v>
      </c>
      <c r="J4632" s="3" t="n">
        <v>178.8</v>
      </c>
      <c r="K4632" s="3" t="n">
        <v>17.88</v>
      </c>
      <c r="L4632" s="3" t="n">
        <v>160.92</v>
      </c>
      <c r="M4632" s="3" t="n">
        <v>116.4</v>
      </c>
      <c r="N4632" s="3" t="n">
        <v>44.52</v>
      </c>
      <c r="O4632">
        <f>TEXT(A4632,"yyyy-mm")</f>
        <v/>
      </c>
    </row>
    <row r="4633">
      <c r="A4633" s="2" t="n">
        <v>46248</v>
      </c>
      <c r="B4633" t="n">
        <v>2026</v>
      </c>
      <c r="C4633" t="inlineStr">
        <is>
          <t>August</t>
        </is>
      </c>
      <c r="D4633" t="inlineStr">
        <is>
          <t>Smart Coffee Beans</t>
        </is>
      </c>
      <c r="E4633" t="inlineStr">
        <is>
          <t>Grocery</t>
        </is>
      </c>
      <c r="F4633" t="inlineStr">
        <is>
          <t>John Brown</t>
        </is>
      </c>
      <c r="G4633" t="inlineStr">
        <is>
          <t>France</t>
        </is>
      </c>
      <c r="H4633" t="inlineStr">
        <is>
          <t>Marketplace</t>
        </is>
      </c>
      <c r="I4633" t="n">
        <v>3</v>
      </c>
      <c r="J4633" s="3" t="n">
        <v>339.57</v>
      </c>
      <c r="K4633" s="3" t="n">
        <v>0</v>
      </c>
      <c r="L4633" s="3" t="n">
        <v>339.57</v>
      </c>
      <c r="M4633" s="3" t="n">
        <v>218.55</v>
      </c>
      <c r="N4633" s="3" t="n">
        <v>121.02</v>
      </c>
      <c r="O4633">
        <f>TEXT(A4633,"yyyy-mm")</f>
        <v/>
      </c>
    </row>
    <row r="4634">
      <c r="A4634" s="2" t="n">
        <v>46248</v>
      </c>
      <c r="B4634" t="n">
        <v>2026</v>
      </c>
      <c r="C4634" t="inlineStr">
        <is>
          <t>August</t>
        </is>
      </c>
      <c r="D4634" t="inlineStr">
        <is>
          <t>Wireless Coffee Beans</t>
        </is>
      </c>
      <c r="E4634" t="inlineStr">
        <is>
          <t>Grocery</t>
        </is>
      </c>
      <c r="F4634" t="inlineStr">
        <is>
          <t>John Brown</t>
        </is>
      </c>
      <c r="G4634" t="inlineStr">
        <is>
          <t>France</t>
        </is>
      </c>
      <c r="H4634" t="inlineStr">
        <is>
          <t>Marketplace</t>
        </is>
      </c>
      <c r="I4634" t="n">
        <v>2</v>
      </c>
      <c r="J4634" s="3" t="n">
        <v>411.2</v>
      </c>
      <c r="K4634" s="3" t="n">
        <v>0</v>
      </c>
      <c r="L4634" s="3" t="n">
        <v>411.2</v>
      </c>
      <c r="M4634" s="3" t="n">
        <v>260.26</v>
      </c>
      <c r="N4634" s="3" t="n">
        <v>150.94</v>
      </c>
      <c r="O4634">
        <f>TEXT(A4634,"yyyy-mm")</f>
        <v/>
      </c>
    </row>
    <row r="4635">
      <c r="A4635" s="2" t="n">
        <v>46248</v>
      </c>
      <c r="B4635" t="n">
        <v>2026</v>
      </c>
      <c r="C4635" t="inlineStr">
        <is>
          <t>August</t>
        </is>
      </c>
      <c r="D4635" t="inlineStr">
        <is>
          <t>Essential Lamp</t>
        </is>
      </c>
      <c r="E4635" t="inlineStr">
        <is>
          <t>Home &amp; Garden</t>
        </is>
      </c>
      <c r="F4635" t="inlineStr">
        <is>
          <t>David Wojcik</t>
        </is>
      </c>
      <c r="G4635" t="inlineStr">
        <is>
          <t>Germany</t>
        </is>
      </c>
      <c r="H4635" t="inlineStr">
        <is>
          <t>Web Store</t>
        </is>
      </c>
      <c r="I4635" t="n">
        <v>1</v>
      </c>
      <c r="J4635" s="3" t="n">
        <v>65.48999999999999</v>
      </c>
      <c r="K4635" s="3" t="n">
        <v>6.55</v>
      </c>
      <c r="L4635" s="3" t="n">
        <v>58.94</v>
      </c>
      <c r="M4635" s="3" t="n">
        <v>45.4</v>
      </c>
      <c r="N4635" s="3" t="n">
        <v>13.54</v>
      </c>
      <c r="O4635">
        <f>TEXT(A4635,"yyyy-mm")</f>
        <v/>
      </c>
    </row>
    <row r="4636">
      <c r="A4636" s="2" t="n">
        <v>46248</v>
      </c>
      <c r="B4636" t="n">
        <v>2026</v>
      </c>
      <c r="C4636" t="inlineStr">
        <is>
          <t>August</t>
        </is>
      </c>
      <c r="D4636" t="inlineStr">
        <is>
          <t>Smart Board Game</t>
        </is>
      </c>
      <c r="E4636" t="inlineStr">
        <is>
          <t>Toys &amp; Games</t>
        </is>
      </c>
      <c r="F4636" t="inlineStr">
        <is>
          <t>David Wojcik</t>
        </is>
      </c>
      <c r="G4636" t="inlineStr">
        <is>
          <t>Germany</t>
        </is>
      </c>
      <c r="H4636" t="inlineStr">
        <is>
          <t>Web Store</t>
        </is>
      </c>
      <c r="I4636" t="n">
        <v>4</v>
      </c>
      <c r="J4636" s="3" t="n">
        <v>512.72</v>
      </c>
      <c r="K4636" s="3" t="n">
        <v>25.64</v>
      </c>
      <c r="L4636" s="3" t="n">
        <v>487.08</v>
      </c>
      <c r="M4636" s="3" t="n">
        <v>366.88</v>
      </c>
      <c r="N4636" s="3" t="n">
        <v>120.2</v>
      </c>
      <c r="O4636">
        <f>TEXT(A4636,"yyyy-mm")</f>
        <v/>
      </c>
    </row>
    <row r="4637">
      <c r="A4637" s="2" t="n">
        <v>46248</v>
      </c>
      <c r="B4637" t="n">
        <v>2026</v>
      </c>
      <c r="C4637" t="inlineStr">
        <is>
          <t>August</t>
        </is>
      </c>
      <c r="D4637" t="inlineStr">
        <is>
          <t>Portable Puzzle</t>
        </is>
      </c>
      <c r="E4637" t="inlineStr">
        <is>
          <t>Toys &amp; Games</t>
        </is>
      </c>
      <c r="F4637" t="inlineStr">
        <is>
          <t>David Wojcik</t>
        </is>
      </c>
      <c r="G4637" t="inlineStr">
        <is>
          <t>Germany</t>
        </is>
      </c>
      <c r="H4637" t="inlineStr">
        <is>
          <t>Web Store</t>
        </is>
      </c>
      <c r="I4637" t="n">
        <v>1</v>
      </c>
      <c r="J4637" s="3" t="n">
        <v>107.17</v>
      </c>
      <c r="K4637" s="3" t="n">
        <v>16.08</v>
      </c>
      <c r="L4637" s="3" t="n">
        <v>91.09</v>
      </c>
      <c r="M4637" s="3" t="n">
        <v>58.8</v>
      </c>
      <c r="N4637" s="3" t="n">
        <v>32.29</v>
      </c>
      <c r="O4637">
        <f>TEXT(A4637,"yyyy-mm")</f>
        <v/>
      </c>
    </row>
    <row r="4638">
      <c r="A4638" s="2" t="n">
        <v>46248</v>
      </c>
      <c r="B4638" t="n">
        <v>2026</v>
      </c>
      <c r="C4638" t="inlineStr">
        <is>
          <t>August</t>
        </is>
      </c>
      <c r="D4638" t="inlineStr">
        <is>
          <t>Smart Camera</t>
        </is>
      </c>
      <c r="E4638" t="inlineStr">
        <is>
          <t>Electronics</t>
        </is>
      </c>
      <c r="F4638" t="inlineStr">
        <is>
          <t>John Muller</t>
        </is>
      </c>
      <c r="G4638" t="inlineStr">
        <is>
          <t>France</t>
        </is>
      </c>
      <c r="H4638" t="inlineStr">
        <is>
          <t>Retail Store</t>
        </is>
      </c>
      <c r="I4638" t="n">
        <v>2</v>
      </c>
      <c r="J4638" s="3" t="n">
        <v>230.32</v>
      </c>
      <c r="K4638" s="3" t="n">
        <v>23.03</v>
      </c>
      <c r="L4638" s="3" t="n">
        <v>207.29</v>
      </c>
      <c r="M4638" s="3" t="n">
        <v>171.16</v>
      </c>
      <c r="N4638" s="3" t="n">
        <v>36.13</v>
      </c>
      <c r="O4638">
        <f>TEXT(A4638,"yyyy-mm")</f>
        <v/>
      </c>
    </row>
    <row r="4639">
      <c r="A4639" s="2" t="n">
        <v>46248</v>
      </c>
      <c r="B4639" t="n">
        <v>2026</v>
      </c>
      <c r="C4639" t="inlineStr">
        <is>
          <t>August</t>
        </is>
      </c>
      <c r="D4639" t="inlineStr">
        <is>
          <t>Classic Tent</t>
        </is>
      </c>
      <c r="E4639" t="inlineStr">
        <is>
          <t>Sports &amp; Outdoors</t>
        </is>
      </c>
      <c r="F4639" t="inlineStr">
        <is>
          <t>Sophie Wilson</t>
        </is>
      </c>
      <c r="G4639" t="inlineStr">
        <is>
          <t>Poland</t>
        </is>
      </c>
      <c r="H4639" t="inlineStr">
        <is>
          <t>Mobile App</t>
        </is>
      </c>
      <c r="I4639" t="n">
        <v>5</v>
      </c>
      <c r="J4639" s="3" t="n">
        <v>1053.35</v>
      </c>
      <c r="K4639" s="3" t="n">
        <v>0</v>
      </c>
      <c r="L4639" s="3" t="n">
        <v>1053.35</v>
      </c>
      <c r="M4639" s="3" t="n">
        <v>590.1</v>
      </c>
      <c r="N4639" s="3" t="n">
        <v>463.25</v>
      </c>
      <c r="O4639">
        <f>TEXT(A4639,"yyyy-mm")</f>
        <v/>
      </c>
    </row>
    <row r="4640">
      <c r="A4640" s="2" t="n">
        <v>46248</v>
      </c>
      <c r="B4640" t="n">
        <v>2026</v>
      </c>
      <c r="C4640" t="inlineStr">
        <is>
          <t>August</t>
        </is>
      </c>
      <c r="D4640" t="inlineStr">
        <is>
          <t>Deluxe Scarf</t>
        </is>
      </c>
      <c r="E4640" t="inlineStr">
        <is>
          <t>Clothing</t>
        </is>
      </c>
      <c r="F4640" t="inlineStr">
        <is>
          <t>Sophie Wilson</t>
        </is>
      </c>
      <c r="G4640" t="inlineStr">
        <is>
          <t>Poland</t>
        </is>
      </c>
      <c r="H4640" t="inlineStr">
        <is>
          <t>Mobile App</t>
        </is>
      </c>
      <c r="I4640" t="n">
        <v>3</v>
      </c>
      <c r="J4640" s="3" t="n">
        <v>574.29</v>
      </c>
      <c r="K4640" s="3" t="n">
        <v>0</v>
      </c>
      <c r="L4640" s="3" t="n">
        <v>574.29</v>
      </c>
      <c r="M4640" s="3" t="n">
        <v>325.56</v>
      </c>
      <c r="N4640" s="3" t="n">
        <v>248.73</v>
      </c>
      <c r="O4640">
        <f>TEXT(A4640,"yyyy-mm")</f>
        <v/>
      </c>
    </row>
    <row r="4641">
      <c r="A4641" s="2" t="n">
        <v>46248</v>
      </c>
      <c r="B4641" t="n">
        <v>2026</v>
      </c>
      <c r="C4641" t="inlineStr">
        <is>
          <t>August</t>
        </is>
      </c>
      <c r="D4641" t="inlineStr">
        <is>
          <t>Essential Toolset</t>
        </is>
      </c>
      <c r="E4641" t="inlineStr">
        <is>
          <t>Home &amp; Garden</t>
        </is>
      </c>
      <c r="F4641" t="inlineStr">
        <is>
          <t>John Muller</t>
        </is>
      </c>
      <c r="G4641" t="inlineStr">
        <is>
          <t>France</t>
        </is>
      </c>
      <c r="H4641" t="inlineStr">
        <is>
          <t>Retail Store</t>
        </is>
      </c>
      <c r="I4641" t="n">
        <v>4</v>
      </c>
      <c r="J4641" s="3" t="n">
        <v>813.36</v>
      </c>
      <c r="K4641" s="3" t="n">
        <v>162.67</v>
      </c>
      <c r="L4641" s="3" t="n">
        <v>650.6900000000001</v>
      </c>
      <c r="M4641" s="3" t="n">
        <v>602.12</v>
      </c>
      <c r="N4641" s="3" t="n">
        <v>48.57</v>
      </c>
      <c r="O4641">
        <f>TEXT(A4641,"yyyy-mm")</f>
        <v/>
      </c>
    </row>
    <row r="4642">
      <c r="A4642" s="2" t="n">
        <v>46248</v>
      </c>
      <c r="B4642" t="n">
        <v>2026</v>
      </c>
      <c r="C4642" t="inlineStr">
        <is>
          <t>August</t>
        </is>
      </c>
      <c r="D4642" t="inlineStr">
        <is>
          <t>Premium Water Bottle</t>
        </is>
      </c>
      <c r="E4642" t="inlineStr">
        <is>
          <t>Sports &amp; Outdoors</t>
        </is>
      </c>
      <c r="F4642" t="inlineStr">
        <is>
          <t>John Muller</t>
        </is>
      </c>
      <c r="G4642" t="inlineStr">
        <is>
          <t>France</t>
        </is>
      </c>
      <c r="H4642" t="inlineStr">
        <is>
          <t>Retail Store</t>
        </is>
      </c>
      <c r="I4642" t="n">
        <v>5</v>
      </c>
      <c r="J4642" s="3" t="n">
        <v>146.2</v>
      </c>
      <c r="K4642" s="3" t="n">
        <v>7.31</v>
      </c>
      <c r="L4642" s="3" t="n">
        <v>138.89</v>
      </c>
      <c r="M4642" s="3" t="n">
        <v>83.15000000000001</v>
      </c>
      <c r="N4642" s="3" t="n">
        <v>55.74</v>
      </c>
      <c r="O4642">
        <f>TEXT(A4642,"yyyy-mm")</f>
        <v/>
      </c>
    </row>
    <row r="4643">
      <c r="A4643" s="2" t="n">
        <v>46248</v>
      </c>
      <c r="B4643" t="n">
        <v>2026</v>
      </c>
      <c r="C4643" t="inlineStr">
        <is>
          <t>August</t>
        </is>
      </c>
      <c r="D4643" t="inlineStr">
        <is>
          <t>Smart Camera</t>
        </is>
      </c>
      <c r="E4643" t="inlineStr">
        <is>
          <t>Electronics</t>
        </is>
      </c>
      <c r="F4643" t="inlineStr">
        <is>
          <t>Thomas Kowalski</t>
        </is>
      </c>
      <c r="G4643" t="inlineStr">
        <is>
          <t>Poland</t>
        </is>
      </c>
      <c r="H4643" t="inlineStr">
        <is>
          <t>Retail Store</t>
        </is>
      </c>
      <c r="I4643" t="n">
        <v>4</v>
      </c>
      <c r="J4643" s="3" t="n">
        <v>493</v>
      </c>
      <c r="K4643" s="3" t="n">
        <v>24.65</v>
      </c>
      <c r="L4643" s="3" t="n">
        <v>468.35</v>
      </c>
      <c r="M4643" s="3" t="n">
        <v>342.32</v>
      </c>
      <c r="N4643" s="3" t="n">
        <v>126.03</v>
      </c>
      <c r="O4643">
        <f>TEXT(A4643,"yyyy-mm")</f>
        <v/>
      </c>
    </row>
    <row r="4644">
      <c r="A4644" s="2" t="n">
        <v>46248</v>
      </c>
      <c r="B4644" t="n">
        <v>2026</v>
      </c>
      <c r="C4644" t="inlineStr">
        <is>
          <t>August</t>
        </is>
      </c>
      <c r="D4644" t="inlineStr">
        <is>
          <t>Essential Jacket</t>
        </is>
      </c>
      <c r="E4644" t="inlineStr">
        <is>
          <t>Clothing</t>
        </is>
      </c>
      <c r="F4644" t="inlineStr">
        <is>
          <t>Thomas Kowalski</t>
        </is>
      </c>
      <c r="G4644" t="inlineStr">
        <is>
          <t>Poland</t>
        </is>
      </c>
      <c r="H4644" t="inlineStr">
        <is>
          <t>Retail Store</t>
        </is>
      </c>
      <c r="I4644" t="n">
        <v>4</v>
      </c>
      <c r="J4644" s="3" t="n">
        <v>586.24</v>
      </c>
      <c r="K4644" s="3" t="n">
        <v>58.62</v>
      </c>
      <c r="L4644" s="3" t="n">
        <v>527.62</v>
      </c>
      <c r="M4644" s="3" t="n">
        <v>341.4</v>
      </c>
      <c r="N4644" s="3" t="n">
        <v>186.22</v>
      </c>
      <c r="O4644">
        <f>TEXT(A4644,"yyyy-mm")</f>
        <v/>
      </c>
    </row>
    <row r="4645">
      <c r="A4645" s="2" t="n">
        <v>46248</v>
      </c>
      <c r="B4645" t="n">
        <v>2026</v>
      </c>
      <c r="C4645" t="inlineStr">
        <is>
          <t>August</t>
        </is>
      </c>
      <c r="D4645" t="inlineStr">
        <is>
          <t>Classic Charger</t>
        </is>
      </c>
      <c r="E4645" t="inlineStr">
        <is>
          <t>Electronics</t>
        </is>
      </c>
      <c r="F4645" t="inlineStr">
        <is>
          <t>John Muller</t>
        </is>
      </c>
      <c r="G4645" t="inlineStr">
        <is>
          <t>France</t>
        </is>
      </c>
      <c r="H4645" t="inlineStr">
        <is>
          <t>Retail Store</t>
        </is>
      </c>
      <c r="I4645" t="n">
        <v>4</v>
      </c>
      <c r="J4645" s="3" t="n">
        <v>367.92</v>
      </c>
      <c r="K4645" s="3" t="n">
        <v>73.58</v>
      </c>
      <c r="L4645" s="3" t="n">
        <v>294.34</v>
      </c>
      <c r="M4645" s="3" t="n">
        <v>248.84</v>
      </c>
      <c r="N4645" s="3" t="n">
        <v>45.5</v>
      </c>
      <c r="O4645">
        <f>TEXT(A4645,"yyyy-mm")</f>
        <v/>
      </c>
    </row>
    <row r="4646">
      <c r="A4646" s="2" t="n">
        <v>46248</v>
      </c>
      <c r="B4646" t="n">
        <v>2026</v>
      </c>
      <c r="C4646" t="inlineStr">
        <is>
          <t>August</t>
        </is>
      </c>
      <c r="D4646" t="inlineStr">
        <is>
          <t>Premium Water Bottle</t>
        </is>
      </c>
      <c r="E4646" t="inlineStr">
        <is>
          <t>Sports &amp; Outdoors</t>
        </is>
      </c>
      <c r="F4646" t="inlineStr">
        <is>
          <t>Thomas Kowalski</t>
        </is>
      </c>
      <c r="G4646" t="inlineStr">
        <is>
          <t>Poland</t>
        </is>
      </c>
      <c r="H4646" t="inlineStr">
        <is>
          <t>Retail Store</t>
        </is>
      </c>
      <c r="I4646" t="n">
        <v>4</v>
      </c>
      <c r="J4646" s="3" t="n">
        <v>473.44</v>
      </c>
      <c r="K4646" s="3" t="n">
        <v>47.34</v>
      </c>
      <c r="L4646" s="3" t="n">
        <v>426.1</v>
      </c>
      <c r="M4646" s="3" t="n">
        <v>358.48</v>
      </c>
      <c r="N4646" s="3" t="n">
        <v>67.62</v>
      </c>
      <c r="O4646">
        <f>TEXT(A4646,"yyyy-mm")</f>
        <v/>
      </c>
    </row>
    <row r="4647">
      <c r="A4647" s="2" t="n">
        <v>46249</v>
      </c>
      <c r="B4647" t="n">
        <v>2026</v>
      </c>
      <c r="C4647" t="inlineStr">
        <is>
          <t>August</t>
        </is>
      </c>
      <c r="D4647" t="inlineStr">
        <is>
          <t>Classic Sunscreen</t>
        </is>
      </c>
      <c r="E4647" t="inlineStr">
        <is>
          <t>Beauty &amp; Health</t>
        </is>
      </c>
      <c r="F4647" t="inlineStr">
        <is>
          <t>Olivia Bianchi</t>
        </is>
      </c>
      <c r="G4647" t="inlineStr">
        <is>
          <t>Spain</t>
        </is>
      </c>
      <c r="H4647" t="inlineStr">
        <is>
          <t>Web Store</t>
        </is>
      </c>
      <c r="I4647" t="n">
        <v>1</v>
      </c>
      <c r="J4647" s="3" t="n">
        <v>138.31</v>
      </c>
      <c r="K4647" s="3" t="n">
        <v>13.83</v>
      </c>
      <c r="L4647" s="3" t="n">
        <v>124.48</v>
      </c>
      <c r="M4647" s="3" t="n">
        <v>93.69</v>
      </c>
      <c r="N4647" s="3" t="n">
        <v>30.79</v>
      </c>
      <c r="O4647">
        <f>TEXT(A4647,"yyyy-mm")</f>
        <v/>
      </c>
    </row>
    <row r="4648">
      <c r="A4648" s="2" t="n">
        <v>46249</v>
      </c>
      <c r="B4648" t="n">
        <v>2026</v>
      </c>
      <c r="C4648" t="inlineStr">
        <is>
          <t>August</t>
        </is>
      </c>
      <c r="D4648" t="inlineStr">
        <is>
          <t>Essential Notebook</t>
        </is>
      </c>
      <c r="E4648" t="inlineStr">
        <is>
          <t>Books</t>
        </is>
      </c>
      <c r="F4648" t="inlineStr">
        <is>
          <t>Robert Wojcik</t>
        </is>
      </c>
      <c r="G4648" t="inlineStr">
        <is>
          <t>Italy</t>
        </is>
      </c>
      <c r="H4648" t="inlineStr">
        <is>
          <t>Marketplace</t>
        </is>
      </c>
      <c r="I4648" t="n">
        <v>2</v>
      </c>
      <c r="J4648" s="3" t="n">
        <v>227.9</v>
      </c>
      <c r="K4648" s="3" t="n">
        <v>34.18</v>
      </c>
      <c r="L4648" s="3" t="n">
        <v>193.72</v>
      </c>
      <c r="M4648" s="3" t="n">
        <v>158.2</v>
      </c>
      <c r="N4648" s="3" t="n">
        <v>35.52</v>
      </c>
      <c r="O4648">
        <f>TEXT(A4648,"yyyy-mm")</f>
        <v/>
      </c>
    </row>
    <row r="4649">
      <c r="A4649" s="2" t="n">
        <v>46249</v>
      </c>
      <c r="B4649" t="n">
        <v>2026</v>
      </c>
      <c r="C4649" t="inlineStr">
        <is>
          <t>August</t>
        </is>
      </c>
      <c r="D4649" t="inlineStr">
        <is>
          <t>Classic Coffee Beans</t>
        </is>
      </c>
      <c r="E4649" t="inlineStr">
        <is>
          <t>Grocery</t>
        </is>
      </c>
      <c r="F4649" t="inlineStr">
        <is>
          <t>Peter Schmidt</t>
        </is>
      </c>
      <c r="G4649" t="inlineStr">
        <is>
          <t>France</t>
        </is>
      </c>
      <c r="H4649" t="inlineStr">
        <is>
          <t>Retail Store</t>
        </is>
      </c>
      <c r="I4649" t="n">
        <v>1</v>
      </c>
      <c r="J4649" s="3" t="n">
        <v>320.45</v>
      </c>
      <c r="K4649" s="3" t="n">
        <v>32.04</v>
      </c>
      <c r="L4649" s="3" t="n">
        <v>288.4</v>
      </c>
      <c r="M4649" s="3" t="n">
        <v>194.76</v>
      </c>
      <c r="N4649" s="3" t="n">
        <v>93.64</v>
      </c>
      <c r="O4649">
        <f>TEXT(A4649,"yyyy-mm")</f>
        <v/>
      </c>
    </row>
    <row r="4650">
      <c r="A4650" s="2" t="n">
        <v>46249</v>
      </c>
      <c r="B4650" t="n">
        <v>2026</v>
      </c>
      <c r="C4650" t="inlineStr">
        <is>
          <t>August</t>
        </is>
      </c>
      <c r="D4650" t="inlineStr">
        <is>
          <t>Eco Drone</t>
        </is>
      </c>
      <c r="E4650" t="inlineStr">
        <is>
          <t>Toys &amp; Games</t>
        </is>
      </c>
      <c r="F4650" t="inlineStr">
        <is>
          <t>Peter Schmidt</t>
        </is>
      </c>
      <c r="G4650" t="inlineStr">
        <is>
          <t>France</t>
        </is>
      </c>
      <c r="H4650" t="inlineStr">
        <is>
          <t>Retail Store</t>
        </is>
      </c>
      <c r="I4650" t="n">
        <v>2</v>
      </c>
      <c r="J4650" s="3" t="n">
        <v>418.64</v>
      </c>
      <c r="K4650" s="3" t="n">
        <v>0</v>
      </c>
      <c r="L4650" s="3" t="n">
        <v>418.64</v>
      </c>
      <c r="M4650" s="3" t="n">
        <v>259.18</v>
      </c>
      <c r="N4650" s="3" t="n">
        <v>159.46</v>
      </c>
      <c r="O4650">
        <f>TEXT(A4650,"yyyy-mm")</f>
        <v/>
      </c>
    </row>
    <row r="4651">
      <c r="A4651" s="2" t="n">
        <v>46249</v>
      </c>
      <c r="B4651" t="n">
        <v>2026</v>
      </c>
      <c r="C4651" t="inlineStr">
        <is>
          <t>August</t>
        </is>
      </c>
      <c r="D4651" t="inlineStr">
        <is>
          <t>Essential Pasta</t>
        </is>
      </c>
      <c r="E4651" t="inlineStr">
        <is>
          <t>Grocery</t>
        </is>
      </c>
      <c r="F4651" t="inlineStr">
        <is>
          <t>James Wojcik</t>
        </is>
      </c>
      <c r="G4651" t="inlineStr">
        <is>
          <t>Netherlands</t>
        </is>
      </c>
      <c r="H4651" t="inlineStr">
        <is>
          <t>Mobile App</t>
        </is>
      </c>
      <c r="I4651" t="n">
        <v>1</v>
      </c>
      <c r="J4651" s="3" t="n">
        <v>53.64</v>
      </c>
      <c r="K4651" s="3" t="n">
        <v>5.36</v>
      </c>
      <c r="L4651" s="3" t="n">
        <v>48.28</v>
      </c>
      <c r="M4651" s="3" t="n">
        <v>35.81</v>
      </c>
      <c r="N4651" s="3" t="n">
        <v>12.47</v>
      </c>
      <c r="O4651">
        <f>TEXT(A4651,"yyyy-mm")</f>
        <v/>
      </c>
    </row>
    <row r="4652">
      <c r="A4652" s="2" t="n">
        <v>46249</v>
      </c>
      <c r="B4652" t="n">
        <v>2026</v>
      </c>
      <c r="C4652" t="inlineStr">
        <is>
          <t>August</t>
        </is>
      </c>
      <c r="D4652" t="inlineStr">
        <is>
          <t>Eco Sweater</t>
        </is>
      </c>
      <c r="E4652" t="inlineStr">
        <is>
          <t>Clothing</t>
        </is>
      </c>
      <c r="F4652" t="inlineStr">
        <is>
          <t>James Wojcik</t>
        </is>
      </c>
      <c r="G4652" t="inlineStr">
        <is>
          <t>Netherlands</t>
        </is>
      </c>
      <c r="H4652" t="inlineStr">
        <is>
          <t>Mobile App</t>
        </is>
      </c>
      <c r="I4652" t="n">
        <v>3</v>
      </c>
      <c r="J4652" s="3" t="n">
        <v>475.68</v>
      </c>
      <c r="K4652" s="3" t="n">
        <v>0</v>
      </c>
      <c r="L4652" s="3" t="n">
        <v>475.68</v>
      </c>
      <c r="M4652" s="3" t="n">
        <v>312.69</v>
      </c>
      <c r="N4652" s="3" t="n">
        <v>162.99</v>
      </c>
      <c r="O4652">
        <f>TEXT(A4652,"yyyy-mm")</f>
        <v/>
      </c>
    </row>
    <row r="4653">
      <c r="A4653" s="2" t="n">
        <v>46249</v>
      </c>
      <c r="B4653" t="n">
        <v>2026</v>
      </c>
      <c r="C4653" t="inlineStr">
        <is>
          <t>August</t>
        </is>
      </c>
      <c r="D4653" t="inlineStr">
        <is>
          <t>Deluxe Scarf</t>
        </is>
      </c>
      <c r="E4653" t="inlineStr">
        <is>
          <t>Clothing</t>
        </is>
      </c>
      <c r="F4653" t="inlineStr">
        <is>
          <t>Peter Schmidt</t>
        </is>
      </c>
      <c r="G4653" t="inlineStr">
        <is>
          <t>United Kingdom</t>
        </is>
      </c>
      <c r="H4653" t="inlineStr">
        <is>
          <t>Marketplace</t>
        </is>
      </c>
      <c r="I4653" t="n">
        <v>3</v>
      </c>
      <c r="J4653" s="3" t="n">
        <v>613.35</v>
      </c>
      <c r="K4653" s="3" t="n">
        <v>0</v>
      </c>
      <c r="L4653" s="3" t="n">
        <v>613.35</v>
      </c>
      <c r="M4653" s="3" t="n">
        <v>325.56</v>
      </c>
      <c r="N4653" s="3" t="n">
        <v>287.79</v>
      </c>
      <c r="O4653">
        <f>TEXT(A4653,"yyyy-mm")</f>
        <v/>
      </c>
    </row>
    <row r="4654">
      <c r="A4654" s="2" t="n">
        <v>46249</v>
      </c>
      <c r="B4654" t="n">
        <v>2026</v>
      </c>
      <c r="C4654" t="inlineStr">
        <is>
          <t>August</t>
        </is>
      </c>
      <c r="D4654" t="inlineStr">
        <is>
          <t>Eco Tent</t>
        </is>
      </c>
      <c r="E4654" t="inlineStr">
        <is>
          <t>Sports &amp; Outdoors</t>
        </is>
      </c>
      <c r="F4654" t="inlineStr">
        <is>
          <t>Thomas Nowak</t>
        </is>
      </c>
      <c r="G4654" t="inlineStr">
        <is>
          <t>Germany</t>
        </is>
      </c>
      <c r="H4654" t="inlineStr">
        <is>
          <t>Mobile App</t>
        </is>
      </c>
      <c r="I4654" t="n">
        <v>1</v>
      </c>
      <c r="J4654" s="3" t="n">
        <v>66.06999999999999</v>
      </c>
      <c r="K4654" s="3" t="n">
        <v>3.3</v>
      </c>
      <c r="L4654" s="3" t="n">
        <v>62.77</v>
      </c>
      <c r="M4654" s="3" t="n">
        <v>43.85</v>
      </c>
      <c r="N4654" s="3" t="n">
        <v>18.92</v>
      </c>
      <c r="O4654">
        <f>TEXT(A4654,"yyyy-mm")</f>
        <v/>
      </c>
    </row>
    <row r="4655">
      <c r="A4655" s="2" t="n">
        <v>46249</v>
      </c>
      <c r="B4655" t="n">
        <v>2026</v>
      </c>
      <c r="C4655" t="inlineStr">
        <is>
          <t>August</t>
        </is>
      </c>
      <c r="D4655" t="inlineStr">
        <is>
          <t>Essential Rug</t>
        </is>
      </c>
      <c r="E4655" t="inlineStr">
        <is>
          <t>Home &amp; Garden</t>
        </is>
      </c>
      <c r="F4655" t="inlineStr">
        <is>
          <t>Peter Schmidt</t>
        </is>
      </c>
      <c r="G4655" t="inlineStr">
        <is>
          <t>United Kingdom</t>
        </is>
      </c>
      <c r="H4655" t="inlineStr">
        <is>
          <t>Marketplace</t>
        </is>
      </c>
      <c r="I4655" t="n">
        <v>2</v>
      </c>
      <c r="J4655" s="3" t="n">
        <v>275.28</v>
      </c>
      <c r="K4655" s="3" t="n">
        <v>27.53</v>
      </c>
      <c r="L4655" s="3" t="n">
        <v>247.75</v>
      </c>
      <c r="M4655" s="3" t="n">
        <v>152.66</v>
      </c>
      <c r="N4655" s="3" t="n">
        <v>95.09</v>
      </c>
      <c r="O4655">
        <f>TEXT(A4655,"yyyy-mm")</f>
        <v/>
      </c>
    </row>
    <row r="4656">
      <c r="A4656" s="2" t="n">
        <v>46249</v>
      </c>
      <c r="B4656" t="n">
        <v>2026</v>
      </c>
      <c r="C4656" t="inlineStr">
        <is>
          <t>August</t>
        </is>
      </c>
      <c r="D4656" t="inlineStr">
        <is>
          <t>Deluxe Puzzle</t>
        </is>
      </c>
      <c r="E4656" t="inlineStr">
        <is>
          <t>Toys &amp; Games</t>
        </is>
      </c>
      <c r="F4656" t="inlineStr">
        <is>
          <t>Peter Schmidt</t>
        </is>
      </c>
      <c r="G4656" t="inlineStr">
        <is>
          <t>France</t>
        </is>
      </c>
      <c r="H4656" t="inlineStr">
        <is>
          <t>Retail Store</t>
        </is>
      </c>
      <c r="I4656" t="n">
        <v>5</v>
      </c>
      <c r="J4656" s="3" t="n">
        <v>1055.6</v>
      </c>
      <c r="K4656" s="3" t="n">
        <v>0</v>
      </c>
      <c r="L4656" s="3" t="n">
        <v>1055.6</v>
      </c>
      <c r="M4656" s="3" t="n">
        <v>555.85</v>
      </c>
      <c r="N4656" s="3" t="n">
        <v>499.75</v>
      </c>
      <c r="O4656">
        <f>TEXT(A4656,"yyyy-mm")</f>
        <v/>
      </c>
    </row>
    <row r="4657">
      <c r="A4657" s="2" t="n">
        <v>46249</v>
      </c>
      <c r="B4657" t="n">
        <v>2026</v>
      </c>
      <c r="C4657" t="inlineStr">
        <is>
          <t>August</t>
        </is>
      </c>
      <c r="D4657" t="inlineStr">
        <is>
          <t>Eco Tent</t>
        </is>
      </c>
      <c r="E4657" t="inlineStr">
        <is>
          <t>Sports &amp; Outdoors</t>
        </is>
      </c>
      <c r="F4657" t="inlineStr">
        <is>
          <t>James Wojcik</t>
        </is>
      </c>
      <c r="G4657" t="inlineStr">
        <is>
          <t>Netherlands</t>
        </is>
      </c>
      <c r="H4657" t="inlineStr">
        <is>
          <t>Mobile App</t>
        </is>
      </c>
      <c r="I4657" t="n">
        <v>5</v>
      </c>
      <c r="J4657" s="3" t="n">
        <v>1225.85</v>
      </c>
      <c r="K4657" s="3" t="n">
        <v>0</v>
      </c>
      <c r="L4657" s="3" t="n">
        <v>1225.85</v>
      </c>
      <c r="M4657" s="3" t="n">
        <v>675.15</v>
      </c>
      <c r="N4657" s="3" t="n">
        <v>550.7</v>
      </c>
      <c r="O4657">
        <f>TEXT(A4657,"yyyy-mm")</f>
        <v/>
      </c>
    </row>
    <row r="4658">
      <c r="A4658" s="2" t="n">
        <v>46250</v>
      </c>
      <c r="B4658" t="n">
        <v>2026</v>
      </c>
      <c r="C4658" t="inlineStr">
        <is>
          <t>August</t>
        </is>
      </c>
      <c r="D4658" t="inlineStr">
        <is>
          <t>Ultra Backpack</t>
        </is>
      </c>
      <c r="E4658" t="inlineStr">
        <is>
          <t>Sports &amp; Outdoors</t>
        </is>
      </c>
      <c r="F4658" t="inlineStr">
        <is>
          <t>Laura Rossi</t>
        </is>
      </c>
      <c r="G4658" t="inlineStr">
        <is>
          <t>United States</t>
        </is>
      </c>
      <c r="H4658" t="inlineStr">
        <is>
          <t>Mobile App</t>
        </is>
      </c>
      <c r="I4658" t="n">
        <v>1</v>
      </c>
      <c r="J4658" s="3" t="n">
        <v>295.01</v>
      </c>
      <c r="K4658" s="3" t="n">
        <v>44.25</v>
      </c>
      <c r="L4658" s="3" t="n">
        <v>250.76</v>
      </c>
      <c r="M4658" s="3" t="n">
        <v>173.69</v>
      </c>
      <c r="N4658" s="3" t="n">
        <v>77.06999999999999</v>
      </c>
      <c r="O4658">
        <f>TEXT(A4658,"yyyy-mm")</f>
        <v/>
      </c>
    </row>
    <row r="4659">
      <c r="A4659" s="2" t="n">
        <v>46250</v>
      </c>
      <c r="B4659" t="n">
        <v>2026</v>
      </c>
      <c r="C4659" t="inlineStr">
        <is>
          <t>August</t>
        </is>
      </c>
      <c r="D4659" t="inlineStr">
        <is>
          <t>Classic Bike Helmet</t>
        </is>
      </c>
      <c r="E4659" t="inlineStr">
        <is>
          <t>Sports &amp; Outdoors</t>
        </is>
      </c>
      <c r="F4659" t="inlineStr">
        <is>
          <t>Laura Rossi</t>
        </is>
      </c>
      <c r="G4659" t="inlineStr">
        <is>
          <t>United States</t>
        </is>
      </c>
      <c r="H4659" t="inlineStr">
        <is>
          <t>Mobile App</t>
        </is>
      </c>
      <c r="I4659" t="n">
        <v>1</v>
      </c>
      <c r="J4659" s="3" t="n">
        <v>219.33</v>
      </c>
      <c r="K4659" s="3" t="n">
        <v>10.97</v>
      </c>
      <c r="L4659" s="3" t="n">
        <v>208.36</v>
      </c>
      <c r="M4659" s="3" t="n">
        <v>153.81</v>
      </c>
      <c r="N4659" s="3" t="n">
        <v>54.55</v>
      </c>
      <c r="O4659">
        <f>TEXT(A4659,"yyyy-mm")</f>
        <v/>
      </c>
    </row>
    <row r="4660">
      <c r="A4660" s="2" t="n">
        <v>46250</v>
      </c>
      <c r="B4660" t="n">
        <v>2026</v>
      </c>
      <c r="C4660" t="inlineStr">
        <is>
          <t>August</t>
        </is>
      </c>
      <c r="D4660" t="inlineStr">
        <is>
          <t>Deluxe Notebook</t>
        </is>
      </c>
      <c r="E4660" t="inlineStr">
        <is>
          <t>Books</t>
        </is>
      </c>
      <c r="F4660" t="inlineStr">
        <is>
          <t>Laura Rossi</t>
        </is>
      </c>
      <c r="G4660" t="inlineStr">
        <is>
          <t>United States</t>
        </is>
      </c>
      <c r="H4660" t="inlineStr">
        <is>
          <t>Mobile App</t>
        </is>
      </c>
      <c r="I4660" t="n">
        <v>2</v>
      </c>
      <c r="J4660" s="3" t="n">
        <v>414.06</v>
      </c>
      <c r="K4660" s="3" t="n">
        <v>20.7</v>
      </c>
      <c r="L4660" s="3" t="n">
        <v>393.36</v>
      </c>
      <c r="M4660" s="3" t="n">
        <v>301.52</v>
      </c>
      <c r="N4660" s="3" t="n">
        <v>91.84</v>
      </c>
      <c r="O4660">
        <f>TEXT(A4660,"yyyy-mm")</f>
        <v/>
      </c>
    </row>
    <row r="4661">
      <c r="A4661" s="2" t="n">
        <v>46250</v>
      </c>
      <c r="B4661" t="n">
        <v>2026</v>
      </c>
      <c r="C4661" t="inlineStr">
        <is>
          <t>August</t>
        </is>
      </c>
      <c r="D4661" t="inlineStr">
        <is>
          <t>Classic Charger</t>
        </is>
      </c>
      <c r="E4661" t="inlineStr">
        <is>
          <t>Electronics</t>
        </is>
      </c>
      <c r="F4661" t="inlineStr">
        <is>
          <t>Laura Rossi</t>
        </is>
      </c>
      <c r="G4661" t="inlineStr">
        <is>
          <t>United States</t>
        </is>
      </c>
      <c r="H4661" t="inlineStr">
        <is>
          <t>Mobile App</t>
        </is>
      </c>
      <c r="I4661" t="n">
        <v>3</v>
      </c>
      <c r="J4661" s="3" t="n">
        <v>275.16</v>
      </c>
      <c r="K4661" s="3" t="n">
        <v>0</v>
      </c>
      <c r="L4661" s="3" t="n">
        <v>275.16</v>
      </c>
      <c r="M4661" s="3" t="n">
        <v>186.63</v>
      </c>
      <c r="N4661" s="3" t="n">
        <v>88.53</v>
      </c>
      <c r="O4661">
        <f>TEXT(A4661,"yyyy-mm")</f>
        <v/>
      </c>
    </row>
    <row r="4662">
      <c r="A4662" s="2" t="n">
        <v>46251</v>
      </c>
      <c r="B4662" t="n">
        <v>2026</v>
      </c>
      <c r="C4662" t="inlineStr">
        <is>
          <t>August</t>
        </is>
      </c>
      <c r="D4662" t="inlineStr">
        <is>
          <t>Smart Puzzle</t>
        </is>
      </c>
      <c r="E4662" t="inlineStr">
        <is>
          <t>Toys &amp; Games</t>
        </is>
      </c>
      <c r="F4662" t="inlineStr">
        <is>
          <t>Michael Nowak</t>
        </is>
      </c>
      <c r="G4662" t="inlineStr">
        <is>
          <t>United Kingdom</t>
        </is>
      </c>
      <c r="H4662" t="inlineStr">
        <is>
          <t>Marketplace</t>
        </is>
      </c>
      <c r="I4662" t="n">
        <v>5</v>
      </c>
      <c r="J4662" s="3" t="n">
        <v>1283.8</v>
      </c>
      <c r="K4662" s="3" t="n">
        <v>0</v>
      </c>
      <c r="L4662" s="3" t="n">
        <v>1283.8</v>
      </c>
      <c r="M4662" s="3" t="n">
        <v>963.8</v>
      </c>
      <c r="N4662" s="3" t="n">
        <v>320</v>
      </c>
      <c r="O4662">
        <f>TEXT(A4662,"yyyy-mm")</f>
        <v/>
      </c>
    </row>
    <row r="4663">
      <c r="A4663" s="2" t="n">
        <v>46251</v>
      </c>
      <c r="B4663" t="n">
        <v>2026</v>
      </c>
      <c r="C4663" t="inlineStr">
        <is>
          <t>August</t>
        </is>
      </c>
      <c r="D4663" t="inlineStr">
        <is>
          <t>Eco Tent</t>
        </is>
      </c>
      <c r="E4663" t="inlineStr">
        <is>
          <t>Sports &amp; Outdoors</t>
        </is>
      </c>
      <c r="F4663" t="inlineStr">
        <is>
          <t>Michael Nowak</t>
        </is>
      </c>
      <c r="G4663" t="inlineStr">
        <is>
          <t>United Kingdom</t>
        </is>
      </c>
      <c r="H4663" t="inlineStr">
        <is>
          <t>Marketplace</t>
        </is>
      </c>
      <c r="I4663" t="n">
        <v>1</v>
      </c>
      <c r="J4663" s="3" t="n">
        <v>68.84</v>
      </c>
      <c r="K4663" s="3" t="n">
        <v>6.88</v>
      </c>
      <c r="L4663" s="3" t="n">
        <v>61.96</v>
      </c>
      <c r="M4663" s="3" t="n">
        <v>43.85</v>
      </c>
      <c r="N4663" s="3" t="n">
        <v>18.11</v>
      </c>
      <c r="O4663">
        <f>TEXT(A4663,"yyyy-mm")</f>
        <v/>
      </c>
    </row>
    <row r="4664">
      <c r="A4664" s="2" t="n">
        <v>46252</v>
      </c>
      <c r="B4664" t="n">
        <v>2026</v>
      </c>
      <c r="C4664" t="inlineStr">
        <is>
          <t>August</t>
        </is>
      </c>
      <c r="D4664" t="inlineStr">
        <is>
          <t>Eco Sweater</t>
        </is>
      </c>
      <c r="E4664" t="inlineStr">
        <is>
          <t>Clothing</t>
        </is>
      </c>
      <c r="F4664" t="inlineStr">
        <is>
          <t>Mark Martin</t>
        </is>
      </c>
      <c r="G4664" t="inlineStr">
        <is>
          <t>Spain</t>
        </is>
      </c>
      <c r="H4664" t="inlineStr">
        <is>
          <t>Marketplace</t>
        </is>
      </c>
      <c r="I4664" t="n">
        <v>4</v>
      </c>
      <c r="J4664" s="3" t="n">
        <v>590.88</v>
      </c>
      <c r="K4664" s="3" t="n">
        <v>118.18</v>
      </c>
      <c r="L4664" s="3" t="n">
        <v>472.7</v>
      </c>
      <c r="M4664" s="3" t="n">
        <v>416.92</v>
      </c>
      <c r="N4664" s="3" t="n">
        <v>55.78</v>
      </c>
      <c r="O4664">
        <f>TEXT(A4664,"yyyy-mm")</f>
        <v/>
      </c>
    </row>
    <row r="4665">
      <c r="A4665" s="2" t="n">
        <v>46252</v>
      </c>
      <c r="B4665" t="n">
        <v>2026</v>
      </c>
      <c r="C4665" t="inlineStr">
        <is>
          <t>August</t>
        </is>
      </c>
      <c r="D4665" t="inlineStr">
        <is>
          <t>Portable Toolset</t>
        </is>
      </c>
      <c r="E4665" t="inlineStr">
        <is>
          <t>Home &amp; Garden</t>
        </is>
      </c>
      <c r="F4665" t="inlineStr">
        <is>
          <t>James Weber</t>
        </is>
      </c>
      <c r="G4665" t="inlineStr">
        <is>
          <t>Germany</t>
        </is>
      </c>
      <c r="H4665" t="inlineStr">
        <is>
          <t>Web Store</t>
        </is>
      </c>
      <c r="I4665" t="n">
        <v>1</v>
      </c>
      <c r="J4665" s="3" t="n">
        <v>91.95999999999999</v>
      </c>
      <c r="K4665" s="3" t="n">
        <v>9.199999999999999</v>
      </c>
      <c r="L4665" s="3" t="n">
        <v>82.76000000000001</v>
      </c>
      <c r="M4665" s="3" t="n">
        <v>50.54</v>
      </c>
      <c r="N4665" s="3" t="n">
        <v>32.22</v>
      </c>
      <c r="O4665">
        <f>TEXT(A4665,"yyyy-mm")</f>
        <v/>
      </c>
    </row>
    <row r="4666">
      <c r="A4666" s="2" t="n">
        <v>46252</v>
      </c>
      <c r="B4666" t="n">
        <v>2026</v>
      </c>
      <c r="C4666" t="inlineStr">
        <is>
          <t>August</t>
        </is>
      </c>
      <c r="D4666" t="inlineStr">
        <is>
          <t>Wireless Coffee Beans</t>
        </is>
      </c>
      <c r="E4666" t="inlineStr">
        <is>
          <t>Grocery</t>
        </is>
      </c>
      <c r="F4666" t="inlineStr">
        <is>
          <t>Mark Martin</t>
        </is>
      </c>
      <c r="G4666" t="inlineStr">
        <is>
          <t>Spain</t>
        </is>
      </c>
      <c r="H4666" t="inlineStr">
        <is>
          <t>Marketplace</t>
        </is>
      </c>
      <c r="I4666" t="n">
        <v>2</v>
      </c>
      <c r="J4666" s="3" t="n">
        <v>429.94</v>
      </c>
      <c r="K4666" s="3" t="n">
        <v>0</v>
      </c>
      <c r="L4666" s="3" t="n">
        <v>429.94</v>
      </c>
      <c r="M4666" s="3" t="n">
        <v>260.26</v>
      </c>
      <c r="N4666" s="3" t="n">
        <v>169.68</v>
      </c>
      <c r="O4666">
        <f>TEXT(A4666,"yyyy-mm")</f>
        <v/>
      </c>
    </row>
    <row r="4667">
      <c r="A4667" s="2" t="n">
        <v>46253</v>
      </c>
      <c r="B4667" t="n">
        <v>2026</v>
      </c>
      <c r="C4667" t="inlineStr">
        <is>
          <t>August</t>
        </is>
      </c>
      <c r="D4667" t="inlineStr">
        <is>
          <t>Premium Tent</t>
        </is>
      </c>
      <c r="E4667" t="inlineStr">
        <is>
          <t>Sports &amp; Outdoors</t>
        </is>
      </c>
      <c r="F4667" t="inlineStr">
        <is>
          <t>Paul Brown</t>
        </is>
      </c>
      <c r="G4667" t="inlineStr">
        <is>
          <t>United Kingdom</t>
        </is>
      </c>
      <c r="H4667" t="inlineStr">
        <is>
          <t>Retail Store</t>
        </is>
      </c>
      <c r="I4667" t="n">
        <v>2</v>
      </c>
      <c r="J4667" s="3" t="n">
        <v>297.14</v>
      </c>
      <c r="K4667" s="3" t="n">
        <v>0</v>
      </c>
      <c r="L4667" s="3" t="n">
        <v>297.14</v>
      </c>
      <c r="M4667" s="3" t="n">
        <v>192.8</v>
      </c>
      <c r="N4667" s="3" t="n">
        <v>104.34</v>
      </c>
      <c r="O4667">
        <f>TEXT(A4667,"yyyy-mm")</f>
        <v/>
      </c>
    </row>
    <row r="4668">
      <c r="A4668" s="2" t="n">
        <v>46253</v>
      </c>
      <c r="B4668" t="n">
        <v>2026</v>
      </c>
      <c r="C4668" t="inlineStr">
        <is>
          <t>August</t>
        </is>
      </c>
      <c r="D4668" t="inlineStr">
        <is>
          <t>Portable Speaker</t>
        </is>
      </c>
      <c r="E4668" t="inlineStr">
        <is>
          <t>Electronics</t>
        </is>
      </c>
      <c r="F4668" t="inlineStr">
        <is>
          <t>Paul Brown</t>
        </is>
      </c>
      <c r="G4668" t="inlineStr">
        <is>
          <t>United Kingdom</t>
        </is>
      </c>
      <c r="H4668" t="inlineStr">
        <is>
          <t>Retail Store</t>
        </is>
      </c>
      <c r="I4668" t="n">
        <v>1</v>
      </c>
      <c r="J4668" s="3" t="n">
        <v>324.74</v>
      </c>
      <c r="K4668" s="3" t="n">
        <v>32.47</v>
      </c>
      <c r="L4668" s="3" t="n">
        <v>292.27</v>
      </c>
      <c r="M4668" s="3" t="n">
        <v>174.83</v>
      </c>
      <c r="N4668" s="3" t="n">
        <v>117.44</v>
      </c>
      <c r="O4668">
        <f>TEXT(A4668,"yyyy-mm")</f>
        <v/>
      </c>
    </row>
    <row r="4669">
      <c r="A4669" s="2" t="n">
        <v>46253</v>
      </c>
      <c r="B4669" t="n">
        <v>2026</v>
      </c>
      <c r="C4669" t="inlineStr">
        <is>
          <t>August</t>
        </is>
      </c>
      <c r="D4669" t="inlineStr">
        <is>
          <t>Smart Puzzle</t>
        </is>
      </c>
      <c r="E4669" t="inlineStr">
        <is>
          <t>Toys &amp; Games</t>
        </is>
      </c>
      <c r="F4669" t="inlineStr">
        <is>
          <t>Michael Martin</t>
        </is>
      </c>
      <c r="G4669" t="inlineStr">
        <is>
          <t>Italy</t>
        </is>
      </c>
      <c r="H4669" t="inlineStr">
        <is>
          <t>Marketplace</t>
        </is>
      </c>
      <c r="I4669" t="n">
        <v>1</v>
      </c>
      <c r="J4669" s="3" t="n">
        <v>262.45</v>
      </c>
      <c r="K4669" s="3" t="n">
        <v>39.37</v>
      </c>
      <c r="L4669" s="3" t="n">
        <v>223.08</v>
      </c>
      <c r="M4669" s="3" t="n">
        <v>192.76</v>
      </c>
      <c r="N4669" s="3" t="n">
        <v>30.32</v>
      </c>
      <c r="O4669">
        <f>TEXT(A4669,"yyyy-mm")</f>
        <v/>
      </c>
    </row>
    <row r="4670">
      <c r="A4670" s="2" t="n">
        <v>46253</v>
      </c>
      <c r="B4670" t="n">
        <v>2026</v>
      </c>
      <c r="C4670" t="inlineStr">
        <is>
          <t>August</t>
        </is>
      </c>
      <c r="D4670" t="inlineStr">
        <is>
          <t>Eco Backpack</t>
        </is>
      </c>
      <c r="E4670" t="inlineStr">
        <is>
          <t>Sports &amp; Outdoors</t>
        </is>
      </c>
      <c r="F4670" t="inlineStr">
        <is>
          <t>Paul Brown</t>
        </is>
      </c>
      <c r="G4670" t="inlineStr">
        <is>
          <t>United Kingdom</t>
        </is>
      </c>
      <c r="H4670" t="inlineStr">
        <is>
          <t>Retail Store</t>
        </is>
      </c>
      <c r="I4670" t="n">
        <v>2</v>
      </c>
      <c r="J4670" s="3" t="n">
        <v>502.62</v>
      </c>
      <c r="K4670" s="3" t="n">
        <v>0</v>
      </c>
      <c r="L4670" s="3" t="n">
        <v>502.62</v>
      </c>
      <c r="M4670" s="3" t="n">
        <v>293.16</v>
      </c>
      <c r="N4670" s="3" t="n">
        <v>209.46</v>
      </c>
      <c r="O4670">
        <f>TEXT(A4670,"yyyy-mm")</f>
        <v/>
      </c>
    </row>
    <row r="4671">
      <c r="A4671" s="2" t="n">
        <v>46253</v>
      </c>
      <c r="B4671" t="n">
        <v>2026</v>
      </c>
      <c r="C4671" t="inlineStr">
        <is>
          <t>August</t>
        </is>
      </c>
      <c r="D4671" t="inlineStr">
        <is>
          <t>Smart Drone</t>
        </is>
      </c>
      <c r="E4671" t="inlineStr">
        <is>
          <t>Toys &amp; Games</t>
        </is>
      </c>
      <c r="F4671" t="inlineStr">
        <is>
          <t>Paul Brown</t>
        </is>
      </c>
      <c r="G4671" t="inlineStr">
        <is>
          <t>United Kingdom</t>
        </is>
      </c>
      <c r="H4671" t="inlineStr">
        <is>
          <t>Retail Store</t>
        </is>
      </c>
      <c r="I4671" t="n">
        <v>2</v>
      </c>
      <c r="J4671" s="3" t="n">
        <v>425.1</v>
      </c>
      <c r="K4671" s="3" t="n">
        <v>42.51</v>
      </c>
      <c r="L4671" s="3" t="n">
        <v>382.59</v>
      </c>
      <c r="M4671" s="3" t="n">
        <v>253.9</v>
      </c>
      <c r="N4671" s="3" t="n">
        <v>128.69</v>
      </c>
      <c r="O4671">
        <f>TEXT(A4671,"yyyy-mm")</f>
        <v/>
      </c>
    </row>
    <row r="4672">
      <c r="A4672" s="2" t="n">
        <v>46253</v>
      </c>
      <c r="B4672" t="n">
        <v>2026</v>
      </c>
      <c r="C4672" t="inlineStr">
        <is>
          <t>August</t>
        </is>
      </c>
      <c r="D4672" t="inlineStr">
        <is>
          <t>Smart Drone</t>
        </is>
      </c>
      <c r="E4672" t="inlineStr">
        <is>
          <t>Toys &amp; Games</t>
        </is>
      </c>
      <c r="F4672" t="inlineStr">
        <is>
          <t>Daniel Conti</t>
        </is>
      </c>
      <c r="G4672" t="inlineStr">
        <is>
          <t>United Kingdom</t>
        </is>
      </c>
      <c r="H4672" t="inlineStr">
        <is>
          <t>Retail Store</t>
        </is>
      </c>
      <c r="I4672" t="n">
        <v>3</v>
      </c>
      <c r="J4672" s="3" t="n">
        <v>654.0599999999999</v>
      </c>
      <c r="K4672" s="3" t="n">
        <v>0</v>
      </c>
      <c r="L4672" s="3" t="n">
        <v>654.0599999999999</v>
      </c>
      <c r="M4672" s="3" t="n">
        <v>380.85</v>
      </c>
      <c r="N4672" s="3" t="n">
        <v>273.21</v>
      </c>
      <c r="O4672">
        <f>TEXT(A4672,"yyyy-mm")</f>
        <v/>
      </c>
    </row>
    <row r="4673">
      <c r="A4673" s="2" t="n">
        <v>46253</v>
      </c>
      <c r="B4673" t="n">
        <v>2026</v>
      </c>
      <c r="C4673" t="inlineStr">
        <is>
          <t>August</t>
        </is>
      </c>
      <c r="D4673" t="inlineStr">
        <is>
          <t>Portable Notebook</t>
        </is>
      </c>
      <c r="E4673" t="inlineStr">
        <is>
          <t>Books</t>
        </is>
      </c>
      <c r="F4673" t="inlineStr">
        <is>
          <t>Michael Martin</t>
        </is>
      </c>
      <c r="G4673" t="inlineStr">
        <is>
          <t>Italy</t>
        </is>
      </c>
      <c r="H4673" t="inlineStr">
        <is>
          <t>Marketplace</t>
        </is>
      </c>
      <c r="I4673" t="n">
        <v>4</v>
      </c>
      <c r="J4673" s="3" t="n">
        <v>527.4</v>
      </c>
      <c r="K4673" s="3" t="n">
        <v>26.37</v>
      </c>
      <c r="L4673" s="3" t="n">
        <v>501.03</v>
      </c>
      <c r="M4673" s="3" t="n">
        <v>285.12</v>
      </c>
      <c r="N4673" s="3" t="n">
        <v>215.91</v>
      </c>
      <c r="O4673">
        <f>TEXT(A4673,"yyyy-mm")</f>
        <v/>
      </c>
    </row>
    <row r="4674">
      <c r="A4674" s="2" t="n">
        <v>46253</v>
      </c>
      <c r="B4674" t="n">
        <v>2026</v>
      </c>
      <c r="C4674" t="inlineStr">
        <is>
          <t>August</t>
        </is>
      </c>
      <c r="D4674" t="inlineStr">
        <is>
          <t>Compact Jacket</t>
        </is>
      </c>
      <c r="E4674" t="inlineStr">
        <is>
          <t>Clothing</t>
        </is>
      </c>
      <c r="F4674" t="inlineStr">
        <is>
          <t>Daniel Conti</t>
        </is>
      </c>
      <c r="G4674" t="inlineStr">
        <is>
          <t>United Kingdom</t>
        </is>
      </c>
      <c r="H4674" t="inlineStr">
        <is>
          <t>Retail Store</t>
        </is>
      </c>
      <c r="I4674" t="n">
        <v>1</v>
      </c>
      <c r="J4674" s="3" t="n">
        <v>37.26</v>
      </c>
      <c r="K4674" s="3" t="n">
        <v>7.45</v>
      </c>
      <c r="L4674" s="3" t="n">
        <v>29.81</v>
      </c>
      <c r="M4674" s="3" t="n">
        <v>20.4</v>
      </c>
      <c r="N4674" s="3" t="n">
        <v>9.41</v>
      </c>
      <c r="O4674">
        <f>TEXT(A4674,"yyyy-mm")</f>
        <v/>
      </c>
    </row>
    <row r="4675">
      <c r="A4675" s="2" t="n">
        <v>46254</v>
      </c>
      <c r="B4675" t="n">
        <v>2026</v>
      </c>
      <c r="C4675" t="inlineStr">
        <is>
          <t>August</t>
        </is>
      </c>
      <c r="D4675" t="inlineStr">
        <is>
          <t>Deluxe Smartwatch</t>
        </is>
      </c>
      <c r="E4675" t="inlineStr">
        <is>
          <t>Electronics</t>
        </is>
      </c>
      <c r="F4675" t="inlineStr">
        <is>
          <t>Sophie Muller</t>
        </is>
      </c>
      <c r="G4675" t="inlineStr">
        <is>
          <t>United States</t>
        </is>
      </c>
      <c r="H4675" t="inlineStr">
        <is>
          <t>Retail Store</t>
        </is>
      </c>
      <c r="I4675" t="n">
        <v>5</v>
      </c>
      <c r="J4675" s="3" t="n">
        <v>814.3</v>
      </c>
      <c r="K4675" s="3" t="n">
        <v>162.86</v>
      </c>
      <c r="L4675" s="3" t="n">
        <v>651.4400000000001</v>
      </c>
      <c r="M4675" s="3" t="n">
        <v>613.6</v>
      </c>
      <c r="N4675" s="3" t="n">
        <v>37.84</v>
      </c>
      <c r="O4675">
        <f>TEXT(A4675,"yyyy-mm")</f>
        <v/>
      </c>
    </row>
    <row r="4676">
      <c r="A4676" s="2" t="n">
        <v>46254</v>
      </c>
      <c r="B4676" t="n">
        <v>2026</v>
      </c>
      <c r="C4676" t="inlineStr">
        <is>
          <t>August</t>
        </is>
      </c>
      <c r="D4676" t="inlineStr">
        <is>
          <t>Wireless Coffee Beans</t>
        </is>
      </c>
      <c r="E4676" t="inlineStr">
        <is>
          <t>Grocery</t>
        </is>
      </c>
      <c r="F4676" t="inlineStr">
        <is>
          <t>Sophie Muller</t>
        </is>
      </c>
      <c r="G4676" t="inlineStr">
        <is>
          <t>United States</t>
        </is>
      </c>
      <c r="H4676" t="inlineStr">
        <is>
          <t>Retail Store</t>
        </is>
      </c>
      <c r="I4676" t="n">
        <v>1</v>
      </c>
      <c r="J4676" s="3" t="n">
        <v>125.39</v>
      </c>
      <c r="K4676" s="3" t="n">
        <v>12.54</v>
      </c>
      <c r="L4676" s="3" t="n">
        <v>112.85</v>
      </c>
      <c r="M4676" s="3" t="n">
        <v>79.37</v>
      </c>
      <c r="N4676" s="3" t="n">
        <v>33.48</v>
      </c>
      <c r="O4676">
        <f>TEXT(A4676,"yyyy-mm")</f>
        <v/>
      </c>
    </row>
    <row r="4677">
      <c r="A4677" s="2" t="n">
        <v>46254</v>
      </c>
      <c r="B4677" t="n">
        <v>2026</v>
      </c>
      <c r="C4677" t="inlineStr">
        <is>
          <t>August</t>
        </is>
      </c>
      <c r="D4677" t="inlineStr">
        <is>
          <t>Deluxe Cookbook</t>
        </is>
      </c>
      <c r="E4677" t="inlineStr">
        <is>
          <t>Books</t>
        </is>
      </c>
      <c r="F4677" t="inlineStr">
        <is>
          <t>Sophie Muller</t>
        </is>
      </c>
      <c r="G4677" t="inlineStr">
        <is>
          <t>United States</t>
        </is>
      </c>
      <c r="H4677" t="inlineStr">
        <is>
          <t>Retail Store</t>
        </is>
      </c>
      <c r="I4677" t="n">
        <v>1</v>
      </c>
      <c r="J4677" s="3" t="n">
        <v>140.09</v>
      </c>
      <c r="K4677" s="3" t="n">
        <v>28.02</v>
      </c>
      <c r="L4677" s="3" t="n">
        <v>112.07</v>
      </c>
      <c r="M4677" s="3" t="n">
        <v>85.27</v>
      </c>
      <c r="N4677" s="3" t="n">
        <v>26.8</v>
      </c>
      <c r="O4677">
        <f>TEXT(A4677,"yyyy-mm")</f>
        <v/>
      </c>
    </row>
    <row r="4678">
      <c r="A4678" s="2" t="n">
        <v>46254</v>
      </c>
      <c r="B4678" t="n">
        <v>2026</v>
      </c>
      <c r="C4678" t="inlineStr">
        <is>
          <t>August</t>
        </is>
      </c>
      <c r="D4678" t="inlineStr">
        <is>
          <t>Smart Coffee Beans</t>
        </is>
      </c>
      <c r="E4678" t="inlineStr">
        <is>
          <t>Grocery</t>
        </is>
      </c>
      <c r="F4678" t="inlineStr">
        <is>
          <t>Sophie Muller</t>
        </is>
      </c>
      <c r="G4678" t="inlineStr">
        <is>
          <t>United States</t>
        </is>
      </c>
      <c r="H4678" t="inlineStr">
        <is>
          <t>Retail Store</t>
        </is>
      </c>
      <c r="I4678" t="n">
        <v>5</v>
      </c>
      <c r="J4678" s="3" t="n">
        <v>567.1</v>
      </c>
      <c r="K4678" s="3" t="n">
        <v>28.36</v>
      </c>
      <c r="L4678" s="3" t="n">
        <v>538.74</v>
      </c>
      <c r="M4678" s="3" t="n">
        <v>364.25</v>
      </c>
      <c r="N4678" s="3" t="n">
        <v>174.5</v>
      </c>
      <c r="O4678">
        <f>TEXT(A4678,"yyyy-mm")</f>
        <v/>
      </c>
    </row>
    <row r="4679">
      <c r="A4679" s="2" t="n">
        <v>46255</v>
      </c>
      <c r="B4679" t="n">
        <v>2026</v>
      </c>
      <c r="C4679" t="inlineStr">
        <is>
          <t>August</t>
        </is>
      </c>
      <c r="D4679" t="inlineStr">
        <is>
          <t>Smart Board Game</t>
        </is>
      </c>
      <c r="E4679" t="inlineStr">
        <is>
          <t>Toys &amp; Games</t>
        </is>
      </c>
      <c r="F4679" t="inlineStr">
        <is>
          <t>Olivia Brown</t>
        </is>
      </c>
      <c r="G4679" t="inlineStr">
        <is>
          <t>United States</t>
        </is>
      </c>
      <c r="H4679" t="inlineStr">
        <is>
          <t>Marketplace</t>
        </is>
      </c>
      <c r="I4679" t="n">
        <v>1</v>
      </c>
      <c r="J4679" s="3" t="n">
        <v>131.92</v>
      </c>
      <c r="K4679" s="3" t="n">
        <v>13.19</v>
      </c>
      <c r="L4679" s="3" t="n">
        <v>118.73</v>
      </c>
      <c r="M4679" s="3" t="n">
        <v>91.72</v>
      </c>
      <c r="N4679" s="3" t="n">
        <v>27.01</v>
      </c>
      <c r="O4679">
        <f>TEXT(A4679,"yyyy-mm")</f>
        <v/>
      </c>
    </row>
    <row r="4680">
      <c r="A4680" s="2" t="n">
        <v>46255</v>
      </c>
      <c r="B4680" t="n">
        <v>2026</v>
      </c>
      <c r="C4680" t="inlineStr">
        <is>
          <t>August</t>
        </is>
      </c>
      <c r="D4680" t="inlineStr">
        <is>
          <t>Classic Charger</t>
        </is>
      </c>
      <c r="E4680" t="inlineStr">
        <is>
          <t>Electronics</t>
        </is>
      </c>
      <c r="F4680" t="inlineStr">
        <is>
          <t>Robert Moreau</t>
        </is>
      </c>
      <c r="G4680" t="inlineStr">
        <is>
          <t>Spain</t>
        </is>
      </c>
      <c r="H4680" t="inlineStr">
        <is>
          <t>Web Store</t>
        </is>
      </c>
      <c r="I4680" t="n">
        <v>1</v>
      </c>
      <c r="J4680" s="3" t="n">
        <v>91.62</v>
      </c>
      <c r="K4680" s="3" t="n">
        <v>4.58</v>
      </c>
      <c r="L4680" s="3" t="n">
        <v>87.04000000000001</v>
      </c>
      <c r="M4680" s="3" t="n">
        <v>62.21</v>
      </c>
      <c r="N4680" s="3" t="n">
        <v>24.83</v>
      </c>
      <c r="O4680">
        <f>TEXT(A4680,"yyyy-mm")</f>
        <v/>
      </c>
    </row>
    <row r="4681">
      <c r="A4681" s="2" t="n">
        <v>46255</v>
      </c>
      <c r="B4681" t="n">
        <v>2026</v>
      </c>
      <c r="C4681" t="inlineStr">
        <is>
          <t>August</t>
        </is>
      </c>
      <c r="D4681" t="inlineStr">
        <is>
          <t>Classic Tent</t>
        </is>
      </c>
      <c r="E4681" t="inlineStr">
        <is>
          <t>Sports &amp; Outdoors</t>
        </is>
      </c>
      <c r="F4681" t="inlineStr">
        <is>
          <t>Laura Moreau</t>
        </is>
      </c>
      <c r="G4681" t="inlineStr">
        <is>
          <t>Spain</t>
        </is>
      </c>
      <c r="H4681" t="inlineStr">
        <is>
          <t>Mobile App</t>
        </is>
      </c>
      <c r="I4681" t="n">
        <v>5</v>
      </c>
      <c r="J4681" s="3" t="n">
        <v>1001.05</v>
      </c>
      <c r="K4681" s="3" t="n">
        <v>0</v>
      </c>
      <c r="L4681" s="3" t="n">
        <v>1001.05</v>
      </c>
      <c r="M4681" s="3" t="n">
        <v>590.1</v>
      </c>
      <c r="N4681" s="3" t="n">
        <v>410.95</v>
      </c>
      <c r="O4681">
        <f>TEXT(A4681,"yyyy-mm")</f>
        <v/>
      </c>
    </row>
    <row r="4682">
      <c r="A4682" s="2" t="n">
        <v>46255</v>
      </c>
      <c r="B4682" t="n">
        <v>2026</v>
      </c>
      <c r="C4682" t="inlineStr">
        <is>
          <t>August</t>
        </is>
      </c>
      <c r="D4682" t="inlineStr">
        <is>
          <t>Essential Planter</t>
        </is>
      </c>
      <c r="E4682" t="inlineStr">
        <is>
          <t>Home &amp; Garden</t>
        </is>
      </c>
      <c r="F4682" t="inlineStr">
        <is>
          <t>Michael Conti</t>
        </is>
      </c>
      <c r="G4682" t="inlineStr">
        <is>
          <t>Germany</t>
        </is>
      </c>
      <c r="H4682" t="inlineStr">
        <is>
          <t>Mobile App</t>
        </is>
      </c>
      <c r="I4682" t="n">
        <v>3</v>
      </c>
      <c r="J4682" s="3" t="n">
        <v>78.39</v>
      </c>
      <c r="K4682" s="3" t="n">
        <v>15.68</v>
      </c>
      <c r="L4682" s="3" t="n">
        <v>62.71</v>
      </c>
      <c r="M4682" s="3" t="n">
        <v>58.92</v>
      </c>
      <c r="N4682" s="3" t="n">
        <v>3.79</v>
      </c>
      <c r="O4682">
        <f>TEXT(A4682,"yyyy-mm")</f>
        <v/>
      </c>
    </row>
    <row r="4683">
      <c r="A4683" s="2" t="n">
        <v>46255</v>
      </c>
      <c r="B4683" t="n">
        <v>2026</v>
      </c>
      <c r="C4683" t="inlineStr">
        <is>
          <t>August</t>
        </is>
      </c>
      <c r="D4683" t="inlineStr">
        <is>
          <t>Essential Planter</t>
        </is>
      </c>
      <c r="E4683" t="inlineStr">
        <is>
          <t>Home &amp; Garden</t>
        </is>
      </c>
      <c r="F4683" t="inlineStr">
        <is>
          <t>Laura Moreau</t>
        </is>
      </c>
      <c r="G4683" t="inlineStr">
        <is>
          <t>Spain</t>
        </is>
      </c>
      <c r="H4683" t="inlineStr">
        <is>
          <t>Mobile App</t>
        </is>
      </c>
      <c r="I4683" t="n">
        <v>1</v>
      </c>
      <c r="J4683" s="3" t="n">
        <v>25.96</v>
      </c>
      <c r="K4683" s="3" t="n">
        <v>0</v>
      </c>
      <c r="L4683" s="3" t="n">
        <v>25.96</v>
      </c>
      <c r="M4683" s="3" t="n">
        <v>19.64</v>
      </c>
      <c r="N4683" s="3" t="n">
        <v>6.32</v>
      </c>
      <c r="O4683">
        <f>TEXT(A4683,"yyyy-mm")</f>
        <v/>
      </c>
    </row>
    <row r="4684">
      <c r="A4684" s="2" t="n">
        <v>46256</v>
      </c>
      <c r="B4684" t="n">
        <v>2026</v>
      </c>
      <c r="C4684" t="inlineStr">
        <is>
          <t>August</t>
        </is>
      </c>
      <c r="D4684" t="inlineStr">
        <is>
          <t>Eco Planter</t>
        </is>
      </c>
      <c r="E4684" t="inlineStr">
        <is>
          <t>Home &amp; Garden</t>
        </is>
      </c>
      <c r="F4684" t="inlineStr">
        <is>
          <t>Laura Johnson</t>
        </is>
      </c>
      <c r="G4684" t="inlineStr">
        <is>
          <t>Germany</t>
        </is>
      </c>
      <c r="H4684" t="inlineStr">
        <is>
          <t>Mobile App</t>
        </is>
      </c>
      <c r="I4684" t="n">
        <v>2</v>
      </c>
      <c r="J4684" s="3" t="n">
        <v>357.94</v>
      </c>
      <c r="K4684" s="3" t="n">
        <v>0</v>
      </c>
      <c r="L4684" s="3" t="n">
        <v>357.94</v>
      </c>
      <c r="M4684" s="3" t="n">
        <v>224.82</v>
      </c>
      <c r="N4684" s="3" t="n">
        <v>133.12</v>
      </c>
      <c r="O4684">
        <f>TEXT(A4684,"yyyy-mm")</f>
        <v/>
      </c>
    </row>
    <row r="4685">
      <c r="A4685" s="2" t="n">
        <v>46256</v>
      </c>
      <c r="B4685" t="n">
        <v>2026</v>
      </c>
      <c r="C4685" t="inlineStr">
        <is>
          <t>August</t>
        </is>
      </c>
      <c r="D4685" t="inlineStr">
        <is>
          <t>Smart Camera</t>
        </is>
      </c>
      <c r="E4685" t="inlineStr">
        <is>
          <t>Electronics</t>
        </is>
      </c>
      <c r="F4685" t="inlineStr">
        <is>
          <t>Julia Zielinski</t>
        </is>
      </c>
      <c r="G4685" t="inlineStr">
        <is>
          <t>Germany</t>
        </is>
      </c>
      <c r="H4685" t="inlineStr">
        <is>
          <t>Retail Store</t>
        </is>
      </c>
      <c r="I4685" t="n">
        <v>4</v>
      </c>
      <c r="J4685" s="3" t="n">
        <v>474.84</v>
      </c>
      <c r="K4685" s="3" t="n">
        <v>23.74</v>
      </c>
      <c r="L4685" s="3" t="n">
        <v>451.1</v>
      </c>
      <c r="M4685" s="3" t="n">
        <v>342.32</v>
      </c>
      <c r="N4685" s="3" t="n">
        <v>108.78</v>
      </c>
      <c r="O4685">
        <f>TEXT(A4685,"yyyy-mm")</f>
        <v/>
      </c>
    </row>
    <row r="4686">
      <c r="A4686" s="2" t="n">
        <v>46257</v>
      </c>
      <c r="B4686" t="n">
        <v>2026</v>
      </c>
      <c r="C4686" t="inlineStr">
        <is>
          <t>August</t>
        </is>
      </c>
      <c r="D4686" t="inlineStr">
        <is>
          <t>Portable Tea Set</t>
        </is>
      </c>
      <c r="E4686" t="inlineStr">
        <is>
          <t>Grocery</t>
        </is>
      </c>
      <c r="F4686" t="inlineStr">
        <is>
          <t>Emma Wilson</t>
        </is>
      </c>
      <c r="G4686" t="inlineStr">
        <is>
          <t>Italy</t>
        </is>
      </c>
      <c r="H4686" t="inlineStr">
        <is>
          <t>Mobile App</t>
        </is>
      </c>
      <c r="I4686" t="n">
        <v>1</v>
      </c>
      <c r="J4686" s="3" t="n">
        <v>266.07</v>
      </c>
      <c r="K4686" s="3" t="n">
        <v>53.21</v>
      </c>
      <c r="L4686" s="3" t="n">
        <v>212.86</v>
      </c>
      <c r="M4686" s="3" t="n">
        <v>188.12</v>
      </c>
      <c r="N4686" s="3" t="n">
        <v>24.74</v>
      </c>
      <c r="O4686">
        <f>TEXT(A4686,"yyyy-mm")</f>
        <v/>
      </c>
    </row>
    <row r="4687">
      <c r="A4687" s="2" t="n">
        <v>46257</v>
      </c>
      <c r="B4687" t="n">
        <v>2026</v>
      </c>
      <c r="C4687" t="inlineStr">
        <is>
          <t>August</t>
        </is>
      </c>
      <c r="D4687" t="inlineStr">
        <is>
          <t>Deluxe Toothbrush</t>
        </is>
      </c>
      <c r="E4687" t="inlineStr">
        <is>
          <t>Beauty &amp; Health</t>
        </is>
      </c>
      <c r="F4687" t="inlineStr">
        <is>
          <t>Emma Wilson</t>
        </is>
      </c>
      <c r="G4687" t="inlineStr">
        <is>
          <t>Italy</t>
        </is>
      </c>
      <c r="H4687" t="inlineStr">
        <is>
          <t>Mobile App</t>
        </is>
      </c>
      <c r="I4687" t="n">
        <v>4</v>
      </c>
      <c r="J4687" s="3" t="n">
        <v>1373.92</v>
      </c>
      <c r="K4687" s="3" t="n">
        <v>0</v>
      </c>
      <c r="L4687" s="3" t="n">
        <v>1373.92</v>
      </c>
      <c r="M4687" s="3" t="n">
        <v>698.28</v>
      </c>
      <c r="N4687" s="3" t="n">
        <v>675.64</v>
      </c>
      <c r="O4687">
        <f>TEXT(A4687,"yyyy-mm")</f>
        <v/>
      </c>
    </row>
    <row r="4688">
      <c r="A4688" s="2" t="n">
        <v>46257</v>
      </c>
      <c r="B4688" t="n">
        <v>2026</v>
      </c>
      <c r="C4688" t="inlineStr">
        <is>
          <t>August</t>
        </is>
      </c>
      <c r="D4688" t="inlineStr">
        <is>
          <t>Essential Cushion</t>
        </is>
      </c>
      <c r="E4688" t="inlineStr">
        <is>
          <t>Home &amp; Garden</t>
        </is>
      </c>
      <c r="F4688" t="inlineStr">
        <is>
          <t>Clara Schmidt</t>
        </is>
      </c>
      <c r="G4688" t="inlineStr">
        <is>
          <t>Spain</t>
        </is>
      </c>
      <c r="H4688" t="inlineStr">
        <is>
          <t>Mobile App</t>
        </is>
      </c>
      <c r="I4688" t="n">
        <v>1</v>
      </c>
      <c r="J4688" s="3" t="n">
        <v>43.29</v>
      </c>
      <c r="K4688" s="3" t="n">
        <v>4.33</v>
      </c>
      <c r="L4688" s="3" t="n">
        <v>38.96</v>
      </c>
      <c r="M4688" s="3" t="n">
        <v>30.55</v>
      </c>
      <c r="N4688" s="3" t="n">
        <v>8.41</v>
      </c>
      <c r="O4688">
        <f>TEXT(A4688,"yyyy-mm")</f>
        <v/>
      </c>
    </row>
    <row r="4689">
      <c r="A4689" s="2" t="n">
        <v>46257</v>
      </c>
      <c r="B4689" t="n">
        <v>2026</v>
      </c>
      <c r="C4689" t="inlineStr">
        <is>
          <t>August</t>
        </is>
      </c>
      <c r="D4689" t="inlineStr">
        <is>
          <t>Eco Drone</t>
        </is>
      </c>
      <c r="E4689" t="inlineStr">
        <is>
          <t>Toys &amp; Games</t>
        </is>
      </c>
      <c r="F4689" t="inlineStr">
        <is>
          <t>Clara Schmidt</t>
        </is>
      </c>
      <c r="G4689" t="inlineStr">
        <is>
          <t>Spain</t>
        </is>
      </c>
      <c r="H4689" t="inlineStr">
        <is>
          <t>Mobile App</t>
        </is>
      </c>
      <c r="I4689" t="n">
        <v>4</v>
      </c>
      <c r="J4689" s="3" t="n">
        <v>784.36</v>
      </c>
      <c r="K4689" s="3" t="n">
        <v>78.44</v>
      </c>
      <c r="L4689" s="3" t="n">
        <v>705.92</v>
      </c>
      <c r="M4689" s="3" t="n">
        <v>518.36</v>
      </c>
      <c r="N4689" s="3" t="n">
        <v>187.56</v>
      </c>
      <c r="O4689">
        <f>TEXT(A4689,"yyyy-mm")</f>
        <v/>
      </c>
    </row>
    <row r="4690">
      <c r="A4690" s="2" t="n">
        <v>46257</v>
      </c>
      <c r="B4690" t="n">
        <v>2026</v>
      </c>
      <c r="C4690" t="inlineStr">
        <is>
          <t>August</t>
        </is>
      </c>
      <c r="D4690" t="inlineStr">
        <is>
          <t>Classic Sunscreen</t>
        </is>
      </c>
      <c r="E4690" t="inlineStr">
        <is>
          <t>Beauty &amp; Health</t>
        </is>
      </c>
      <c r="F4690" t="inlineStr">
        <is>
          <t>Thomas Lopez</t>
        </is>
      </c>
      <c r="G4690" t="inlineStr">
        <is>
          <t>United States</t>
        </is>
      </c>
      <c r="H4690" t="inlineStr">
        <is>
          <t>Retail Store</t>
        </is>
      </c>
      <c r="I4690" t="n">
        <v>1</v>
      </c>
      <c r="J4690" s="3" t="n">
        <v>133.16</v>
      </c>
      <c r="K4690" s="3" t="n">
        <v>19.97</v>
      </c>
      <c r="L4690" s="3" t="n">
        <v>113.19</v>
      </c>
      <c r="M4690" s="3" t="n">
        <v>93.69</v>
      </c>
      <c r="N4690" s="3" t="n">
        <v>19.5</v>
      </c>
      <c r="O4690">
        <f>TEXT(A4690,"yyyy-mm")</f>
        <v/>
      </c>
    </row>
    <row r="4691">
      <c r="A4691" s="2" t="n">
        <v>46257</v>
      </c>
      <c r="B4691" t="n">
        <v>2026</v>
      </c>
      <c r="C4691" t="inlineStr">
        <is>
          <t>August</t>
        </is>
      </c>
      <c r="D4691" t="inlineStr">
        <is>
          <t>Smart Coffee Beans</t>
        </is>
      </c>
      <c r="E4691" t="inlineStr">
        <is>
          <t>Grocery</t>
        </is>
      </c>
      <c r="F4691" t="inlineStr">
        <is>
          <t>Thomas Lopez</t>
        </is>
      </c>
      <c r="G4691" t="inlineStr">
        <is>
          <t>United States</t>
        </is>
      </c>
      <c r="H4691" t="inlineStr">
        <is>
          <t>Retail Store</t>
        </is>
      </c>
      <c r="I4691" t="n">
        <v>4</v>
      </c>
      <c r="J4691" s="3" t="n">
        <v>455.12</v>
      </c>
      <c r="K4691" s="3" t="n">
        <v>0</v>
      </c>
      <c r="L4691" s="3" t="n">
        <v>455.12</v>
      </c>
      <c r="M4691" s="3" t="n">
        <v>291.4</v>
      </c>
      <c r="N4691" s="3" t="n">
        <v>163.72</v>
      </c>
      <c r="O4691">
        <f>TEXT(A4691,"yyyy-mm")</f>
        <v/>
      </c>
    </row>
    <row r="4692">
      <c r="A4692" s="2" t="n">
        <v>46257</v>
      </c>
      <c r="B4692" t="n">
        <v>2026</v>
      </c>
      <c r="C4692" t="inlineStr">
        <is>
          <t>August</t>
        </is>
      </c>
      <c r="D4692" t="inlineStr">
        <is>
          <t>Smart Face Cream</t>
        </is>
      </c>
      <c r="E4692" t="inlineStr">
        <is>
          <t>Beauty &amp; Health</t>
        </is>
      </c>
      <c r="F4692" t="inlineStr">
        <is>
          <t>Emma Wilson</t>
        </is>
      </c>
      <c r="G4692" t="inlineStr">
        <is>
          <t>Italy</t>
        </is>
      </c>
      <c r="H4692" t="inlineStr">
        <is>
          <t>Mobile App</t>
        </is>
      </c>
      <c r="I4692" t="n">
        <v>5</v>
      </c>
      <c r="J4692" s="3" t="n">
        <v>1393.05</v>
      </c>
      <c r="K4692" s="3" t="n">
        <v>208.96</v>
      </c>
      <c r="L4692" s="3" t="n">
        <v>1184.09</v>
      </c>
      <c r="M4692" s="3" t="n">
        <v>965.7</v>
      </c>
      <c r="N4692" s="3" t="n">
        <v>218.39</v>
      </c>
      <c r="O4692">
        <f>TEXT(A4692,"yyyy-mm")</f>
        <v/>
      </c>
    </row>
    <row r="4693">
      <c r="A4693" s="2" t="n">
        <v>46257</v>
      </c>
      <c r="B4693" t="n">
        <v>2026</v>
      </c>
      <c r="C4693" t="inlineStr">
        <is>
          <t>August</t>
        </is>
      </c>
      <c r="D4693" t="inlineStr">
        <is>
          <t>Wireless Backpack</t>
        </is>
      </c>
      <c r="E4693" t="inlineStr">
        <is>
          <t>Sports &amp; Outdoors</t>
        </is>
      </c>
      <c r="F4693" t="inlineStr">
        <is>
          <t>Mark Moreau</t>
        </is>
      </c>
      <c r="G4693" t="inlineStr">
        <is>
          <t>Italy</t>
        </is>
      </c>
      <c r="H4693" t="inlineStr">
        <is>
          <t>Marketplace</t>
        </is>
      </c>
      <c r="I4693" t="n">
        <v>5</v>
      </c>
      <c r="J4693" s="3" t="n">
        <v>244.9</v>
      </c>
      <c r="K4693" s="3" t="n">
        <v>0</v>
      </c>
      <c r="L4693" s="3" t="n">
        <v>244.9</v>
      </c>
      <c r="M4693" s="3" t="n">
        <v>140.5</v>
      </c>
      <c r="N4693" s="3" t="n">
        <v>104.4</v>
      </c>
      <c r="O4693">
        <f>TEXT(A4693,"yyyy-mm")</f>
        <v/>
      </c>
    </row>
    <row r="4694">
      <c r="A4694" s="2" t="n">
        <v>46258</v>
      </c>
      <c r="B4694" t="n">
        <v>2026</v>
      </c>
      <c r="C4694" t="inlineStr">
        <is>
          <t>August</t>
        </is>
      </c>
      <c r="D4694" t="inlineStr">
        <is>
          <t>Deluxe Headphones</t>
        </is>
      </c>
      <c r="E4694" t="inlineStr">
        <is>
          <t>Electronics</t>
        </is>
      </c>
      <c r="F4694" t="inlineStr">
        <is>
          <t>Mark Smith</t>
        </is>
      </c>
      <c r="G4694" t="inlineStr">
        <is>
          <t>United States</t>
        </is>
      </c>
      <c r="H4694" t="inlineStr">
        <is>
          <t>Retail Store</t>
        </is>
      </c>
      <c r="I4694" t="n">
        <v>2</v>
      </c>
      <c r="J4694" s="3" t="n">
        <v>147.52</v>
      </c>
      <c r="K4694" s="3" t="n">
        <v>22.13</v>
      </c>
      <c r="L4694" s="3" t="n">
        <v>125.39</v>
      </c>
      <c r="M4694" s="3" t="n">
        <v>105</v>
      </c>
      <c r="N4694" s="3" t="n">
        <v>20.39</v>
      </c>
      <c r="O4694">
        <f>TEXT(A4694,"yyyy-mm")</f>
        <v/>
      </c>
    </row>
    <row r="4695">
      <c r="A4695" s="2" t="n">
        <v>46258</v>
      </c>
      <c r="B4695" t="n">
        <v>2026</v>
      </c>
      <c r="C4695" t="inlineStr">
        <is>
          <t>August</t>
        </is>
      </c>
      <c r="D4695" t="inlineStr">
        <is>
          <t>Classic Charger</t>
        </is>
      </c>
      <c r="E4695" t="inlineStr">
        <is>
          <t>Electronics</t>
        </is>
      </c>
      <c r="F4695" t="inlineStr">
        <is>
          <t>Mark Smith</t>
        </is>
      </c>
      <c r="G4695" t="inlineStr">
        <is>
          <t>United States</t>
        </is>
      </c>
      <c r="H4695" t="inlineStr">
        <is>
          <t>Retail Store</t>
        </is>
      </c>
      <c r="I4695" t="n">
        <v>5</v>
      </c>
      <c r="J4695" s="3" t="n">
        <v>454.3</v>
      </c>
      <c r="K4695" s="3" t="n">
        <v>90.86</v>
      </c>
      <c r="L4695" s="3" t="n">
        <v>363.44</v>
      </c>
      <c r="M4695" s="3" t="n">
        <v>311.05</v>
      </c>
      <c r="N4695" s="3" t="n">
        <v>52.39</v>
      </c>
      <c r="O4695">
        <f>TEXT(A4695,"yyyy-mm")</f>
        <v/>
      </c>
    </row>
    <row r="4696">
      <c r="A4696" s="2" t="n">
        <v>46258</v>
      </c>
      <c r="B4696" t="n">
        <v>2026</v>
      </c>
      <c r="C4696" t="inlineStr">
        <is>
          <t>August</t>
        </is>
      </c>
      <c r="D4696" t="inlineStr">
        <is>
          <t>Portable Speaker</t>
        </is>
      </c>
      <c r="E4696" t="inlineStr">
        <is>
          <t>Electronics</t>
        </is>
      </c>
      <c r="F4696" t="inlineStr">
        <is>
          <t>Mark Smith</t>
        </is>
      </c>
      <c r="G4696" t="inlineStr">
        <is>
          <t>United States</t>
        </is>
      </c>
      <c r="H4696" t="inlineStr">
        <is>
          <t>Retail Store</t>
        </is>
      </c>
      <c r="I4696" t="n">
        <v>4</v>
      </c>
      <c r="J4696" s="3" t="n">
        <v>1325.04</v>
      </c>
      <c r="K4696" s="3" t="n">
        <v>0</v>
      </c>
      <c r="L4696" s="3" t="n">
        <v>1325.04</v>
      </c>
      <c r="M4696" s="3" t="n">
        <v>699.3200000000001</v>
      </c>
      <c r="N4696" s="3" t="n">
        <v>625.72</v>
      </c>
      <c r="O4696">
        <f>TEXT(A4696,"yyyy-mm")</f>
        <v/>
      </c>
    </row>
    <row r="4697">
      <c r="A4697" s="2" t="n">
        <v>46258</v>
      </c>
      <c r="B4697" t="n">
        <v>2026</v>
      </c>
      <c r="C4697" t="inlineStr">
        <is>
          <t>August</t>
        </is>
      </c>
      <c r="D4697" t="inlineStr">
        <is>
          <t>Classic Tea Set</t>
        </is>
      </c>
      <c r="E4697" t="inlineStr">
        <is>
          <t>Grocery</t>
        </is>
      </c>
      <c r="F4697" t="inlineStr">
        <is>
          <t>Mark Smith</t>
        </is>
      </c>
      <c r="G4697" t="inlineStr">
        <is>
          <t>United States</t>
        </is>
      </c>
      <c r="H4697" t="inlineStr">
        <is>
          <t>Retail Store</t>
        </is>
      </c>
      <c r="I4697" t="n">
        <v>4</v>
      </c>
      <c r="J4697" s="3" t="n">
        <v>693.6</v>
      </c>
      <c r="K4697" s="3" t="n">
        <v>0</v>
      </c>
      <c r="L4697" s="3" t="n">
        <v>693.6</v>
      </c>
      <c r="M4697" s="3" t="n">
        <v>501.6</v>
      </c>
      <c r="N4697" s="3" t="n">
        <v>192</v>
      </c>
      <c r="O4697">
        <f>TEXT(A4697,"yyyy-mm")</f>
        <v/>
      </c>
    </row>
    <row r="4698">
      <c r="A4698" s="2" t="n">
        <v>46258</v>
      </c>
      <c r="B4698" t="n">
        <v>2026</v>
      </c>
      <c r="C4698" t="inlineStr">
        <is>
          <t>August</t>
        </is>
      </c>
      <c r="D4698" t="inlineStr">
        <is>
          <t>Smart Charger</t>
        </is>
      </c>
      <c r="E4698" t="inlineStr">
        <is>
          <t>Electronics</t>
        </is>
      </c>
      <c r="F4698" t="inlineStr">
        <is>
          <t>Emily Dubois</t>
        </is>
      </c>
      <c r="G4698" t="inlineStr">
        <is>
          <t>Italy</t>
        </is>
      </c>
      <c r="H4698" t="inlineStr">
        <is>
          <t>Retail Store</t>
        </is>
      </c>
      <c r="I4698" t="n">
        <v>3</v>
      </c>
      <c r="J4698" s="3" t="n">
        <v>790.3200000000001</v>
      </c>
      <c r="K4698" s="3" t="n">
        <v>0</v>
      </c>
      <c r="L4698" s="3" t="n">
        <v>790.3200000000001</v>
      </c>
      <c r="M4698" s="3" t="n">
        <v>427.56</v>
      </c>
      <c r="N4698" s="3" t="n">
        <v>362.76</v>
      </c>
      <c r="O4698">
        <f>TEXT(A4698,"yyyy-mm")</f>
        <v/>
      </c>
    </row>
    <row r="4699">
      <c r="A4699" s="2" t="n">
        <v>46258</v>
      </c>
      <c r="B4699" t="n">
        <v>2026</v>
      </c>
      <c r="C4699" t="inlineStr">
        <is>
          <t>August</t>
        </is>
      </c>
      <c r="D4699" t="inlineStr">
        <is>
          <t>Ultra Toolset</t>
        </is>
      </c>
      <c r="E4699" t="inlineStr">
        <is>
          <t>Home &amp; Garden</t>
        </is>
      </c>
      <c r="F4699" t="inlineStr">
        <is>
          <t>Emily Dubois</t>
        </is>
      </c>
      <c r="G4699" t="inlineStr">
        <is>
          <t>Italy</t>
        </is>
      </c>
      <c r="H4699" t="inlineStr">
        <is>
          <t>Retail Store</t>
        </is>
      </c>
      <c r="I4699" t="n">
        <v>1</v>
      </c>
      <c r="J4699" s="3" t="n">
        <v>372.44</v>
      </c>
      <c r="K4699" s="3" t="n">
        <v>18.62</v>
      </c>
      <c r="L4699" s="3" t="n">
        <v>353.82</v>
      </c>
      <c r="M4699" s="3" t="n">
        <v>190.4</v>
      </c>
      <c r="N4699" s="3" t="n">
        <v>163.42</v>
      </c>
      <c r="O4699">
        <f>TEXT(A4699,"yyyy-mm")</f>
        <v/>
      </c>
    </row>
    <row r="4700">
      <c r="A4700" s="2" t="n">
        <v>46258</v>
      </c>
      <c r="B4700" t="n">
        <v>2026</v>
      </c>
      <c r="C4700" t="inlineStr">
        <is>
          <t>August</t>
        </is>
      </c>
      <c r="D4700" t="inlineStr">
        <is>
          <t>Ultra Backpack</t>
        </is>
      </c>
      <c r="E4700" t="inlineStr">
        <is>
          <t>Sports &amp; Outdoors</t>
        </is>
      </c>
      <c r="F4700" t="inlineStr">
        <is>
          <t>Emily Dubois</t>
        </is>
      </c>
      <c r="G4700" t="inlineStr">
        <is>
          <t>Italy</t>
        </is>
      </c>
      <c r="H4700" t="inlineStr">
        <is>
          <t>Retail Store</t>
        </is>
      </c>
      <c r="I4700" t="n">
        <v>3</v>
      </c>
      <c r="J4700" s="3" t="n">
        <v>888.96</v>
      </c>
      <c r="K4700" s="3" t="n">
        <v>0</v>
      </c>
      <c r="L4700" s="3" t="n">
        <v>888.96</v>
      </c>
      <c r="M4700" s="3" t="n">
        <v>521.0700000000001</v>
      </c>
      <c r="N4700" s="3" t="n">
        <v>367.89</v>
      </c>
      <c r="O4700">
        <f>TEXT(A4700,"yyyy-mm")</f>
        <v/>
      </c>
    </row>
    <row r="4701">
      <c r="A4701" s="2" t="n">
        <v>46258</v>
      </c>
      <c r="B4701" t="n">
        <v>2026</v>
      </c>
      <c r="C4701" t="inlineStr">
        <is>
          <t>August</t>
        </is>
      </c>
      <c r="D4701" t="inlineStr">
        <is>
          <t>Portable Speaker</t>
        </is>
      </c>
      <c r="E4701" t="inlineStr">
        <is>
          <t>Electronics</t>
        </is>
      </c>
      <c r="F4701" t="inlineStr">
        <is>
          <t>Emily Dubois</t>
        </is>
      </c>
      <c r="G4701" t="inlineStr">
        <is>
          <t>Italy</t>
        </is>
      </c>
      <c r="H4701" t="inlineStr">
        <is>
          <t>Retail Store</t>
        </is>
      </c>
      <c r="I4701" t="n">
        <v>1</v>
      </c>
      <c r="J4701" s="3" t="n">
        <v>318.84</v>
      </c>
      <c r="K4701" s="3" t="n">
        <v>0</v>
      </c>
      <c r="L4701" s="3" t="n">
        <v>318.84</v>
      </c>
      <c r="M4701" s="3" t="n">
        <v>174.83</v>
      </c>
      <c r="N4701" s="3" t="n">
        <v>144.01</v>
      </c>
      <c r="O4701">
        <f>TEXT(A4701,"yyyy-mm")</f>
        <v/>
      </c>
    </row>
    <row r="4702">
      <c r="A4702" s="2" t="n">
        <v>46260</v>
      </c>
      <c r="B4702" t="n">
        <v>2026</v>
      </c>
      <c r="C4702" t="inlineStr">
        <is>
          <t>August</t>
        </is>
      </c>
      <c r="D4702" t="inlineStr">
        <is>
          <t>Essential Charger</t>
        </is>
      </c>
      <c r="E4702" t="inlineStr">
        <is>
          <t>Electronics</t>
        </is>
      </c>
      <c r="F4702" t="inlineStr">
        <is>
          <t>Paul Fischer</t>
        </is>
      </c>
      <c r="G4702" t="inlineStr">
        <is>
          <t>Poland</t>
        </is>
      </c>
      <c r="H4702" t="inlineStr">
        <is>
          <t>Mobile App</t>
        </is>
      </c>
      <c r="I4702" t="n">
        <v>3</v>
      </c>
      <c r="J4702" s="3" t="n">
        <v>134.88</v>
      </c>
      <c r="K4702" s="3" t="n">
        <v>13.49</v>
      </c>
      <c r="L4702" s="3" t="n">
        <v>121.39</v>
      </c>
      <c r="M4702" s="3" t="n">
        <v>87.3</v>
      </c>
      <c r="N4702" s="3" t="n">
        <v>34.09</v>
      </c>
      <c r="O4702">
        <f>TEXT(A4702,"yyyy-mm")</f>
        <v/>
      </c>
    </row>
    <row r="4703">
      <c r="A4703" s="2" t="n">
        <v>46260</v>
      </c>
      <c r="B4703" t="n">
        <v>2026</v>
      </c>
      <c r="C4703" t="inlineStr">
        <is>
          <t>August</t>
        </is>
      </c>
      <c r="D4703" t="inlineStr">
        <is>
          <t>Smart Tea Set</t>
        </is>
      </c>
      <c r="E4703" t="inlineStr">
        <is>
          <t>Grocery</t>
        </is>
      </c>
      <c r="F4703" t="inlineStr">
        <is>
          <t>Paul Fischer</t>
        </is>
      </c>
      <c r="G4703" t="inlineStr">
        <is>
          <t>Poland</t>
        </is>
      </c>
      <c r="H4703" t="inlineStr">
        <is>
          <t>Mobile App</t>
        </is>
      </c>
      <c r="I4703" t="n">
        <v>3</v>
      </c>
      <c r="J4703" s="3" t="n">
        <v>265.68</v>
      </c>
      <c r="K4703" s="3" t="n">
        <v>53.14</v>
      </c>
      <c r="L4703" s="3" t="n">
        <v>212.54</v>
      </c>
      <c r="M4703" s="3" t="n">
        <v>185.4</v>
      </c>
      <c r="N4703" s="3" t="n">
        <v>27.14</v>
      </c>
      <c r="O4703">
        <f>TEXT(A4703,"yyyy-mm")</f>
        <v/>
      </c>
    </row>
    <row r="4704">
      <c r="A4704" s="2" t="n">
        <v>46260</v>
      </c>
      <c r="B4704" t="n">
        <v>2026</v>
      </c>
      <c r="C4704" t="inlineStr">
        <is>
          <t>August</t>
        </is>
      </c>
      <c r="D4704" t="inlineStr">
        <is>
          <t>Smart Camera</t>
        </is>
      </c>
      <c r="E4704" t="inlineStr">
        <is>
          <t>Electronics</t>
        </is>
      </c>
      <c r="F4704" t="inlineStr">
        <is>
          <t>Robert Garcia</t>
        </is>
      </c>
      <c r="G4704" t="inlineStr">
        <is>
          <t>United Kingdom</t>
        </is>
      </c>
      <c r="H4704" t="inlineStr">
        <is>
          <t>Web Store</t>
        </is>
      </c>
      <c r="I4704" t="n">
        <v>4</v>
      </c>
      <c r="J4704" s="3" t="n">
        <v>1182.48</v>
      </c>
      <c r="K4704" s="3" t="n">
        <v>236.5</v>
      </c>
      <c r="L4704" s="3" t="n">
        <v>945.98</v>
      </c>
      <c r="M4704" s="3" t="n">
        <v>669.6</v>
      </c>
      <c r="N4704" s="3" t="n">
        <v>276.38</v>
      </c>
      <c r="O4704">
        <f>TEXT(A4704,"yyyy-mm")</f>
        <v/>
      </c>
    </row>
    <row r="4705">
      <c r="A4705" s="2" t="n">
        <v>46260</v>
      </c>
      <c r="B4705" t="n">
        <v>2026</v>
      </c>
      <c r="C4705" t="inlineStr">
        <is>
          <t>August</t>
        </is>
      </c>
      <c r="D4705" t="inlineStr">
        <is>
          <t>Wireless Coffee Beans</t>
        </is>
      </c>
      <c r="E4705" t="inlineStr">
        <is>
          <t>Grocery</t>
        </is>
      </c>
      <c r="F4705" t="inlineStr">
        <is>
          <t>Robert Garcia</t>
        </is>
      </c>
      <c r="G4705" t="inlineStr">
        <is>
          <t>United Kingdom</t>
        </is>
      </c>
      <c r="H4705" t="inlineStr">
        <is>
          <t>Web Store</t>
        </is>
      </c>
      <c r="I4705" t="n">
        <v>4</v>
      </c>
      <c r="J4705" s="3" t="n">
        <v>476</v>
      </c>
      <c r="K4705" s="3" t="n">
        <v>47.6</v>
      </c>
      <c r="L4705" s="3" t="n">
        <v>428.4</v>
      </c>
      <c r="M4705" s="3" t="n">
        <v>317.48</v>
      </c>
      <c r="N4705" s="3" t="n">
        <v>110.92</v>
      </c>
      <c r="O4705">
        <f>TEXT(A4705,"yyyy-mm")</f>
        <v/>
      </c>
    </row>
    <row r="4706">
      <c r="A4706" s="2" t="n">
        <v>46260</v>
      </c>
      <c r="B4706" t="n">
        <v>2026</v>
      </c>
      <c r="C4706" t="inlineStr">
        <is>
          <t>August</t>
        </is>
      </c>
      <c r="D4706" t="inlineStr">
        <is>
          <t>Essential Cushion</t>
        </is>
      </c>
      <c r="E4706" t="inlineStr">
        <is>
          <t>Home &amp; Garden</t>
        </is>
      </c>
      <c r="F4706" t="inlineStr">
        <is>
          <t>Emily Fischer</t>
        </is>
      </c>
      <c r="G4706" t="inlineStr">
        <is>
          <t>Germany</t>
        </is>
      </c>
      <c r="H4706" t="inlineStr">
        <is>
          <t>Retail Store</t>
        </is>
      </c>
      <c r="I4706" t="n">
        <v>1</v>
      </c>
      <c r="J4706" s="3" t="n">
        <v>44.86</v>
      </c>
      <c r="K4706" s="3" t="n">
        <v>0</v>
      </c>
      <c r="L4706" s="3" t="n">
        <v>44.86</v>
      </c>
      <c r="M4706" s="3" t="n">
        <v>30.55</v>
      </c>
      <c r="N4706" s="3" t="n">
        <v>14.31</v>
      </c>
      <c r="O4706">
        <f>TEXT(A4706,"yyyy-mm")</f>
        <v/>
      </c>
    </row>
    <row r="4707">
      <c r="A4707" s="2" t="n">
        <v>46260</v>
      </c>
      <c r="B4707" t="n">
        <v>2026</v>
      </c>
      <c r="C4707" t="inlineStr">
        <is>
          <t>August</t>
        </is>
      </c>
      <c r="D4707" t="inlineStr">
        <is>
          <t>Classic Bike Helmet</t>
        </is>
      </c>
      <c r="E4707" t="inlineStr">
        <is>
          <t>Sports &amp; Outdoors</t>
        </is>
      </c>
      <c r="F4707" t="inlineStr">
        <is>
          <t>Emily Fischer</t>
        </is>
      </c>
      <c r="G4707" t="inlineStr">
        <is>
          <t>Germany</t>
        </is>
      </c>
      <c r="H4707" t="inlineStr">
        <is>
          <t>Retail Store</t>
        </is>
      </c>
      <c r="I4707" t="n">
        <v>3</v>
      </c>
      <c r="J4707" s="3" t="n">
        <v>673.86</v>
      </c>
      <c r="K4707" s="3" t="n">
        <v>67.39</v>
      </c>
      <c r="L4707" s="3" t="n">
        <v>606.47</v>
      </c>
      <c r="M4707" s="3" t="n">
        <v>461.43</v>
      </c>
      <c r="N4707" s="3" t="n">
        <v>145.04</v>
      </c>
      <c r="O4707">
        <f>TEXT(A4707,"yyyy-mm")</f>
        <v/>
      </c>
    </row>
    <row r="4708">
      <c r="A4708" s="2" t="n">
        <v>46260</v>
      </c>
      <c r="B4708" t="n">
        <v>2026</v>
      </c>
      <c r="C4708" t="inlineStr">
        <is>
          <t>August</t>
        </is>
      </c>
      <c r="D4708" t="inlineStr">
        <is>
          <t>Eco Sweater</t>
        </is>
      </c>
      <c r="E4708" t="inlineStr">
        <is>
          <t>Clothing</t>
        </is>
      </c>
      <c r="F4708" t="inlineStr">
        <is>
          <t>Emily Fischer</t>
        </is>
      </c>
      <c r="G4708" t="inlineStr">
        <is>
          <t>Germany</t>
        </is>
      </c>
      <c r="H4708" t="inlineStr">
        <is>
          <t>Retail Store</t>
        </is>
      </c>
      <c r="I4708" t="n">
        <v>4</v>
      </c>
      <c r="J4708" s="3" t="n">
        <v>603.4</v>
      </c>
      <c r="K4708" s="3" t="n">
        <v>0</v>
      </c>
      <c r="L4708" s="3" t="n">
        <v>603.4</v>
      </c>
      <c r="M4708" s="3" t="n">
        <v>416.92</v>
      </c>
      <c r="N4708" s="3" t="n">
        <v>186.48</v>
      </c>
      <c r="O4708">
        <f>TEXT(A4708,"yyyy-mm")</f>
        <v/>
      </c>
    </row>
    <row r="4709">
      <c r="A4709" s="2" t="n">
        <v>46260</v>
      </c>
      <c r="B4709" t="n">
        <v>2026</v>
      </c>
      <c r="C4709" t="inlineStr">
        <is>
          <t>August</t>
        </is>
      </c>
      <c r="D4709" t="inlineStr">
        <is>
          <t>Wireless Backpack</t>
        </is>
      </c>
      <c r="E4709" t="inlineStr">
        <is>
          <t>Sports &amp; Outdoors</t>
        </is>
      </c>
      <c r="F4709" t="inlineStr">
        <is>
          <t>Paul Schmidt</t>
        </is>
      </c>
      <c r="G4709" t="inlineStr">
        <is>
          <t>Poland</t>
        </is>
      </c>
      <c r="H4709" t="inlineStr">
        <is>
          <t>Mobile App</t>
        </is>
      </c>
      <c r="I4709" t="n">
        <v>1</v>
      </c>
      <c r="J4709" s="3" t="n">
        <v>50.91</v>
      </c>
      <c r="K4709" s="3" t="n">
        <v>0</v>
      </c>
      <c r="L4709" s="3" t="n">
        <v>50.91</v>
      </c>
      <c r="M4709" s="3" t="n">
        <v>28.1</v>
      </c>
      <c r="N4709" s="3" t="n">
        <v>22.81</v>
      </c>
      <c r="O4709">
        <f>TEXT(A4709,"yyyy-mm")</f>
        <v/>
      </c>
    </row>
    <row r="4710">
      <c r="A4710" s="2" t="n">
        <v>46260</v>
      </c>
      <c r="B4710" t="n">
        <v>2026</v>
      </c>
      <c r="C4710" t="inlineStr">
        <is>
          <t>August</t>
        </is>
      </c>
      <c r="D4710" t="inlineStr">
        <is>
          <t>Smart Camera</t>
        </is>
      </c>
      <c r="E4710" t="inlineStr">
        <is>
          <t>Electronics</t>
        </is>
      </c>
      <c r="F4710" t="inlineStr">
        <is>
          <t>Paul Fischer</t>
        </is>
      </c>
      <c r="G4710" t="inlineStr">
        <is>
          <t>Poland</t>
        </is>
      </c>
      <c r="H4710" t="inlineStr">
        <is>
          <t>Mobile App</t>
        </is>
      </c>
      <c r="I4710" t="n">
        <v>2</v>
      </c>
      <c r="J4710" s="3" t="n">
        <v>236.42</v>
      </c>
      <c r="K4710" s="3" t="n">
        <v>47.28</v>
      </c>
      <c r="L4710" s="3" t="n">
        <v>189.14</v>
      </c>
      <c r="M4710" s="3" t="n">
        <v>171.16</v>
      </c>
      <c r="N4710" s="3" t="n">
        <v>17.98</v>
      </c>
      <c r="O4710">
        <f>TEXT(A4710,"yyyy-mm")</f>
        <v/>
      </c>
    </row>
    <row r="4711">
      <c r="A4711" s="2" t="n">
        <v>46260</v>
      </c>
      <c r="B4711" t="n">
        <v>2026</v>
      </c>
      <c r="C4711" t="inlineStr">
        <is>
          <t>August</t>
        </is>
      </c>
      <c r="D4711" t="inlineStr">
        <is>
          <t>Deluxe Cookbook</t>
        </is>
      </c>
      <c r="E4711" t="inlineStr">
        <is>
          <t>Books</t>
        </is>
      </c>
      <c r="F4711" t="inlineStr">
        <is>
          <t>Paul Fischer</t>
        </is>
      </c>
      <c r="G4711" t="inlineStr">
        <is>
          <t>Poland</t>
        </is>
      </c>
      <c r="H4711" t="inlineStr">
        <is>
          <t>Mobile App</t>
        </is>
      </c>
      <c r="I4711" t="n">
        <v>3</v>
      </c>
      <c r="J4711" s="3" t="n">
        <v>425.91</v>
      </c>
      <c r="K4711" s="3" t="n">
        <v>0</v>
      </c>
      <c r="L4711" s="3" t="n">
        <v>425.91</v>
      </c>
      <c r="M4711" s="3" t="n">
        <v>255.81</v>
      </c>
      <c r="N4711" s="3" t="n">
        <v>170.1</v>
      </c>
      <c r="O4711">
        <f>TEXT(A4711,"yyyy-mm")</f>
        <v/>
      </c>
    </row>
    <row r="4712">
      <c r="A4712" s="2" t="n">
        <v>46260</v>
      </c>
      <c r="B4712" t="n">
        <v>2026</v>
      </c>
      <c r="C4712" t="inlineStr">
        <is>
          <t>August</t>
        </is>
      </c>
      <c r="D4712" t="inlineStr">
        <is>
          <t>Essential Vitamins</t>
        </is>
      </c>
      <c r="E4712" t="inlineStr">
        <is>
          <t>Beauty &amp; Health</t>
        </is>
      </c>
      <c r="F4712" t="inlineStr">
        <is>
          <t>Paul Schmidt</t>
        </is>
      </c>
      <c r="G4712" t="inlineStr">
        <is>
          <t>Poland</t>
        </is>
      </c>
      <c r="H4712" t="inlineStr">
        <is>
          <t>Mobile App</t>
        </is>
      </c>
      <c r="I4712" t="n">
        <v>5</v>
      </c>
      <c r="J4712" s="3" t="n">
        <v>857.65</v>
      </c>
      <c r="K4712" s="3" t="n">
        <v>85.76000000000001</v>
      </c>
      <c r="L4712" s="3" t="n">
        <v>771.88</v>
      </c>
      <c r="M4712" s="3" t="n">
        <v>551.5</v>
      </c>
      <c r="N4712" s="3" t="n">
        <v>220.38</v>
      </c>
      <c r="O4712">
        <f>TEXT(A4712,"yyyy-mm")</f>
        <v/>
      </c>
    </row>
    <row r="4713">
      <c r="A4713" s="2" t="n">
        <v>46260</v>
      </c>
      <c r="B4713" t="n">
        <v>2026</v>
      </c>
      <c r="C4713" t="inlineStr">
        <is>
          <t>August</t>
        </is>
      </c>
      <c r="D4713" t="inlineStr">
        <is>
          <t>Eco Biography</t>
        </is>
      </c>
      <c r="E4713" t="inlineStr">
        <is>
          <t>Books</t>
        </is>
      </c>
      <c r="F4713" t="inlineStr">
        <is>
          <t>Paul Schmidt</t>
        </is>
      </c>
      <c r="G4713" t="inlineStr">
        <is>
          <t>Poland</t>
        </is>
      </c>
      <c r="H4713" t="inlineStr">
        <is>
          <t>Mobile App</t>
        </is>
      </c>
      <c r="I4713" t="n">
        <v>4</v>
      </c>
      <c r="J4713" s="3" t="n">
        <v>480.6</v>
      </c>
      <c r="K4713" s="3" t="n">
        <v>0</v>
      </c>
      <c r="L4713" s="3" t="n">
        <v>480.6</v>
      </c>
      <c r="M4713" s="3" t="n">
        <v>284.08</v>
      </c>
      <c r="N4713" s="3" t="n">
        <v>196.52</v>
      </c>
      <c r="O4713">
        <f>TEXT(A4713,"yyyy-mm")</f>
        <v/>
      </c>
    </row>
    <row r="4714">
      <c r="A4714" s="2" t="n">
        <v>46261</v>
      </c>
      <c r="B4714" t="n">
        <v>2026</v>
      </c>
      <c r="C4714" t="inlineStr">
        <is>
          <t>August</t>
        </is>
      </c>
      <c r="D4714" t="inlineStr">
        <is>
          <t>Premium Tent</t>
        </is>
      </c>
      <c r="E4714" t="inlineStr">
        <is>
          <t>Sports &amp; Outdoors</t>
        </is>
      </c>
      <c r="F4714" t="inlineStr">
        <is>
          <t>Julia Brown</t>
        </is>
      </c>
      <c r="G4714" t="inlineStr">
        <is>
          <t>United Kingdom</t>
        </is>
      </c>
      <c r="H4714" t="inlineStr">
        <is>
          <t>Mobile App</t>
        </is>
      </c>
      <c r="I4714" t="n">
        <v>5</v>
      </c>
      <c r="J4714" s="3" t="n">
        <v>1267.65</v>
      </c>
      <c r="K4714" s="3" t="n">
        <v>0</v>
      </c>
      <c r="L4714" s="3" t="n">
        <v>1267.65</v>
      </c>
      <c r="M4714" s="3" t="n">
        <v>826.55</v>
      </c>
      <c r="N4714" s="3" t="n">
        <v>441.1</v>
      </c>
      <c r="O4714">
        <f>TEXT(A4714,"yyyy-mm")</f>
        <v/>
      </c>
    </row>
    <row r="4715">
      <c r="A4715" s="2" t="n">
        <v>46261</v>
      </c>
      <c r="B4715" t="n">
        <v>2026</v>
      </c>
      <c r="C4715" t="inlineStr">
        <is>
          <t>August</t>
        </is>
      </c>
      <c r="D4715" t="inlineStr">
        <is>
          <t>Premium Cookbook</t>
        </is>
      </c>
      <c r="E4715" t="inlineStr">
        <is>
          <t>Books</t>
        </is>
      </c>
      <c r="F4715" t="inlineStr">
        <is>
          <t>Julia Brown</t>
        </is>
      </c>
      <c r="G4715" t="inlineStr">
        <is>
          <t>United Kingdom</t>
        </is>
      </c>
      <c r="H4715" t="inlineStr">
        <is>
          <t>Mobile App</t>
        </is>
      </c>
      <c r="I4715" t="n">
        <v>5</v>
      </c>
      <c r="J4715" s="3" t="n">
        <v>659.8</v>
      </c>
      <c r="K4715" s="3" t="n">
        <v>65.98</v>
      </c>
      <c r="L4715" s="3" t="n">
        <v>593.8200000000001</v>
      </c>
      <c r="M4715" s="3" t="n">
        <v>474.9</v>
      </c>
      <c r="N4715" s="3" t="n">
        <v>118.92</v>
      </c>
      <c r="O4715">
        <f>TEXT(A4715,"yyyy-mm")</f>
        <v/>
      </c>
    </row>
    <row r="4716">
      <c r="A4716" s="2" t="n">
        <v>46261</v>
      </c>
      <c r="B4716" t="n">
        <v>2026</v>
      </c>
      <c r="C4716" t="inlineStr">
        <is>
          <t>August</t>
        </is>
      </c>
      <c r="D4716" t="inlineStr">
        <is>
          <t>Smart Cookbook</t>
        </is>
      </c>
      <c r="E4716" t="inlineStr">
        <is>
          <t>Books</t>
        </is>
      </c>
      <c r="F4716" t="inlineStr">
        <is>
          <t>Peter Muller</t>
        </is>
      </c>
      <c r="G4716" t="inlineStr">
        <is>
          <t>Italy</t>
        </is>
      </c>
      <c r="H4716" t="inlineStr">
        <is>
          <t>Marketplace</t>
        </is>
      </c>
      <c r="I4716" t="n">
        <v>5</v>
      </c>
      <c r="J4716" s="3" t="n">
        <v>86.55</v>
      </c>
      <c r="K4716" s="3" t="n">
        <v>8.65</v>
      </c>
      <c r="L4716" s="3" t="n">
        <v>77.90000000000001</v>
      </c>
      <c r="M4716" s="3" t="n">
        <v>49.4</v>
      </c>
      <c r="N4716" s="3" t="n">
        <v>28.49</v>
      </c>
      <c r="O4716">
        <f>TEXT(A4716,"yyyy-mm")</f>
        <v/>
      </c>
    </row>
    <row r="4717">
      <c r="A4717" s="2" t="n">
        <v>46261</v>
      </c>
      <c r="B4717" t="n">
        <v>2026</v>
      </c>
      <c r="C4717" t="inlineStr">
        <is>
          <t>August</t>
        </is>
      </c>
      <c r="D4717" t="inlineStr">
        <is>
          <t>Eco Sweater</t>
        </is>
      </c>
      <c r="E4717" t="inlineStr">
        <is>
          <t>Clothing</t>
        </is>
      </c>
      <c r="F4717" t="inlineStr">
        <is>
          <t>Peter Muller</t>
        </is>
      </c>
      <c r="G4717" t="inlineStr">
        <is>
          <t>Italy</t>
        </is>
      </c>
      <c r="H4717" t="inlineStr">
        <is>
          <t>Marketplace</t>
        </is>
      </c>
      <c r="I4717" t="n">
        <v>2</v>
      </c>
      <c r="J4717" s="3" t="n">
        <v>302.64</v>
      </c>
      <c r="K4717" s="3" t="n">
        <v>30.26</v>
      </c>
      <c r="L4717" s="3" t="n">
        <v>272.38</v>
      </c>
      <c r="M4717" s="3" t="n">
        <v>208.46</v>
      </c>
      <c r="N4717" s="3" t="n">
        <v>63.92</v>
      </c>
      <c r="O4717">
        <f>TEXT(A4717,"yyyy-mm")</f>
        <v/>
      </c>
    </row>
    <row r="4718">
      <c r="A4718" s="2" t="n">
        <v>46261</v>
      </c>
      <c r="B4718" t="n">
        <v>2026</v>
      </c>
      <c r="C4718" t="inlineStr">
        <is>
          <t>August</t>
        </is>
      </c>
      <c r="D4718" t="inlineStr">
        <is>
          <t>Smart Drone</t>
        </is>
      </c>
      <c r="E4718" t="inlineStr">
        <is>
          <t>Toys &amp; Games</t>
        </is>
      </c>
      <c r="F4718" t="inlineStr">
        <is>
          <t>Peter Muller</t>
        </is>
      </c>
      <c r="G4718" t="inlineStr">
        <is>
          <t>Italy</t>
        </is>
      </c>
      <c r="H4718" t="inlineStr">
        <is>
          <t>Marketplace</t>
        </is>
      </c>
      <c r="I4718" t="n">
        <v>4</v>
      </c>
      <c r="J4718" s="3" t="n">
        <v>855.28</v>
      </c>
      <c r="K4718" s="3" t="n">
        <v>0</v>
      </c>
      <c r="L4718" s="3" t="n">
        <v>855.28</v>
      </c>
      <c r="M4718" s="3" t="n">
        <v>507.8</v>
      </c>
      <c r="N4718" s="3" t="n">
        <v>347.48</v>
      </c>
      <c r="O4718">
        <f>TEXT(A4718,"yyyy-mm")</f>
        <v/>
      </c>
    </row>
    <row r="4719">
      <c r="A4719" s="2" t="n">
        <v>46261</v>
      </c>
      <c r="B4719" t="n">
        <v>2026</v>
      </c>
      <c r="C4719" t="inlineStr">
        <is>
          <t>August</t>
        </is>
      </c>
      <c r="D4719" t="inlineStr">
        <is>
          <t>Wireless Coffee Beans</t>
        </is>
      </c>
      <c r="E4719" t="inlineStr">
        <is>
          <t>Grocery</t>
        </is>
      </c>
      <c r="F4719" t="inlineStr">
        <is>
          <t>Emily Schmidt</t>
        </is>
      </c>
      <c r="G4719" t="inlineStr">
        <is>
          <t>Netherlands</t>
        </is>
      </c>
      <c r="H4719" t="inlineStr">
        <is>
          <t>Marketplace</t>
        </is>
      </c>
      <c r="I4719" t="n">
        <v>4</v>
      </c>
      <c r="J4719" s="3" t="n">
        <v>880.88</v>
      </c>
      <c r="K4719" s="3" t="n">
        <v>0</v>
      </c>
      <c r="L4719" s="3" t="n">
        <v>880.88</v>
      </c>
      <c r="M4719" s="3" t="n">
        <v>520.52</v>
      </c>
      <c r="N4719" s="3" t="n">
        <v>360.36</v>
      </c>
      <c r="O4719">
        <f>TEXT(A4719,"yyyy-mm")</f>
        <v/>
      </c>
    </row>
    <row r="4720">
      <c r="A4720" s="2" t="n">
        <v>46261</v>
      </c>
      <c r="B4720" t="n">
        <v>2026</v>
      </c>
      <c r="C4720" t="inlineStr">
        <is>
          <t>August</t>
        </is>
      </c>
      <c r="D4720" t="inlineStr">
        <is>
          <t>Deluxe Scarf</t>
        </is>
      </c>
      <c r="E4720" t="inlineStr">
        <is>
          <t>Clothing</t>
        </is>
      </c>
      <c r="F4720" t="inlineStr">
        <is>
          <t>Emily Schmidt</t>
        </is>
      </c>
      <c r="G4720" t="inlineStr">
        <is>
          <t>Netherlands</t>
        </is>
      </c>
      <c r="H4720" t="inlineStr">
        <is>
          <t>Marketplace</t>
        </is>
      </c>
      <c r="I4720" t="n">
        <v>2</v>
      </c>
      <c r="J4720" s="3" t="n">
        <v>405.72</v>
      </c>
      <c r="K4720" s="3" t="n">
        <v>20.29</v>
      </c>
      <c r="L4720" s="3" t="n">
        <v>385.43</v>
      </c>
      <c r="M4720" s="3" t="n">
        <v>217.04</v>
      </c>
      <c r="N4720" s="3" t="n">
        <v>168.39</v>
      </c>
      <c r="O4720">
        <f>TEXT(A4720,"yyyy-mm")</f>
        <v/>
      </c>
    </row>
    <row r="4721">
      <c r="A4721" s="2" t="n">
        <v>46261</v>
      </c>
      <c r="B4721" t="n">
        <v>2026</v>
      </c>
      <c r="C4721" t="inlineStr">
        <is>
          <t>August</t>
        </is>
      </c>
      <c r="D4721" t="inlineStr">
        <is>
          <t>Essential Vitamins</t>
        </is>
      </c>
      <c r="E4721" t="inlineStr">
        <is>
          <t>Beauty &amp; Health</t>
        </is>
      </c>
      <c r="F4721" t="inlineStr">
        <is>
          <t>Clara Weber</t>
        </is>
      </c>
      <c r="G4721" t="inlineStr">
        <is>
          <t>Netherlands</t>
        </is>
      </c>
      <c r="H4721" t="inlineStr">
        <is>
          <t>Retail Store</t>
        </is>
      </c>
      <c r="I4721" t="n">
        <v>2</v>
      </c>
      <c r="J4721" s="3" t="n">
        <v>352.16</v>
      </c>
      <c r="K4721" s="3" t="n">
        <v>17.61</v>
      </c>
      <c r="L4721" s="3" t="n">
        <v>334.55</v>
      </c>
      <c r="M4721" s="3" t="n">
        <v>220.6</v>
      </c>
      <c r="N4721" s="3" t="n">
        <v>113.95</v>
      </c>
      <c r="O4721">
        <f>TEXT(A4721,"yyyy-mm")</f>
        <v/>
      </c>
    </row>
    <row r="4722">
      <c r="A4722" s="2" t="n">
        <v>46261</v>
      </c>
      <c r="B4722" t="n">
        <v>2026</v>
      </c>
      <c r="C4722" t="inlineStr">
        <is>
          <t>August</t>
        </is>
      </c>
      <c r="D4722" t="inlineStr">
        <is>
          <t>Smart Sweater</t>
        </is>
      </c>
      <c r="E4722" t="inlineStr">
        <is>
          <t>Clothing</t>
        </is>
      </c>
      <c r="F4722" t="inlineStr">
        <is>
          <t>Clara Weber</t>
        </is>
      </c>
      <c r="G4722" t="inlineStr">
        <is>
          <t>Netherlands</t>
        </is>
      </c>
      <c r="H4722" t="inlineStr">
        <is>
          <t>Retail Store</t>
        </is>
      </c>
      <c r="I4722" t="n">
        <v>3</v>
      </c>
      <c r="J4722" s="3" t="n">
        <v>427.35</v>
      </c>
      <c r="K4722" s="3" t="n">
        <v>21.37</v>
      </c>
      <c r="L4722" s="3" t="n">
        <v>405.98</v>
      </c>
      <c r="M4722" s="3" t="n">
        <v>232.05</v>
      </c>
      <c r="N4722" s="3" t="n">
        <v>173.93</v>
      </c>
      <c r="O4722">
        <f>TEXT(A4722,"yyyy-mm")</f>
        <v/>
      </c>
    </row>
    <row r="4723">
      <c r="A4723" s="2" t="n">
        <v>46261</v>
      </c>
      <c r="B4723" t="n">
        <v>2026</v>
      </c>
      <c r="C4723" t="inlineStr">
        <is>
          <t>August</t>
        </is>
      </c>
      <c r="D4723" t="inlineStr">
        <is>
          <t>Premium Tent</t>
        </is>
      </c>
      <c r="E4723" t="inlineStr">
        <is>
          <t>Sports &amp; Outdoors</t>
        </is>
      </c>
      <c r="F4723" t="inlineStr">
        <is>
          <t>Clara Weber</t>
        </is>
      </c>
      <c r="G4723" t="inlineStr">
        <is>
          <t>Netherlands</t>
        </is>
      </c>
      <c r="H4723" t="inlineStr">
        <is>
          <t>Retail Store</t>
        </is>
      </c>
      <c r="I4723" t="n">
        <v>4</v>
      </c>
      <c r="J4723" s="3" t="n">
        <v>1065.6</v>
      </c>
      <c r="K4723" s="3" t="n">
        <v>213.12</v>
      </c>
      <c r="L4723" s="3" t="n">
        <v>852.48</v>
      </c>
      <c r="M4723" s="3" t="n">
        <v>661.24</v>
      </c>
      <c r="N4723" s="3" t="n">
        <v>191.24</v>
      </c>
      <c r="O4723">
        <f>TEXT(A4723,"yyyy-mm")</f>
        <v/>
      </c>
    </row>
    <row r="4724">
      <c r="A4724" s="2" t="n">
        <v>46264</v>
      </c>
      <c r="B4724" t="n">
        <v>2026</v>
      </c>
      <c r="C4724" t="inlineStr">
        <is>
          <t>August</t>
        </is>
      </c>
      <c r="D4724" t="inlineStr">
        <is>
          <t>Deluxe Smartwatch</t>
        </is>
      </c>
      <c r="E4724" t="inlineStr">
        <is>
          <t>Electronics</t>
        </is>
      </c>
      <c r="F4724" t="inlineStr">
        <is>
          <t>Emily Dubois</t>
        </is>
      </c>
      <c r="G4724" t="inlineStr">
        <is>
          <t>Italy</t>
        </is>
      </c>
      <c r="H4724" t="inlineStr">
        <is>
          <t>Retail Store</t>
        </is>
      </c>
      <c r="I4724" t="n">
        <v>5</v>
      </c>
      <c r="J4724" s="3" t="n">
        <v>814.55</v>
      </c>
      <c r="K4724" s="3" t="n">
        <v>40.73</v>
      </c>
      <c r="L4724" s="3" t="n">
        <v>773.8200000000001</v>
      </c>
      <c r="M4724" s="3" t="n">
        <v>613.6</v>
      </c>
      <c r="N4724" s="3" t="n">
        <v>160.22</v>
      </c>
      <c r="O4724">
        <f>TEXT(A4724,"yyyy-mm")</f>
        <v/>
      </c>
    </row>
    <row r="4725">
      <c r="A4725" s="2" t="n">
        <v>46264</v>
      </c>
      <c r="B4725" t="n">
        <v>2026</v>
      </c>
      <c r="C4725" t="inlineStr">
        <is>
          <t>August</t>
        </is>
      </c>
      <c r="D4725" t="inlineStr">
        <is>
          <t>Eco Tent</t>
        </is>
      </c>
      <c r="E4725" t="inlineStr">
        <is>
          <t>Sports &amp; Outdoors</t>
        </is>
      </c>
      <c r="F4725" t="inlineStr">
        <is>
          <t>Sophie Garcia</t>
        </is>
      </c>
      <c r="G4725" t="inlineStr">
        <is>
          <t>France</t>
        </is>
      </c>
      <c r="H4725" t="inlineStr">
        <is>
          <t>Retail Store</t>
        </is>
      </c>
      <c r="I4725" t="n">
        <v>1</v>
      </c>
      <c r="J4725" s="3" t="n">
        <v>257.72</v>
      </c>
      <c r="K4725" s="3" t="n">
        <v>0</v>
      </c>
      <c r="L4725" s="3" t="n">
        <v>257.72</v>
      </c>
      <c r="M4725" s="3" t="n">
        <v>135.03</v>
      </c>
      <c r="N4725" s="3" t="n">
        <v>122.69</v>
      </c>
      <c r="O4725">
        <f>TEXT(A4725,"yyyy-mm")</f>
        <v/>
      </c>
    </row>
    <row r="4726">
      <c r="A4726" s="2" t="n">
        <v>46264</v>
      </c>
      <c r="B4726" t="n">
        <v>2026</v>
      </c>
      <c r="C4726" t="inlineStr">
        <is>
          <t>August</t>
        </is>
      </c>
      <c r="D4726" t="inlineStr">
        <is>
          <t>Smart Charger</t>
        </is>
      </c>
      <c r="E4726" t="inlineStr">
        <is>
          <t>Electronics</t>
        </is>
      </c>
      <c r="F4726" t="inlineStr">
        <is>
          <t>Sophie Garcia</t>
        </is>
      </c>
      <c r="G4726" t="inlineStr">
        <is>
          <t>France</t>
        </is>
      </c>
      <c r="H4726" t="inlineStr">
        <is>
          <t>Retail Store</t>
        </is>
      </c>
      <c r="I4726" t="n">
        <v>4</v>
      </c>
      <c r="J4726" s="3" t="n">
        <v>1038.28</v>
      </c>
      <c r="K4726" s="3" t="n">
        <v>207.66</v>
      </c>
      <c r="L4726" s="3" t="n">
        <v>830.62</v>
      </c>
      <c r="M4726" s="3" t="n">
        <v>570.08</v>
      </c>
      <c r="N4726" s="3" t="n">
        <v>260.54</v>
      </c>
      <c r="O4726">
        <f>TEXT(A4726,"yyyy-mm")</f>
        <v/>
      </c>
    </row>
    <row r="4727">
      <c r="A4727" s="2" t="n">
        <v>46264</v>
      </c>
      <c r="B4727" t="n">
        <v>2026</v>
      </c>
      <c r="C4727" t="inlineStr">
        <is>
          <t>August</t>
        </is>
      </c>
      <c r="D4727" t="inlineStr">
        <is>
          <t>Essential Jacket</t>
        </is>
      </c>
      <c r="E4727" t="inlineStr">
        <is>
          <t>Clothing</t>
        </is>
      </c>
      <c r="F4727" t="inlineStr">
        <is>
          <t>Emily Dubois</t>
        </is>
      </c>
      <c r="G4727" t="inlineStr">
        <is>
          <t>Italy</t>
        </is>
      </c>
      <c r="H4727" t="inlineStr">
        <is>
          <t>Retail Store</t>
        </is>
      </c>
      <c r="I4727" t="n">
        <v>5</v>
      </c>
      <c r="J4727" s="3" t="n">
        <v>711.5</v>
      </c>
      <c r="K4727" s="3" t="n">
        <v>35.58</v>
      </c>
      <c r="L4727" s="3" t="n">
        <v>675.92</v>
      </c>
      <c r="M4727" s="3" t="n">
        <v>426.75</v>
      </c>
      <c r="N4727" s="3" t="n">
        <v>249.17</v>
      </c>
      <c r="O4727">
        <f>TEXT(A4727,"yyyy-mm")</f>
        <v/>
      </c>
    </row>
    <row r="4728">
      <c r="A4728" s="2" t="n">
        <v>46264</v>
      </c>
      <c r="B4728" t="n">
        <v>2026</v>
      </c>
      <c r="C4728" t="inlineStr">
        <is>
          <t>August</t>
        </is>
      </c>
      <c r="D4728" t="inlineStr">
        <is>
          <t>Wireless Cookbook</t>
        </is>
      </c>
      <c r="E4728" t="inlineStr">
        <is>
          <t>Books</t>
        </is>
      </c>
      <c r="F4728" t="inlineStr">
        <is>
          <t>Nina Fischer</t>
        </is>
      </c>
      <c r="G4728" t="inlineStr">
        <is>
          <t>Poland</t>
        </is>
      </c>
      <c r="H4728" t="inlineStr">
        <is>
          <t>Retail Store</t>
        </is>
      </c>
      <c r="I4728" t="n">
        <v>1</v>
      </c>
      <c r="J4728" s="3" t="n">
        <v>77.36</v>
      </c>
      <c r="K4728" s="3" t="n">
        <v>0</v>
      </c>
      <c r="L4728" s="3" t="n">
        <v>77.36</v>
      </c>
      <c r="M4728" s="3" t="n">
        <v>56.61</v>
      </c>
      <c r="N4728" s="3" t="n">
        <v>20.75</v>
      </c>
      <c r="O4728">
        <f>TEXT(A4728,"yyyy-mm")</f>
        <v/>
      </c>
    </row>
    <row r="4729">
      <c r="A4729" s="2" t="n">
        <v>46264</v>
      </c>
      <c r="B4729" t="n">
        <v>2026</v>
      </c>
      <c r="C4729" t="inlineStr">
        <is>
          <t>August</t>
        </is>
      </c>
      <c r="D4729" t="inlineStr">
        <is>
          <t>Deluxe Cookbook</t>
        </is>
      </c>
      <c r="E4729" t="inlineStr">
        <is>
          <t>Books</t>
        </is>
      </c>
      <c r="F4729" t="inlineStr">
        <is>
          <t>Sophie Garcia</t>
        </is>
      </c>
      <c r="G4729" t="inlineStr">
        <is>
          <t>France</t>
        </is>
      </c>
      <c r="H4729" t="inlineStr">
        <is>
          <t>Retail Store</t>
        </is>
      </c>
      <c r="I4729" t="n">
        <v>5</v>
      </c>
      <c r="J4729" s="3" t="n">
        <v>656.6</v>
      </c>
      <c r="K4729" s="3" t="n">
        <v>32.83</v>
      </c>
      <c r="L4729" s="3" t="n">
        <v>623.77</v>
      </c>
      <c r="M4729" s="3" t="n">
        <v>426.35</v>
      </c>
      <c r="N4729" s="3" t="n">
        <v>197.42</v>
      </c>
      <c r="O4729">
        <f>TEXT(A4729,"yyyy-mm")</f>
        <v/>
      </c>
    </row>
    <row r="4730">
      <c r="A4730" s="2" t="n">
        <v>46264</v>
      </c>
      <c r="B4730" t="n">
        <v>2026</v>
      </c>
      <c r="C4730" t="inlineStr">
        <is>
          <t>August</t>
        </is>
      </c>
      <c r="D4730" t="inlineStr">
        <is>
          <t>Essential Toolset</t>
        </is>
      </c>
      <c r="E4730" t="inlineStr">
        <is>
          <t>Home &amp; Garden</t>
        </is>
      </c>
      <c r="F4730" t="inlineStr">
        <is>
          <t>Sophie Garcia</t>
        </is>
      </c>
      <c r="G4730" t="inlineStr">
        <is>
          <t>France</t>
        </is>
      </c>
      <c r="H4730" t="inlineStr">
        <is>
          <t>Retail Store</t>
        </is>
      </c>
      <c r="I4730" t="n">
        <v>4</v>
      </c>
      <c r="J4730" s="3" t="n">
        <v>825.6799999999999</v>
      </c>
      <c r="K4730" s="3" t="n">
        <v>0</v>
      </c>
      <c r="L4730" s="3" t="n">
        <v>825.6799999999999</v>
      </c>
      <c r="M4730" s="3" t="n">
        <v>602.12</v>
      </c>
      <c r="N4730" s="3" t="n">
        <v>223.56</v>
      </c>
      <c r="O4730">
        <f>TEXT(A4730,"yyyy-mm")</f>
        <v/>
      </c>
    </row>
    <row r="4731">
      <c r="A4731" s="2" t="n">
        <v>46265</v>
      </c>
      <c r="B4731" t="n">
        <v>2026</v>
      </c>
      <c r="C4731" t="inlineStr">
        <is>
          <t>August</t>
        </is>
      </c>
      <c r="D4731" t="inlineStr">
        <is>
          <t>Deluxe Smartwatch</t>
        </is>
      </c>
      <c r="E4731" t="inlineStr">
        <is>
          <t>Electronics</t>
        </is>
      </c>
      <c r="F4731" t="inlineStr">
        <is>
          <t>Nina Wilson</t>
        </is>
      </c>
      <c r="G4731" t="inlineStr">
        <is>
          <t>Poland</t>
        </is>
      </c>
      <c r="H4731" t="inlineStr">
        <is>
          <t>Mobile App</t>
        </is>
      </c>
      <c r="I4731" t="n">
        <v>3</v>
      </c>
      <c r="J4731" s="3" t="n">
        <v>486.99</v>
      </c>
      <c r="K4731" s="3" t="n">
        <v>97.40000000000001</v>
      </c>
      <c r="L4731" s="3" t="n">
        <v>389.59</v>
      </c>
      <c r="M4731" s="3" t="n">
        <v>368.16</v>
      </c>
      <c r="N4731" s="3" t="n">
        <v>21.43</v>
      </c>
      <c r="O4731">
        <f>TEXT(A4731,"yyyy-mm")</f>
        <v/>
      </c>
    </row>
    <row r="4732">
      <c r="A4732" s="2" t="n">
        <v>46265</v>
      </c>
      <c r="B4732" t="n">
        <v>2026</v>
      </c>
      <c r="C4732" t="inlineStr">
        <is>
          <t>August</t>
        </is>
      </c>
      <c r="D4732" t="inlineStr">
        <is>
          <t>Deluxe Puzzle</t>
        </is>
      </c>
      <c r="E4732" t="inlineStr">
        <is>
          <t>Toys &amp; Games</t>
        </is>
      </c>
      <c r="F4732" t="inlineStr">
        <is>
          <t>Nina Wilson</t>
        </is>
      </c>
      <c r="G4732" t="inlineStr">
        <is>
          <t>Poland</t>
        </is>
      </c>
      <c r="H4732" t="inlineStr">
        <is>
          <t>Mobile App</t>
        </is>
      </c>
      <c r="I4732" t="n">
        <v>4</v>
      </c>
      <c r="J4732" s="3" t="n">
        <v>811.84</v>
      </c>
      <c r="K4732" s="3" t="n">
        <v>40.59</v>
      </c>
      <c r="L4732" s="3" t="n">
        <v>771.25</v>
      </c>
      <c r="M4732" s="3" t="n">
        <v>444.68</v>
      </c>
      <c r="N4732" s="3" t="n">
        <v>326.57</v>
      </c>
      <c r="O4732">
        <f>TEXT(A4732,"yyyy-mm")</f>
        <v/>
      </c>
    </row>
    <row r="4733">
      <c r="A4733" s="2" t="n">
        <v>46265</v>
      </c>
      <c r="B4733" t="n">
        <v>2026</v>
      </c>
      <c r="C4733" t="inlineStr">
        <is>
          <t>August</t>
        </is>
      </c>
      <c r="D4733" t="inlineStr">
        <is>
          <t>Compact Pasta</t>
        </is>
      </c>
      <c r="E4733" t="inlineStr">
        <is>
          <t>Grocery</t>
        </is>
      </c>
      <c r="F4733" t="inlineStr">
        <is>
          <t>Clara Smith</t>
        </is>
      </c>
      <c r="G4733" t="inlineStr">
        <is>
          <t>United States</t>
        </is>
      </c>
      <c r="H4733" t="inlineStr">
        <is>
          <t>Web Store</t>
        </is>
      </c>
      <c r="I4733" t="n">
        <v>2</v>
      </c>
      <c r="J4733" s="3" t="n">
        <v>598.1799999999999</v>
      </c>
      <c r="K4733" s="3" t="n">
        <v>29.91</v>
      </c>
      <c r="L4733" s="3" t="n">
        <v>568.27</v>
      </c>
      <c r="M4733" s="3" t="n">
        <v>398.8</v>
      </c>
      <c r="N4733" s="3" t="n">
        <v>169.47</v>
      </c>
      <c r="O4733">
        <f>TEXT(A4733,"yyyy-mm")</f>
        <v/>
      </c>
    </row>
    <row r="4734">
      <c r="A4734" s="2" t="n">
        <v>46265</v>
      </c>
      <c r="B4734" t="n">
        <v>2026</v>
      </c>
      <c r="C4734" t="inlineStr">
        <is>
          <t>August</t>
        </is>
      </c>
      <c r="D4734" t="inlineStr">
        <is>
          <t>Ultra Backpack</t>
        </is>
      </c>
      <c r="E4734" t="inlineStr">
        <is>
          <t>Sports &amp; Outdoors</t>
        </is>
      </c>
      <c r="F4734" t="inlineStr">
        <is>
          <t>Clara Smith</t>
        </is>
      </c>
      <c r="G4734" t="inlineStr">
        <is>
          <t>United States</t>
        </is>
      </c>
      <c r="H4734" t="inlineStr">
        <is>
          <t>Web Store</t>
        </is>
      </c>
      <c r="I4734" t="n">
        <v>5</v>
      </c>
      <c r="J4734" s="3" t="n">
        <v>1528.55</v>
      </c>
      <c r="K4734" s="3" t="n">
        <v>152.85</v>
      </c>
      <c r="L4734" s="3" t="n">
        <v>1375.7</v>
      </c>
      <c r="M4734" s="3" t="n">
        <v>868.45</v>
      </c>
      <c r="N4734" s="3" t="n">
        <v>507.24</v>
      </c>
      <c r="O4734">
        <f>TEXT(A4734,"yyyy-mm")</f>
        <v/>
      </c>
    </row>
    <row r="4735">
      <c r="A4735" s="2" t="n">
        <v>46265</v>
      </c>
      <c r="B4735" t="n">
        <v>2026</v>
      </c>
      <c r="C4735" t="inlineStr">
        <is>
          <t>August</t>
        </is>
      </c>
      <c r="D4735" t="inlineStr">
        <is>
          <t>Portable Puzzle</t>
        </is>
      </c>
      <c r="E4735" t="inlineStr">
        <is>
          <t>Toys &amp; Games</t>
        </is>
      </c>
      <c r="F4735" t="inlineStr">
        <is>
          <t>Nina Wilson</t>
        </is>
      </c>
      <c r="G4735" t="inlineStr">
        <is>
          <t>Poland</t>
        </is>
      </c>
      <c r="H4735" t="inlineStr">
        <is>
          <t>Mobile App</t>
        </is>
      </c>
      <c r="I4735" t="n">
        <v>1</v>
      </c>
      <c r="J4735" s="3" t="n">
        <v>111.69</v>
      </c>
      <c r="K4735" s="3" t="n">
        <v>16.75</v>
      </c>
      <c r="L4735" s="3" t="n">
        <v>94.94</v>
      </c>
      <c r="M4735" s="3" t="n">
        <v>58.8</v>
      </c>
      <c r="N4735" s="3" t="n">
        <v>36.14</v>
      </c>
      <c r="O4735">
        <f>TEXT(A4735,"yyyy-mm")</f>
        <v/>
      </c>
    </row>
    <row r="4736">
      <c r="A4736" s="2" t="n">
        <v>46265</v>
      </c>
      <c r="B4736" t="n">
        <v>2026</v>
      </c>
      <c r="C4736" t="inlineStr">
        <is>
          <t>August</t>
        </is>
      </c>
      <c r="D4736" t="inlineStr">
        <is>
          <t>Portable Puzzle</t>
        </is>
      </c>
      <c r="E4736" t="inlineStr">
        <is>
          <t>Toys &amp; Games</t>
        </is>
      </c>
      <c r="F4736" t="inlineStr">
        <is>
          <t>Clara Smith</t>
        </is>
      </c>
      <c r="G4736" t="inlineStr">
        <is>
          <t>United States</t>
        </is>
      </c>
      <c r="H4736" t="inlineStr">
        <is>
          <t>Web Store</t>
        </is>
      </c>
      <c r="I4736" t="n">
        <v>1</v>
      </c>
      <c r="J4736" s="3" t="n">
        <v>302.81</v>
      </c>
      <c r="K4736" s="3" t="n">
        <v>0</v>
      </c>
      <c r="L4736" s="3" t="n">
        <v>302.81</v>
      </c>
      <c r="M4736" s="3" t="n">
        <v>173.66</v>
      </c>
      <c r="N4736" s="3" t="n">
        <v>129.15</v>
      </c>
      <c r="O4736">
        <f>TEXT(A4736,"yyyy-mm")</f>
        <v/>
      </c>
    </row>
    <row r="4737">
      <c r="A4737" s="2" t="n">
        <v>46265</v>
      </c>
      <c r="B4737" t="n">
        <v>2026</v>
      </c>
      <c r="C4737" t="inlineStr">
        <is>
          <t>August</t>
        </is>
      </c>
      <c r="D4737" t="inlineStr">
        <is>
          <t>Classic Tent</t>
        </is>
      </c>
      <c r="E4737" t="inlineStr">
        <is>
          <t>Sports &amp; Outdoors</t>
        </is>
      </c>
      <c r="F4737" t="inlineStr">
        <is>
          <t>Nina Wilson</t>
        </is>
      </c>
      <c r="G4737" t="inlineStr">
        <is>
          <t>Poland</t>
        </is>
      </c>
      <c r="H4737" t="inlineStr">
        <is>
          <t>Mobile App</t>
        </is>
      </c>
      <c r="I4737" t="n">
        <v>5</v>
      </c>
      <c r="J4737" s="3" t="n">
        <v>1054.3</v>
      </c>
      <c r="K4737" s="3" t="n">
        <v>52.72</v>
      </c>
      <c r="L4737" s="3" t="n">
        <v>1001.59</v>
      </c>
      <c r="M4737" s="3" t="n">
        <v>590.1</v>
      </c>
      <c r="N4737" s="3" t="n">
        <v>411.49</v>
      </c>
      <c r="O4737">
        <f>TEXT(A4737,"yyyy-mm")</f>
        <v/>
      </c>
    </row>
    <row r="4738">
      <c r="A4738" s="2" t="n">
        <v>46267</v>
      </c>
      <c r="B4738" t="n">
        <v>2026</v>
      </c>
      <c r="C4738" t="inlineStr">
        <is>
          <t>September</t>
        </is>
      </c>
      <c r="D4738" t="inlineStr">
        <is>
          <t>Smart Coffee Beans</t>
        </is>
      </c>
      <c r="E4738" t="inlineStr">
        <is>
          <t>Grocery</t>
        </is>
      </c>
      <c r="F4738" t="inlineStr">
        <is>
          <t>Sophie Johnson</t>
        </is>
      </c>
      <c r="G4738" t="inlineStr">
        <is>
          <t>France</t>
        </is>
      </c>
      <c r="H4738" t="inlineStr">
        <is>
          <t>Mobile App</t>
        </is>
      </c>
      <c r="I4738" t="n">
        <v>5</v>
      </c>
      <c r="J4738" s="3" t="n">
        <v>569.2</v>
      </c>
      <c r="K4738" s="3" t="n">
        <v>0</v>
      </c>
      <c r="L4738" s="3" t="n">
        <v>569.2</v>
      </c>
      <c r="M4738" s="3" t="n">
        <v>364.25</v>
      </c>
      <c r="N4738" s="3" t="n">
        <v>204.95</v>
      </c>
      <c r="O4738">
        <f>TEXT(A4738,"yyyy-mm")</f>
        <v/>
      </c>
    </row>
    <row r="4739">
      <c r="A4739" s="2" t="n">
        <v>46267</v>
      </c>
      <c r="B4739" t="n">
        <v>2026</v>
      </c>
      <c r="C4739" t="inlineStr">
        <is>
          <t>September</t>
        </is>
      </c>
      <c r="D4739" t="inlineStr">
        <is>
          <t>Classic Coffee Beans</t>
        </is>
      </c>
      <c r="E4739" t="inlineStr">
        <is>
          <t>Grocery</t>
        </is>
      </c>
      <c r="F4739" t="inlineStr">
        <is>
          <t>Sophie Johnson</t>
        </is>
      </c>
      <c r="G4739" t="inlineStr">
        <is>
          <t>France</t>
        </is>
      </c>
      <c r="H4739" t="inlineStr">
        <is>
          <t>Mobile App</t>
        </is>
      </c>
      <c r="I4739" t="n">
        <v>2</v>
      </c>
      <c r="J4739" s="3" t="n">
        <v>618.34</v>
      </c>
      <c r="K4739" s="3" t="n">
        <v>0</v>
      </c>
      <c r="L4739" s="3" t="n">
        <v>618.34</v>
      </c>
      <c r="M4739" s="3" t="n">
        <v>389.52</v>
      </c>
      <c r="N4739" s="3" t="n">
        <v>228.82</v>
      </c>
      <c r="O4739">
        <f>TEXT(A4739,"yyyy-mm")</f>
        <v/>
      </c>
    </row>
    <row r="4740">
      <c r="A4740" s="2" t="n">
        <v>46267</v>
      </c>
      <c r="B4740" t="n">
        <v>2026</v>
      </c>
      <c r="C4740" t="inlineStr">
        <is>
          <t>September</t>
        </is>
      </c>
      <c r="D4740" t="inlineStr">
        <is>
          <t>Ultra Backpack</t>
        </is>
      </c>
      <c r="E4740" t="inlineStr">
        <is>
          <t>Sports &amp; Outdoors</t>
        </is>
      </c>
      <c r="F4740" t="inlineStr">
        <is>
          <t>Sophie Johnson</t>
        </is>
      </c>
      <c r="G4740" t="inlineStr">
        <is>
          <t>France</t>
        </is>
      </c>
      <c r="H4740" t="inlineStr">
        <is>
          <t>Mobile App</t>
        </is>
      </c>
      <c r="I4740" t="n">
        <v>2</v>
      </c>
      <c r="J4740" s="3" t="n">
        <v>632.96</v>
      </c>
      <c r="K4740" s="3" t="n">
        <v>94.94</v>
      </c>
      <c r="L4740" s="3" t="n">
        <v>538.02</v>
      </c>
      <c r="M4740" s="3" t="n">
        <v>347.38</v>
      </c>
      <c r="N4740" s="3" t="n">
        <v>190.64</v>
      </c>
      <c r="O4740">
        <f>TEXT(A4740,"yyyy-mm")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2" customWidth="1" min="4" max="4"/>
    <col width="26" customWidth="1" min="8" max="8"/>
    <col width="14" customWidth="1" min="9" max="9"/>
  </cols>
  <sheetData>
    <row r="1">
      <c r="A1" s="4" t="inlineStr">
        <is>
          <t>Summary (live formulas, referencing the SalesData table)</t>
        </is>
      </c>
    </row>
    <row r="3">
      <c r="A3" s="5" t="inlineStr">
        <is>
          <t>Revenue by Category</t>
        </is>
      </c>
    </row>
    <row r="4">
      <c r="A4" s="6" t="inlineStr">
        <is>
          <t>Category</t>
        </is>
      </c>
      <c r="B4" s="6" t="inlineStr">
        <is>
          <t>Revenue</t>
        </is>
      </c>
      <c r="C4" s="6" t="inlineStr">
        <is>
          <t>Margin</t>
        </is>
      </c>
      <c r="D4" s="6" t="inlineStr">
        <is>
          <t>Margin %</t>
        </is>
      </c>
    </row>
    <row r="5">
      <c r="A5" t="inlineStr">
        <is>
          <t>Beauty &amp; Health</t>
        </is>
      </c>
      <c r="B5" s="3">
        <f>SUMIFS(SalesData[Net Amount],SalesData[Category],A5)</f>
        <v/>
      </c>
      <c r="C5" s="3">
        <f>SUMIFS(SalesData[Margin],SalesData[Category],A5)</f>
        <v/>
      </c>
      <c r="D5" s="7">
        <f>IFERROR(C5/B5,0)</f>
        <v/>
      </c>
    </row>
    <row r="6">
      <c r="A6" t="inlineStr">
        <is>
          <t>Books</t>
        </is>
      </c>
      <c r="B6" s="3">
        <f>SUMIFS(SalesData[Net Amount],SalesData[Category],A6)</f>
        <v/>
      </c>
      <c r="C6" s="3">
        <f>SUMIFS(SalesData[Margin],SalesData[Category],A6)</f>
        <v/>
      </c>
      <c r="D6" s="7">
        <f>IFERROR(C6/B6,0)</f>
        <v/>
      </c>
    </row>
    <row r="7">
      <c r="A7" t="inlineStr">
        <is>
          <t>Clothing</t>
        </is>
      </c>
      <c r="B7" s="3">
        <f>SUMIFS(SalesData[Net Amount],SalesData[Category],A7)</f>
        <v/>
      </c>
      <c r="C7" s="3">
        <f>SUMIFS(SalesData[Margin],SalesData[Category],A7)</f>
        <v/>
      </c>
      <c r="D7" s="7">
        <f>IFERROR(C7/B7,0)</f>
        <v/>
      </c>
    </row>
    <row r="8">
      <c r="A8" t="inlineStr">
        <is>
          <t>Electronics</t>
        </is>
      </c>
      <c r="B8" s="3">
        <f>SUMIFS(SalesData[Net Amount],SalesData[Category],A8)</f>
        <v/>
      </c>
      <c r="C8" s="3">
        <f>SUMIFS(SalesData[Margin],SalesData[Category],A8)</f>
        <v/>
      </c>
      <c r="D8" s="7">
        <f>IFERROR(C8/B8,0)</f>
        <v/>
      </c>
    </row>
    <row r="9">
      <c r="A9" t="inlineStr">
        <is>
          <t>Grocery</t>
        </is>
      </c>
      <c r="B9" s="3">
        <f>SUMIFS(SalesData[Net Amount],SalesData[Category],A9)</f>
        <v/>
      </c>
      <c r="C9" s="3">
        <f>SUMIFS(SalesData[Margin],SalesData[Category],A9)</f>
        <v/>
      </c>
      <c r="D9" s="7">
        <f>IFERROR(C9/B9,0)</f>
        <v/>
      </c>
    </row>
    <row r="10">
      <c r="A10" t="inlineStr">
        <is>
          <t>Home &amp; Garden</t>
        </is>
      </c>
      <c r="B10" s="3">
        <f>SUMIFS(SalesData[Net Amount],SalesData[Category],A10)</f>
        <v/>
      </c>
      <c r="C10" s="3">
        <f>SUMIFS(SalesData[Margin],SalesData[Category],A10)</f>
        <v/>
      </c>
      <c r="D10" s="7">
        <f>IFERROR(C10/B10,0)</f>
        <v/>
      </c>
    </row>
    <row r="11">
      <c r="A11" t="inlineStr">
        <is>
          <t>Sports &amp; Outdoors</t>
        </is>
      </c>
      <c r="B11" s="3">
        <f>SUMIFS(SalesData[Net Amount],SalesData[Category],A11)</f>
        <v/>
      </c>
      <c r="C11" s="3">
        <f>SUMIFS(SalesData[Margin],SalesData[Category],A11)</f>
        <v/>
      </c>
      <c r="D11" s="7">
        <f>IFERROR(C11/B11,0)</f>
        <v/>
      </c>
    </row>
    <row r="12">
      <c r="A12" t="inlineStr">
        <is>
          <t>Toys &amp; Games</t>
        </is>
      </c>
      <c r="B12" s="3">
        <f>SUMIFS(SalesData[Net Amount],SalesData[Category],A12)</f>
        <v/>
      </c>
      <c r="C12" s="3">
        <f>SUMIFS(SalesData[Margin],SalesData[Category],A12)</f>
        <v/>
      </c>
      <c r="D12" s="7">
        <f>IFERROR(C12/B12,0)</f>
        <v/>
      </c>
    </row>
    <row r="15">
      <c r="A15" s="5" t="inlineStr">
        <is>
          <t>Revenue by Channel</t>
        </is>
      </c>
    </row>
    <row r="16">
      <c r="A16" s="6" t="inlineStr">
        <is>
          <t>Channel</t>
        </is>
      </c>
      <c r="B16" s="6" t="inlineStr">
        <is>
          <t>Revenue</t>
        </is>
      </c>
      <c r="C16" s="6" t="inlineStr">
        <is>
          <t>Orders (line items)</t>
        </is>
      </c>
      <c r="D16" s="6" t="inlineStr">
        <is>
          <t>Avg Order Value</t>
        </is>
      </c>
    </row>
    <row r="17">
      <c r="A17" t="inlineStr">
        <is>
          <t>Marketplace</t>
        </is>
      </c>
      <c r="B17" s="3">
        <f>SUMIFS(SalesData[Net Amount],SalesData[Channel],A17)</f>
        <v/>
      </c>
      <c r="C17">
        <f>COUNTIFS(SalesData[Channel],A17)</f>
        <v/>
      </c>
      <c r="D17" s="3">
        <f>IFERROR(B17/C17,0)</f>
        <v/>
      </c>
    </row>
    <row r="18">
      <c r="A18" t="inlineStr">
        <is>
          <t>Mobile App</t>
        </is>
      </c>
      <c r="B18" s="3">
        <f>SUMIFS(SalesData[Net Amount],SalesData[Channel],A18)</f>
        <v/>
      </c>
      <c r="C18">
        <f>COUNTIFS(SalesData[Channel],A18)</f>
        <v/>
      </c>
      <c r="D18" s="3">
        <f>IFERROR(B18/C18,0)</f>
        <v/>
      </c>
    </row>
    <row r="19">
      <c r="A19" t="inlineStr">
        <is>
          <t>Retail Store</t>
        </is>
      </c>
      <c r="B19" s="3">
        <f>SUMIFS(SalesData[Net Amount],SalesData[Channel],A19)</f>
        <v/>
      </c>
      <c r="C19">
        <f>COUNTIFS(SalesData[Channel],A19)</f>
        <v/>
      </c>
      <c r="D19" s="3">
        <f>IFERROR(B19/C19,0)</f>
        <v/>
      </c>
    </row>
    <row r="20">
      <c r="A20" t="inlineStr">
        <is>
          <t>Web Store</t>
        </is>
      </c>
      <c r="B20" s="3">
        <f>SUMIFS(SalesData[Net Amount],SalesData[Channel],A20)</f>
        <v/>
      </c>
      <c r="C20">
        <f>COUNTIFS(SalesData[Channel],A20)</f>
        <v/>
      </c>
      <c r="D20" s="3">
        <f>IFERROR(B20/C20,0)</f>
        <v/>
      </c>
    </row>
    <row r="23">
      <c r="A23" s="5" t="inlineStr">
        <is>
          <t>Revenue by Month (Period = TEXT(date,"yyyy-mm"))</t>
        </is>
      </c>
    </row>
    <row r="24">
      <c r="A24" s="6" t="inlineStr">
        <is>
          <t>Period</t>
        </is>
      </c>
      <c r="B24" s="6" t="inlineStr">
        <is>
          <t>Revenue</t>
        </is>
      </c>
    </row>
    <row r="25">
      <c r="A25" t="inlineStr">
        <is>
          <t>2024-09</t>
        </is>
      </c>
      <c r="B25" s="3">
        <f>SUMIFS(SalesData[Net Amount],SalesData[Period],A25)</f>
        <v/>
      </c>
    </row>
    <row r="26">
      <c r="A26" t="inlineStr">
        <is>
          <t>2024-10</t>
        </is>
      </c>
      <c r="B26" s="3">
        <f>SUMIFS(SalesData[Net Amount],SalesData[Period],A26)</f>
        <v/>
      </c>
    </row>
    <row r="27">
      <c r="A27" t="inlineStr">
        <is>
          <t>2024-11</t>
        </is>
      </c>
      <c r="B27" s="3">
        <f>SUMIFS(SalesData[Net Amount],SalesData[Period],A27)</f>
        <v/>
      </c>
    </row>
    <row r="28">
      <c r="A28" t="inlineStr">
        <is>
          <t>2024-12</t>
        </is>
      </c>
      <c r="B28" s="3">
        <f>SUMIFS(SalesData[Net Amount],SalesData[Period],A28)</f>
        <v/>
      </c>
    </row>
    <row r="29">
      <c r="A29" t="inlineStr">
        <is>
          <t>2025-01</t>
        </is>
      </c>
      <c r="B29" s="3">
        <f>SUMIFS(SalesData[Net Amount],SalesData[Period],A29)</f>
        <v/>
      </c>
    </row>
    <row r="30">
      <c r="A30" t="inlineStr">
        <is>
          <t>2025-02</t>
        </is>
      </c>
      <c r="B30" s="3">
        <f>SUMIFS(SalesData[Net Amount],SalesData[Period],A30)</f>
        <v/>
      </c>
    </row>
    <row r="31">
      <c r="A31" t="inlineStr">
        <is>
          <t>2025-03</t>
        </is>
      </c>
      <c r="B31" s="3">
        <f>SUMIFS(SalesData[Net Amount],SalesData[Period],A31)</f>
        <v/>
      </c>
    </row>
    <row r="32">
      <c r="A32" t="inlineStr">
        <is>
          <t>2025-04</t>
        </is>
      </c>
      <c r="B32" s="3">
        <f>SUMIFS(SalesData[Net Amount],SalesData[Period],A32)</f>
        <v/>
      </c>
    </row>
    <row r="33">
      <c r="A33" t="inlineStr">
        <is>
          <t>2025-05</t>
        </is>
      </c>
      <c r="B33" s="3">
        <f>SUMIFS(SalesData[Net Amount],SalesData[Period],A33)</f>
        <v/>
      </c>
    </row>
    <row r="34">
      <c r="A34" t="inlineStr">
        <is>
          <t>2025-06</t>
        </is>
      </c>
      <c r="B34" s="3">
        <f>SUMIFS(SalesData[Net Amount],SalesData[Period],A34)</f>
        <v/>
      </c>
    </row>
    <row r="35">
      <c r="A35" t="inlineStr">
        <is>
          <t>2025-07</t>
        </is>
      </c>
      <c r="B35" s="3">
        <f>SUMIFS(SalesData[Net Amount],SalesData[Period],A35)</f>
        <v/>
      </c>
    </row>
    <row r="36">
      <c r="A36" t="inlineStr">
        <is>
          <t>2025-08</t>
        </is>
      </c>
      <c r="B36" s="3">
        <f>SUMIFS(SalesData[Net Amount],SalesData[Period],A36)</f>
        <v/>
      </c>
    </row>
    <row r="37">
      <c r="A37" t="inlineStr">
        <is>
          <t>2025-09</t>
        </is>
      </c>
      <c r="B37" s="3">
        <f>SUMIFS(SalesData[Net Amount],SalesData[Period],A37)</f>
        <v/>
      </c>
    </row>
    <row r="38">
      <c r="A38" t="inlineStr">
        <is>
          <t>2025-10</t>
        </is>
      </c>
      <c r="B38" s="3">
        <f>SUMIFS(SalesData[Net Amount],SalesData[Period],A38)</f>
        <v/>
      </c>
    </row>
    <row r="39">
      <c r="A39" t="inlineStr">
        <is>
          <t>2025-11</t>
        </is>
      </c>
      <c r="B39" s="3">
        <f>SUMIFS(SalesData[Net Amount],SalesData[Period],A39)</f>
        <v/>
      </c>
    </row>
    <row r="40">
      <c r="A40" t="inlineStr">
        <is>
          <t>2025-12</t>
        </is>
      </c>
      <c r="B40" s="3">
        <f>SUMIFS(SalesData[Net Amount],SalesData[Period],A40)</f>
        <v/>
      </c>
    </row>
    <row r="41">
      <c r="A41" t="inlineStr">
        <is>
          <t>2026-01</t>
        </is>
      </c>
      <c r="B41" s="3">
        <f>SUMIFS(SalesData[Net Amount],SalesData[Period],A41)</f>
        <v/>
      </c>
    </row>
    <row r="42">
      <c r="A42" t="inlineStr">
        <is>
          <t>2026-02</t>
        </is>
      </c>
      <c r="B42" s="3">
        <f>SUMIFS(SalesData[Net Amount],SalesData[Period],A42)</f>
        <v/>
      </c>
    </row>
    <row r="43">
      <c r="A43" t="inlineStr">
        <is>
          <t>2026-03</t>
        </is>
      </c>
      <c r="B43" s="3">
        <f>SUMIFS(SalesData[Net Amount],SalesData[Period],A43)</f>
        <v/>
      </c>
    </row>
    <row r="44">
      <c r="A44" t="inlineStr">
        <is>
          <t>2026-04</t>
        </is>
      </c>
      <c r="B44" s="3">
        <f>SUMIFS(SalesData[Net Amount],SalesData[Period],A44)</f>
        <v/>
      </c>
    </row>
    <row r="45">
      <c r="A45" t="inlineStr">
        <is>
          <t>2026-05</t>
        </is>
      </c>
      <c r="B45" s="3">
        <f>SUMIFS(SalesData[Net Amount],SalesData[Period],A45)</f>
        <v/>
      </c>
    </row>
    <row r="46">
      <c r="A46" t="inlineStr">
        <is>
          <t>2026-06</t>
        </is>
      </c>
      <c r="B46" s="3">
        <f>SUMIFS(SalesData[Net Amount],SalesData[Period],A46)</f>
        <v/>
      </c>
    </row>
    <row r="47">
      <c r="A47" t="inlineStr">
        <is>
          <t>2026-07</t>
        </is>
      </c>
      <c r="B47" s="3">
        <f>SUMIFS(SalesData[Net Amount],SalesData[Period],A47)</f>
        <v/>
      </c>
    </row>
    <row r="48">
      <c r="A48" t="inlineStr">
        <is>
          <t>2026-08</t>
        </is>
      </c>
      <c r="B48" s="3">
        <f>SUMIFS(SalesData[Net Amount],SalesData[Period],A48)</f>
        <v/>
      </c>
    </row>
    <row r="49">
      <c r="A49" t="inlineStr">
        <is>
          <t>2026-09</t>
        </is>
      </c>
      <c r="B49" s="3">
        <f>SUMIFS(SalesData[Net Amount],SalesData[Period],A49)</f>
        <v/>
      </c>
    </row>
    <row r="52">
      <c r="A52" s="5" t="inlineStr">
        <is>
          <t>Top 10 Products by Revenue (LARGE + INDEX/MATCH)</t>
        </is>
      </c>
    </row>
    <row r="53">
      <c r="A53" s="6" t="inlineStr">
        <is>
          <t>Rank</t>
        </is>
      </c>
      <c r="B53" s="6" t="inlineStr">
        <is>
          <t>Product</t>
        </is>
      </c>
      <c r="C53" s="6" t="inlineStr">
        <is>
          <t>Revenue</t>
        </is>
      </c>
      <c r="H53" s="8" t="inlineStr">
        <is>
          <t>All Products (helper)</t>
        </is>
      </c>
      <c r="I53" s="8" t="inlineStr">
        <is>
          <t>Revenue</t>
        </is>
      </c>
    </row>
    <row r="54">
      <c r="A54" t="n">
        <v>1</v>
      </c>
      <c r="B54">
        <f>INDEX(H54:H122,MATCH(C54,I54:I122,0))</f>
        <v/>
      </c>
      <c r="C54" s="3">
        <f>LARGE(I54:I122,1)</f>
        <v/>
      </c>
      <c r="H54" t="inlineStr">
        <is>
          <t>Classic Atlas</t>
        </is>
      </c>
      <c r="I54" s="3">
        <f>SUMIFS(SalesData[Net Amount],SalesData[Product],H54)</f>
        <v/>
      </c>
    </row>
    <row r="55">
      <c r="A55" t="n">
        <v>2</v>
      </c>
      <c r="B55">
        <f>INDEX(H54:H122,MATCH(C55,I54:I122,0))</f>
        <v/>
      </c>
      <c r="C55" s="3">
        <f>LARGE(I54:I122,2)</f>
        <v/>
      </c>
      <c r="H55" t="inlineStr">
        <is>
          <t>Classic Bike Helmet</t>
        </is>
      </c>
      <c r="I55" s="3">
        <f>SUMIFS(SalesData[Net Amount],SalesData[Product],H55)</f>
        <v/>
      </c>
    </row>
    <row r="56">
      <c r="A56" t="n">
        <v>3</v>
      </c>
      <c r="B56">
        <f>INDEX(H54:H122,MATCH(C56,I54:I122,0))</f>
        <v/>
      </c>
      <c r="C56" s="3">
        <f>LARGE(I54:I122,3)</f>
        <v/>
      </c>
      <c r="H56" t="inlineStr">
        <is>
          <t>Classic Charger</t>
        </is>
      </c>
      <c r="I56" s="3">
        <f>SUMIFS(SalesData[Net Amount],SalesData[Product],H56)</f>
        <v/>
      </c>
    </row>
    <row r="57">
      <c r="A57" t="n">
        <v>4</v>
      </c>
      <c r="B57">
        <f>INDEX(H54:H122,MATCH(C57,I54:I122,0))</f>
        <v/>
      </c>
      <c r="C57" s="3">
        <f>LARGE(I54:I122,4)</f>
        <v/>
      </c>
      <c r="H57" t="inlineStr">
        <is>
          <t>Classic Coffee Beans</t>
        </is>
      </c>
      <c r="I57" s="3">
        <f>SUMIFS(SalesData[Net Amount],SalesData[Product],H57)</f>
        <v/>
      </c>
    </row>
    <row r="58">
      <c r="A58" t="n">
        <v>5</v>
      </c>
      <c r="B58">
        <f>INDEX(H54:H122,MATCH(C58,I54:I122,0))</f>
        <v/>
      </c>
      <c r="C58" s="3">
        <f>LARGE(I54:I122,5)</f>
        <v/>
      </c>
      <c r="H58" t="inlineStr">
        <is>
          <t>Classic Sunscreen</t>
        </is>
      </c>
      <c r="I58" s="3">
        <f>SUMIFS(SalesData[Net Amount],SalesData[Product],H58)</f>
        <v/>
      </c>
    </row>
    <row r="59">
      <c r="A59" t="n">
        <v>6</v>
      </c>
      <c r="B59">
        <f>INDEX(H54:H122,MATCH(C59,I54:I122,0))</f>
        <v/>
      </c>
      <c r="C59" s="3">
        <f>LARGE(I54:I122,6)</f>
        <v/>
      </c>
      <c r="H59" t="inlineStr">
        <is>
          <t>Classic Tea Set</t>
        </is>
      </c>
      <c r="I59" s="3">
        <f>SUMIFS(SalesData[Net Amount],SalesData[Product],H59)</f>
        <v/>
      </c>
    </row>
    <row r="60">
      <c r="A60" t="n">
        <v>7</v>
      </c>
      <c r="B60">
        <f>INDEX(H54:H122,MATCH(C60,I54:I122,0))</f>
        <v/>
      </c>
      <c r="C60" s="3">
        <f>LARGE(I54:I122,7)</f>
        <v/>
      </c>
      <c r="H60" t="inlineStr">
        <is>
          <t>Classic Tent</t>
        </is>
      </c>
      <c r="I60" s="3">
        <f>SUMIFS(SalesData[Net Amount],SalesData[Product],H60)</f>
        <v/>
      </c>
    </row>
    <row r="61">
      <c r="A61" t="n">
        <v>8</v>
      </c>
      <c r="B61">
        <f>INDEX(H54:H122,MATCH(C61,I54:I122,0))</f>
        <v/>
      </c>
      <c r="C61" s="3">
        <f>LARGE(I54:I122,8)</f>
        <v/>
      </c>
      <c r="H61" t="inlineStr">
        <is>
          <t>Classic Yoga Mat</t>
        </is>
      </c>
      <c r="I61" s="3">
        <f>SUMIFS(SalesData[Net Amount],SalesData[Product],H61)</f>
        <v/>
      </c>
    </row>
    <row r="62">
      <c r="A62" t="n">
        <v>9</v>
      </c>
      <c r="B62">
        <f>INDEX(H54:H122,MATCH(C62,I54:I122,0))</f>
        <v/>
      </c>
      <c r="C62" s="3">
        <f>LARGE(I54:I122,9)</f>
        <v/>
      </c>
      <c r="H62" t="inlineStr">
        <is>
          <t>Compact Biography</t>
        </is>
      </c>
      <c r="I62" s="3">
        <f>SUMIFS(SalesData[Net Amount],SalesData[Product],H62)</f>
        <v/>
      </c>
    </row>
    <row r="63">
      <c r="A63" t="n">
        <v>10</v>
      </c>
      <c r="B63">
        <f>INDEX(H54:H122,MATCH(C63,I54:I122,0))</f>
        <v/>
      </c>
      <c r="C63" s="3">
        <f>LARGE(I54:I122,10)</f>
        <v/>
      </c>
      <c r="H63" t="inlineStr">
        <is>
          <t>Compact Jacket</t>
        </is>
      </c>
      <c r="I63" s="3">
        <f>SUMIFS(SalesData[Net Amount],SalesData[Product],H63)</f>
        <v/>
      </c>
    </row>
    <row r="64">
      <c r="H64" t="inlineStr">
        <is>
          <t>Compact Pasta</t>
        </is>
      </c>
      <c r="I64" s="3">
        <f>SUMIFS(SalesData[Net Amount],SalesData[Product],H64)</f>
        <v/>
      </c>
    </row>
    <row r="65">
      <c r="H65" t="inlineStr">
        <is>
          <t>Compact Sunscreen</t>
        </is>
      </c>
      <c r="I65" s="3">
        <f>SUMIFS(SalesData[Net Amount],SalesData[Product],H65)</f>
        <v/>
      </c>
    </row>
    <row r="66">
      <c r="A66" s="5" t="inlineStr">
        <is>
          <t>Product Lookup (XLOOKUP demo - type a product name below)</t>
        </is>
      </c>
      <c r="H66" t="inlineStr">
        <is>
          <t>Deluxe Cookbook</t>
        </is>
      </c>
      <c r="I66" s="3">
        <f>SUMIFS(SalesData[Net Amount],SalesData[Product],H66)</f>
        <v/>
      </c>
    </row>
    <row r="67">
      <c r="A67" t="inlineStr">
        <is>
          <t>Product name:</t>
        </is>
      </c>
      <c r="B67" s="9" t="inlineStr">
        <is>
          <t>Classic Atlas</t>
        </is>
      </c>
      <c r="H67" t="inlineStr">
        <is>
          <t>Deluxe Headphones</t>
        </is>
      </c>
      <c r="I67" s="3">
        <f>SUMIFS(SalesData[Net Amount],SalesData[Product],H67)</f>
        <v/>
      </c>
    </row>
    <row r="68">
      <c r="A68" t="inlineStr">
        <is>
          <t>Revenue:</t>
        </is>
      </c>
      <c r="B68" s="3">
        <f>XLOOKUP(B67,H54:H122,I54:I122,"not found")</f>
        <v/>
      </c>
      <c r="H68" t="inlineStr">
        <is>
          <t>Deluxe Notebook</t>
        </is>
      </c>
      <c r="I68" s="3">
        <f>SUMIFS(SalesData[Net Amount],SalesData[Product],H68)</f>
        <v/>
      </c>
    </row>
    <row r="69">
      <c r="H69" t="inlineStr">
        <is>
          <t>Deluxe Puzzle</t>
        </is>
      </c>
      <c r="I69" s="3">
        <f>SUMIFS(SalesData[Net Amount],SalesData[Product],H69)</f>
        <v/>
      </c>
    </row>
    <row r="70">
      <c r="H70" t="inlineStr">
        <is>
          <t>Deluxe Scarf</t>
        </is>
      </c>
      <c r="I70" s="3">
        <f>SUMIFS(SalesData[Net Amount],SalesData[Product],H70)</f>
        <v/>
      </c>
    </row>
    <row r="71">
      <c r="H71" t="inlineStr">
        <is>
          <t>Deluxe Smartwatch</t>
        </is>
      </c>
      <c r="I71" s="3">
        <f>SUMIFS(SalesData[Net Amount],SalesData[Product],H71)</f>
        <v/>
      </c>
    </row>
    <row r="72">
      <c r="H72" t="inlineStr">
        <is>
          <t>Deluxe Toolset</t>
        </is>
      </c>
      <c r="I72" s="3">
        <f>SUMIFS(SalesData[Net Amount],SalesData[Product],H72)</f>
        <v/>
      </c>
    </row>
    <row r="73">
      <c r="H73" t="inlineStr">
        <is>
          <t>Deluxe Toothbrush</t>
        </is>
      </c>
      <c r="I73" s="3">
        <f>SUMIFS(SalesData[Net Amount],SalesData[Product],H73)</f>
        <v/>
      </c>
    </row>
    <row r="74">
      <c r="H74" t="inlineStr">
        <is>
          <t>Eco Backpack</t>
        </is>
      </c>
      <c r="I74" s="3">
        <f>SUMIFS(SalesData[Net Amount],SalesData[Product],H74)</f>
        <v/>
      </c>
    </row>
    <row r="75">
      <c r="H75" t="inlineStr">
        <is>
          <t>Eco Biography</t>
        </is>
      </c>
      <c r="I75" s="3">
        <f>SUMIFS(SalesData[Net Amount],SalesData[Product],H75)</f>
        <v/>
      </c>
    </row>
    <row r="76">
      <c r="H76" t="inlineStr">
        <is>
          <t>Eco Drone</t>
        </is>
      </c>
      <c r="I76" s="3">
        <f>SUMIFS(SalesData[Net Amount],SalesData[Product],H76)</f>
        <v/>
      </c>
    </row>
    <row r="77">
      <c r="H77" t="inlineStr">
        <is>
          <t>Eco Planter</t>
        </is>
      </c>
      <c r="I77" s="3">
        <f>SUMIFS(SalesData[Net Amount],SalesData[Product],H77)</f>
        <v/>
      </c>
    </row>
    <row r="78">
      <c r="H78" t="inlineStr">
        <is>
          <t>Eco Sweater</t>
        </is>
      </c>
      <c r="I78" s="3">
        <f>SUMIFS(SalesData[Net Amount],SalesData[Product],H78)</f>
        <v/>
      </c>
    </row>
    <row r="79">
      <c r="H79" t="inlineStr">
        <is>
          <t>Eco Tent</t>
        </is>
      </c>
      <c r="I79" s="3">
        <f>SUMIFS(SalesData[Net Amount],SalesData[Product],H79)</f>
        <v/>
      </c>
    </row>
    <row r="80">
      <c r="H80" t="inlineStr">
        <is>
          <t>Essential Charger</t>
        </is>
      </c>
      <c r="I80" s="3">
        <f>SUMIFS(SalesData[Net Amount],SalesData[Product],H80)</f>
        <v/>
      </c>
    </row>
    <row r="81">
      <c r="H81" t="inlineStr">
        <is>
          <t>Essential Cushion</t>
        </is>
      </c>
      <c r="I81" s="3">
        <f>SUMIFS(SalesData[Net Amount],SalesData[Product],H81)</f>
        <v/>
      </c>
    </row>
    <row r="82">
      <c r="H82" t="inlineStr">
        <is>
          <t>Essential Jacket</t>
        </is>
      </c>
      <c r="I82" s="3">
        <f>SUMIFS(SalesData[Net Amount],SalesData[Product],H82)</f>
        <v/>
      </c>
    </row>
    <row r="83">
      <c r="H83" t="inlineStr">
        <is>
          <t>Essential Lamp</t>
        </is>
      </c>
      <c r="I83" s="3">
        <f>SUMIFS(SalesData[Net Amount],SalesData[Product],H83)</f>
        <v/>
      </c>
    </row>
    <row r="84">
      <c r="H84" t="inlineStr">
        <is>
          <t>Essential Notebook</t>
        </is>
      </c>
      <c r="I84" s="3">
        <f>SUMIFS(SalesData[Net Amount],SalesData[Product],H84)</f>
        <v/>
      </c>
    </row>
    <row r="85">
      <c r="H85" t="inlineStr">
        <is>
          <t>Essential Pasta</t>
        </is>
      </c>
      <c r="I85" s="3">
        <f>SUMIFS(SalesData[Net Amount],SalesData[Product],H85)</f>
        <v/>
      </c>
    </row>
    <row r="86">
      <c r="H86" t="inlineStr">
        <is>
          <t>Essential Planter</t>
        </is>
      </c>
      <c r="I86" s="3">
        <f>SUMIFS(SalesData[Net Amount],SalesData[Product],H86)</f>
        <v/>
      </c>
    </row>
    <row r="87">
      <c r="H87" t="inlineStr">
        <is>
          <t>Essential Rug</t>
        </is>
      </c>
      <c r="I87" s="3">
        <f>SUMIFS(SalesData[Net Amount],SalesData[Product],H87)</f>
        <v/>
      </c>
    </row>
    <row r="88">
      <c r="H88" t="inlineStr">
        <is>
          <t>Essential Toolset</t>
        </is>
      </c>
      <c r="I88" s="3">
        <f>SUMIFS(SalesData[Net Amount],SalesData[Product],H88)</f>
        <v/>
      </c>
    </row>
    <row r="89">
      <c r="H89" t="inlineStr">
        <is>
          <t>Essential Vitamins</t>
        </is>
      </c>
      <c r="I89" s="3">
        <f>SUMIFS(SalesData[Net Amount],SalesData[Product],H89)</f>
        <v/>
      </c>
    </row>
    <row r="90">
      <c r="H90" t="inlineStr">
        <is>
          <t>Portable Bike Helmet</t>
        </is>
      </c>
      <c r="I90" s="3">
        <f>SUMIFS(SalesData[Net Amount],SalesData[Product],H90)</f>
        <v/>
      </c>
    </row>
    <row r="91">
      <c r="H91" t="inlineStr">
        <is>
          <t>Portable Notebook</t>
        </is>
      </c>
      <c r="I91" s="3">
        <f>SUMIFS(SalesData[Net Amount],SalesData[Product],H91)</f>
        <v/>
      </c>
    </row>
    <row r="92">
      <c r="H92" t="inlineStr">
        <is>
          <t>Portable Pasta</t>
        </is>
      </c>
      <c r="I92" s="3">
        <f>SUMIFS(SalesData[Net Amount],SalesData[Product],H92)</f>
        <v/>
      </c>
    </row>
    <row r="93">
      <c r="H93" t="inlineStr">
        <is>
          <t>Portable Puzzle</t>
        </is>
      </c>
      <c r="I93" s="3">
        <f>SUMIFS(SalesData[Net Amount],SalesData[Product],H93)</f>
        <v/>
      </c>
    </row>
    <row r="94">
      <c r="H94" t="inlineStr">
        <is>
          <t>Portable Speaker</t>
        </is>
      </c>
      <c r="I94" s="3">
        <f>SUMIFS(SalesData[Net Amount],SalesData[Product],H94)</f>
        <v/>
      </c>
    </row>
    <row r="95">
      <c r="H95" t="inlineStr">
        <is>
          <t>Portable Tea Set</t>
        </is>
      </c>
      <c r="I95" s="3">
        <f>SUMIFS(SalesData[Net Amount],SalesData[Product],H95)</f>
        <v/>
      </c>
    </row>
    <row r="96">
      <c r="H96" t="inlineStr">
        <is>
          <t>Portable Toolset</t>
        </is>
      </c>
      <c r="I96" s="3">
        <f>SUMIFS(SalesData[Net Amount],SalesData[Product],H96)</f>
        <v/>
      </c>
    </row>
    <row r="97">
      <c r="H97" t="inlineStr">
        <is>
          <t>Premium Cookbook</t>
        </is>
      </c>
      <c r="I97" s="3">
        <f>SUMIFS(SalesData[Net Amount],SalesData[Product],H97)</f>
        <v/>
      </c>
    </row>
    <row r="98">
      <c r="H98" t="inlineStr">
        <is>
          <t>Premium Rug</t>
        </is>
      </c>
      <c r="I98" s="3">
        <f>SUMIFS(SalesData[Net Amount],SalesData[Product],H98)</f>
        <v/>
      </c>
    </row>
    <row r="99">
      <c r="H99" t="inlineStr">
        <is>
          <t>Premium Tent</t>
        </is>
      </c>
      <c r="I99" s="3">
        <f>SUMIFS(SalesData[Net Amount],SalesData[Product],H99)</f>
        <v/>
      </c>
    </row>
    <row r="100">
      <c r="H100" t="inlineStr">
        <is>
          <t>Premium Water Bottle</t>
        </is>
      </c>
      <c r="I100" s="3">
        <f>SUMIFS(SalesData[Net Amount],SalesData[Product],H100)</f>
        <v/>
      </c>
    </row>
    <row r="101">
      <c r="H101" t="inlineStr">
        <is>
          <t>Smart Board Game</t>
        </is>
      </c>
      <c r="I101" s="3">
        <f>SUMIFS(SalesData[Net Amount],SalesData[Product],H101)</f>
        <v/>
      </c>
    </row>
    <row r="102">
      <c r="H102" t="inlineStr">
        <is>
          <t>Smart Camera</t>
        </is>
      </c>
      <c r="I102" s="3">
        <f>SUMIFS(SalesData[Net Amount],SalesData[Product],H102)</f>
        <v/>
      </c>
    </row>
    <row r="103">
      <c r="H103" t="inlineStr">
        <is>
          <t>Smart Charger</t>
        </is>
      </c>
      <c r="I103" s="3">
        <f>SUMIFS(SalesData[Net Amount],SalesData[Product],H103)</f>
        <v/>
      </c>
    </row>
    <row r="104">
      <c r="H104" t="inlineStr">
        <is>
          <t>Smart Coffee Beans</t>
        </is>
      </c>
      <c r="I104" s="3">
        <f>SUMIFS(SalesData[Net Amount],SalesData[Product],H104)</f>
        <v/>
      </c>
    </row>
    <row r="105">
      <c r="H105" t="inlineStr">
        <is>
          <t>Smart Cookbook</t>
        </is>
      </c>
      <c r="I105" s="3">
        <f>SUMIFS(SalesData[Net Amount],SalesData[Product],H105)</f>
        <v/>
      </c>
    </row>
    <row r="106">
      <c r="H106" t="inlineStr">
        <is>
          <t>Smart Drone</t>
        </is>
      </c>
      <c r="I106" s="3">
        <f>SUMIFS(SalesData[Net Amount],SalesData[Product],H106)</f>
        <v/>
      </c>
    </row>
    <row r="107">
      <c r="H107" t="inlineStr">
        <is>
          <t>Smart Face Cream</t>
        </is>
      </c>
      <c r="I107" s="3">
        <f>SUMIFS(SalesData[Net Amount],SalesData[Product],H107)</f>
        <v/>
      </c>
    </row>
    <row r="108">
      <c r="H108" t="inlineStr">
        <is>
          <t>Smart Honey</t>
        </is>
      </c>
      <c r="I108" s="3">
        <f>SUMIFS(SalesData[Net Amount],SalesData[Product],H108)</f>
        <v/>
      </c>
    </row>
    <row r="109">
      <c r="H109" t="inlineStr">
        <is>
          <t>Smart Jeans</t>
        </is>
      </c>
      <c r="I109" s="3">
        <f>SUMIFS(SalesData[Net Amount],SalesData[Product],H109)</f>
        <v/>
      </c>
    </row>
    <row r="110">
      <c r="H110" t="inlineStr">
        <is>
          <t>Smart Olive Oil</t>
        </is>
      </c>
      <c r="I110" s="3">
        <f>SUMIFS(SalesData[Net Amount],SalesData[Product],H110)</f>
        <v/>
      </c>
    </row>
    <row r="111">
      <c r="H111" t="inlineStr">
        <is>
          <t>Smart Puzzle</t>
        </is>
      </c>
      <c r="I111" s="3">
        <f>SUMIFS(SalesData[Net Amount],SalesData[Product],H111)</f>
        <v/>
      </c>
    </row>
    <row r="112">
      <c r="H112" t="inlineStr">
        <is>
          <t>Smart Sweater</t>
        </is>
      </c>
      <c r="I112" s="3">
        <f>SUMIFS(SalesData[Net Amount],SalesData[Product],H112)</f>
        <v/>
      </c>
    </row>
    <row r="113">
      <c r="H113" t="inlineStr">
        <is>
          <t>Smart Tea Set</t>
        </is>
      </c>
      <c r="I113" s="3">
        <f>SUMIFS(SalesData[Net Amount],SalesData[Product],H113)</f>
        <v/>
      </c>
    </row>
    <row r="114">
      <c r="H114" t="inlineStr">
        <is>
          <t>Ultra Backpack</t>
        </is>
      </c>
      <c r="I114" s="3">
        <f>SUMIFS(SalesData[Net Amount],SalesData[Product],H114)</f>
        <v/>
      </c>
    </row>
    <row r="115">
      <c r="H115" t="inlineStr">
        <is>
          <t>Ultra Rug</t>
        </is>
      </c>
      <c r="I115" s="3">
        <f>SUMIFS(SalesData[Net Amount],SalesData[Product],H115)</f>
        <v/>
      </c>
    </row>
    <row r="116">
      <c r="H116" t="inlineStr">
        <is>
          <t>Ultra Toolset</t>
        </is>
      </c>
      <c r="I116" s="3">
        <f>SUMIFS(SalesData[Net Amount],SalesData[Product],H116)</f>
        <v/>
      </c>
    </row>
    <row r="117">
      <c r="H117" t="inlineStr">
        <is>
          <t>Ultra Vitamins</t>
        </is>
      </c>
      <c r="I117" s="3">
        <f>SUMIFS(SalesData[Net Amount],SalesData[Product],H117)</f>
        <v/>
      </c>
    </row>
    <row r="118">
      <c r="H118" t="inlineStr">
        <is>
          <t>Wireless Backpack</t>
        </is>
      </c>
      <c r="I118" s="3">
        <f>SUMIFS(SalesData[Net Amount],SalesData[Product],H118)</f>
        <v/>
      </c>
    </row>
    <row r="119">
      <c r="H119" t="inlineStr">
        <is>
          <t>Wireless Coffee Beans</t>
        </is>
      </c>
      <c r="I119" s="3">
        <f>SUMIFS(SalesData[Net Amount],SalesData[Product],H119)</f>
        <v/>
      </c>
    </row>
    <row r="120">
      <c r="H120" t="inlineStr">
        <is>
          <t>Wireless Cookbook</t>
        </is>
      </c>
      <c r="I120" s="3">
        <f>SUMIFS(SalesData[Net Amount],SalesData[Product],H120)</f>
        <v/>
      </c>
    </row>
    <row r="121">
      <c r="H121" t="inlineStr">
        <is>
          <t>Wireless Drone</t>
        </is>
      </c>
      <c r="I121" s="3">
        <f>SUMIFS(SalesData[Net Amount],SalesData[Product],H121)</f>
        <v/>
      </c>
    </row>
    <row r="122">
      <c r="H122" t="inlineStr">
        <is>
          <t>Wireless Honey</t>
        </is>
      </c>
      <c r="I122" s="3">
        <f>SUMIFS(SalesData[Net Amount],SalesData[Product],H122)</f>
        <v/>
      </c>
    </row>
  </sheetData>
  <conditionalFormatting sqref="D5:D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0" t="inlineStr">
        <is>
          <t>E-Commerce Sales Dashboard (Excel)</t>
        </is>
      </c>
    </row>
    <row r="3">
      <c r="A3" s="5" t="inlineStr">
        <is>
          <t>Total Revenue</t>
        </is>
      </c>
      <c r="B3" s="11">
        <f>SUM(SalesData[Net Amount])</f>
        <v/>
      </c>
    </row>
    <row r="4">
      <c r="A4" s="5" t="inlineStr">
        <is>
          <t>Total Margin</t>
        </is>
      </c>
      <c r="B4" s="11">
        <f>SUM(SalesData[Margin])</f>
        <v/>
      </c>
    </row>
    <row r="5">
      <c r="A5" s="5" t="inlineStr">
        <is>
          <t>Margin %</t>
        </is>
      </c>
      <c r="B5" s="12">
        <f>IFERROR(B4/B3,0)</f>
        <v/>
      </c>
    </row>
    <row r="6">
      <c r="A6" s="5" t="inlineStr">
        <is>
          <t>Total Units</t>
        </is>
      </c>
      <c r="B6" s="13">
        <f>SUM(SalesData[Quantity])</f>
        <v/>
      </c>
    </row>
    <row r="7">
      <c r="A7" s="5" t="inlineStr">
        <is>
          <t>Avg Order Value</t>
        </is>
      </c>
      <c r="B7" s="11">
        <f>IFERROR(B3/COUNTA(SalesData[Order Date]),0)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</cols>
  <sheetData>
    <row r="1">
      <c r="A1" s="4" t="inlineStr">
        <is>
          <t>Budget vs Actual (illustrative targets - not real budget data)</t>
        </is>
      </c>
    </row>
    <row r="3">
      <c r="A3" t="inlineStr">
        <is>
          <t>Growth assumption vs prior year:</t>
        </is>
      </c>
      <c r="B3" s="14" t="n">
        <v>0.08</v>
      </c>
    </row>
    <row r="4">
      <c r="A4" t="inlineStr">
        <is>
          <t>Fallback baseline (no prior-year period):</t>
        </is>
      </c>
      <c r="B4" s="15" t="n">
        <v>81500</v>
      </c>
    </row>
    <row r="6">
      <c r="A6" s="6" t="inlineStr">
        <is>
          <t>Period</t>
        </is>
      </c>
      <c r="B6" s="6" t="inlineStr">
        <is>
          <t>Budget</t>
        </is>
      </c>
      <c r="C6" s="6" t="inlineStr">
        <is>
          <t>Actual</t>
        </is>
      </c>
      <c r="D6" s="6" t="inlineStr">
        <is>
          <t>Variance</t>
        </is>
      </c>
      <c r="E6" s="6" t="inlineStr">
        <is>
          <t>Variance %</t>
        </is>
      </c>
    </row>
    <row r="7">
      <c r="A7" t="inlineStr">
        <is>
          <t>2024-09</t>
        </is>
      </c>
      <c r="B7" s="15" t="n">
        <v>81500</v>
      </c>
      <c r="C7" s="3">
        <f>SUMIFS(SalesData[Net Amount],SalesData[Period],A7)</f>
        <v/>
      </c>
      <c r="D7" s="3">
        <f>C7-B7</f>
        <v/>
      </c>
      <c r="E7" s="7">
        <f>IFERROR(D7/B7,0)</f>
        <v/>
      </c>
    </row>
    <row r="8">
      <c r="A8" t="inlineStr">
        <is>
          <t>2024-10</t>
        </is>
      </c>
      <c r="B8" s="15" t="n">
        <v>81500</v>
      </c>
      <c r="C8" s="3">
        <f>SUMIFS(SalesData[Net Amount],SalesData[Period],A8)</f>
        <v/>
      </c>
      <c r="D8" s="3">
        <f>C8-B8</f>
        <v/>
      </c>
      <c r="E8" s="7">
        <f>IFERROR(D8/B8,0)</f>
        <v/>
      </c>
    </row>
    <row r="9">
      <c r="A9" t="inlineStr">
        <is>
          <t>2024-11</t>
        </is>
      </c>
      <c r="B9" s="15" t="n">
        <v>81500</v>
      </c>
      <c r="C9" s="3">
        <f>SUMIFS(SalesData[Net Amount],SalesData[Period],A9)</f>
        <v/>
      </c>
      <c r="D9" s="3">
        <f>C9-B9</f>
        <v/>
      </c>
      <c r="E9" s="7">
        <f>IFERROR(D9/B9,0)</f>
        <v/>
      </c>
    </row>
    <row r="10">
      <c r="A10" t="inlineStr">
        <is>
          <t>2024-12</t>
        </is>
      </c>
      <c r="B10" s="15" t="n">
        <v>81500</v>
      </c>
      <c r="C10" s="3">
        <f>SUMIFS(SalesData[Net Amount],SalesData[Period],A10)</f>
        <v/>
      </c>
      <c r="D10" s="3">
        <f>C10-B10</f>
        <v/>
      </c>
      <c r="E10" s="7">
        <f>IFERROR(D10/B10,0)</f>
        <v/>
      </c>
    </row>
    <row r="11">
      <c r="A11" t="inlineStr">
        <is>
          <t>2025-01</t>
        </is>
      </c>
      <c r="B11" s="15" t="n">
        <v>81500</v>
      </c>
      <c r="C11" s="3">
        <f>SUMIFS(SalesData[Net Amount],SalesData[Period],A11)</f>
        <v/>
      </c>
      <c r="D11" s="3">
        <f>C11-B11</f>
        <v/>
      </c>
      <c r="E11" s="7">
        <f>IFERROR(D11/B11,0)</f>
        <v/>
      </c>
    </row>
    <row r="12">
      <c r="A12" t="inlineStr">
        <is>
          <t>2025-02</t>
        </is>
      </c>
      <c r="B12" s="15" t="n">
        <v>81500</v>
      </c>
      <c r="C12" s="3">
        <f>SUMIFS(SalesData[Net Amount],SalesData[Period],A12)</f>
        <v/>
      </c>
      <c r="D12" s="3">
        <f>C12-B12</f>
        <v/>
      </c>
      <c r="E12" s="7">
        <f>IFERROR(D12/B12,0)</f>
        <v/>
      </c>
    </row>
    <row r="13">
      <c r="A13" t="inlineStr">
        <is>
          <t>2025-03</t>
        </is>
      </c>
      <c r="B13" s="15" t="n">
        <v>81500</v>
      </c>
      <c r="C13" s="3">
        <f>SUMIFS(SalesData[Net Amount],SalesData[Period],A13)</f>
        <v/>
      </c>
      <c r="D13" s="3">
        <f>C13-B13</f>
        <v/>
      </c>
      <c r="E13" s="7">
        <f>IFERROR(D13/B13,0)</f>
        <v/>
      </c>
    </row>
    <row r="14">
      <c r="A14" t="inlineStr">
        <is>
          <t>2025-04</t>
        </is>
      </c>
      <c r="B14" s="15" t="n">
        <v>81500</v>
      </c>
      <c r="C14" s="3">
        <f>SUMIFS(SalesData[Net Amount],SalesData[Period],A14)</f>
        <v/>
      </c>
      <c r="D14" s="3">
        <f>C14-B14</f>
        <v/>
      </c>
      <c r="E14" s="7">
        <f>IFERROR(D14/B14,0)</f>
        <v/>
      </c>
    </row>
    <row r="15">
      <c r="A15" t="inlineStr">
        <is>
          <t>2025-05</t>
        </is>
      </c>
      <c r="B15" s="15" t="n">
        <v>81500</v>
      </c>
      <c r="C15" s="3">
        <f>SUMIFS(SalesData[Net Amount],SalesData[Period],A15)</f>
        <v/>
      </c>
      <c r="D15" s="3">
        <f>C15-B15</f>
        <v/>
      </c>
      <c r="E15" s="7">
        <f>IFERROR(D15/B15,0)</f>
        <v/>
      </c>
    </row>
    <row r="16">
      <c r="A16" t="inlineStr">
        <is>
          <t>2025-06</t>
        </is>
      </c>
      <c r="B16" s="15" t="n">
        <v>81500</v>
      </c>
      <c r="C16" s="3">
        <f>SUMIFS(SalesData[Net Amount],SalesData[Period],A16)</f>
        <v/>
      </c>
      <c r="D16" s="3">
        <f>C16-B16</f>
        <v/>
      </c>
      <c r="E16" s="7">
        <f>IFERROR(D16/B16,0)</f>
        <v/>
      </c>
    </row>
    <row r="17">
      <c r="A17" t="inlineStr">
        <is>
          <t>2025-07</t>
        </is>
      </c>
      <c r="B17" s="15" t="n">
        <v>81500</v>
      </c>
      <c r="C17" s="3">
        <f>SUMIFS(SalesData[Net Amount],SalesData[Period],A17)</f>
        <v/>
      </c>
      <c r="D17" s="3">
        <f>C17-B17</f>
        <v/>
      </c>
      <c r="E17" s="7">
        <f>IFERROR(D17/B17,0)</f>
        <v/>
      </c>
    </row>
    <row r="18">
      <c r="A18" t="inlineStr">
        <is>
          <t>2025-08</t>
        </is>
      </c>
      <c r="B18" s="15" t="n">
        <v>81500</v>
      </c>
      <c r="C18" s="3">
        <f>SUMIFS(SalesData[Net Amount],SalesData[Period],A18)</f>
        <v/>
      </c>
      <c r="D18" s="3">
        <f>C18-B18</f>
        <v/>
      </c>
      <c r="E18" s="7">
        <f>IFERROR(D18/B18,0)</f>
        <v/>
      </c>
    </row>
    <row r="19">
      <c r="A19" t="inlineStr">
        <is>
          <t>2025-09</t>
        </is>
      </c>
      <c r="B19" s="15" t="n">
        <v>106400</v>
      </c>
      <c r="C19" s="3">
        <f>SUMIFS(SalesData[Net Amount],SalesData[Period],A19)</f>
        <v/>
      </c>
      <c r="D19" s="3">
        <f>C19-B19</f>
        <v/>
      </c>
      <c r="E19" s="7">
        <f>IFERROR(D19/B19,0)</f>
        <v/>
      </c>
    </row>
    <row r="20">
      <c r="A20" t="inlineStr">
        <is>
          <t>2025-10</t>
        </is>
      </c>
      <c r="B20" s="15" t="n">
        <v>122000</v>
      </c>
      <c r="C20" s="3">
        <f>SUMIFS(SalesData[Net Amount],SalesData[Period],A20)</f>
        <v/>
      </c>
      <c r="D20" s="3">
        <f>C20-B20</f>
        <v/>
      </c>
      <c r="E20" s="7">
        <f>IFERROR(D20/B20,0)</f>
        <v/>
      </c>
    </row>
    <row r="21">
      <c r="A21" t="inlineStr">
        <is>
          <t>2025-11</t>
        </is>
      </c>
      <c r="B21" s="15" t="n">
        <v>86200</v>
      </c>
      <c r="C21" s="3">
        <f>SUMIFS(SalesData[Net Amount],SalesData[Period],A21)</f>
        <v/>
      </c>
      <c r="D21" s="3">
        <f>C21-B21</f>
        <v/>
      </c>
      <c r="E21" s="7">
        <f>IFERROR(D21/B21,0)</f>
        <v/>
      </c>
    </row>
    <row r="22">
      <c r="A22" t="inlineStr">
        <is>
          <t>2025-12</t>
        </is>
      </c>
      <c r="B22" s="15" t="n">
        <v>89600</v>
      </c>
      <c r="C22" s="3">
        <f>SUMIFS(SalesData[Net Amount],SalesData[Period],A22)</f>
        <v/>
      </c>
      <c r="D22" s="3">
        <f>C22-B22</f>
        <v/>
      </c>
      <c r="E22" s="7">
        <f>IFERROR(D22/B22,0)</f>
        <v/>
      </c>
    </row>
    <row r="23">
      <c r="A23" t="inlineStr">
        <is>
          <t>2026-01</t>
        </is>
      </c>
      <c r="B23" s="15" t="n">
        <v>116700</v>
      </c>
      <c r="C23" s="3">
        <f>SUMIFS(SalesData[Net Amount],SalesData[Period],A23)</f>
        <v/>
      </c>
      <c r="D23" s="3">
        <f>C23-B23</f>
        <v/>
      </c>
      <c r="E23" s="7">
        <f>IFERROR(D23/B23,0)</f>
        <v/>
      </c>
    </row>
    <row r="24">
      <c r="A24" t="inlineStr">
        <is>
          <t>2026-02</t>
        </is>
      </c>
      <c r="B24" s="15" t="n">
        <v>86500</v>
      </c>
      <c r="C24" s="3">
        <f>SUMIFS(SalesData[Net Amount],SalesData[Period],A24)</f>
        <v/>
      </c>
      <c r="D24" s="3">
        <f>C24-B24</f>
        <v/>
      </c>
      <c r="E24" s="7">
        <f>IFERROR(D24/B24,0)</f>
        <v/>
      </c>
    </row>
    <row r="25">
      <c r="A25" t="inlineStr">
        <is>
          <t>2026-03</t>
        </is>
      </c>
      <c r="B25" s="15" t="n">
        <v>83800</v>
      </c>
      <c r="C25" s="3">
        <f>SUMIFS(SalesData[Net Amount],SalesData[Period],A25)</f>
        <v/>
      </c>
      <c r="D25" s="3">
        <f>C25-B25</f>
        <v/>
      </c>
      <c r="E25" s="7">
        <f>IFERROR(D25/B25,0)</f>
        <v/>
      </c>
    </row>
    <row r="26">
      <c r="A26" t="inlineStr">
        <is>
          <t>2026-04</t>
        </is>
      </c>
      <c r="B26" s="15" t="n">
        <v>119200</v>
      </c>
      <c r="C26" s="3">
        <f>SUMIFS(SalesData[Net Amount],SalesData[Period],A26)</f>
        <v/>
      </c>
      <c r="D26" s="3">
        <f>C26-B26</f>
        <v/>
      </c>
      <c r="E26" s="7">
        <f>IFERROR(D26/B26,0)</f>
        <v/>
      </c>
    </row>
    <row r="27">
      <c r="A27" t="inlineStr">
        <is>
          <t>2026-05</t>
        </is>
      </c>
      <c r="B27" s="15" t="n">
        <v>87400</v>
      </c>
      <c r="C27" s="3">
        <f>SUMIFS(SalesData[Net Amount],SalesData[Period],A27)</f>
        <v/>
      </c>
      <c r="D27" s="3">
        <f>C27-B27</f>
        <v/>
      </c>
      <c r="E27" s="7">
        <f>IFERROR(D27/B27,0)</f>
        <v/>
      </c>
    </row>
    <row r="28">
      <c r="A28" t="inlineStr">
        <is>
          <t>2026-06</t>
        </is>
      </c>
      <c r="B28" s="15" t="n">
        <v>109100</v>
      </c>
      <c r="C28" s="3">
        <f>SUMIFS(SalesData[Net Amount],SalesData[Period],A28)</f>
        <v/>
      </c>
      <c r="D28" s="3">
        <f>C28-B28</f>
        <v/>
      </c>
      <c r="E28" s="7">
        <f>IFERROR(D28/B28,0)</f>
        <v/>
      </c>
    </row>
    <row r="29">
      <c r="A29" t="inlineStr">
        <is>
          <t>2026-07</t>
        </is>
      </c>
      <c r="B29" s="15" t="n">
        <v>123600</v>
      </c>
      <c r="C29" s="3">
        <f>SUMIFS(SalesData[Net Amount],SalesData[Period],A29)</f>
        <v/>
      </c>
      <c r="D29" s="3">
        <f>C29-B29</f>
        <v/>
      </c>
      <c r="E29" s="7">
        <f>IFERROR(D29/B29,0)</f>
        <v/>
      </c>
    </row>
    <row r="30">
      <c r="A30" t="inlineStr">
        <is>
          <t>2026-08</t>
        </is>
      </c>
      <c r="B30" s="15" t="n">
        <v>112800</v>
      </c>
      <c r="C30" s="3">
        <f>SUMIFS(SalesData[Net Amount],SalesData[Period],A30)</f>
        <v/>
      </c>
      <c r="D30" s="3">
        <f>C30-B30</f>
        <v/>
      </c>
      <c r="E30" s="7">
        <f>IFERROR(D30/B30,0)</f>
        <v/>
      </c>
    </row>
    <row r="31">
      <c r="A31" t="inlineStr">
        <is>
          <t>2026-09</t>
        </is>
      </c>
      <c r="B31" s="15" t="n">
        <v>89300</v>
      </c>
      <c r="C31" s="3">
        <f>SUMIFS(SalesData[Net Amount],SalesData[Period],A31)</f>
        <v/>
      </c>
      <c r="D31" s="3">
        <f>C31-B31</f>
        <v/>
      </c>
      <c r="E31" s="7">
        <f>IFERROR(D31/B31,0)</f>
        <v/>
      </c>
    </row>
  </sheetData>
  <conditionalFormatting sqref="D7:D31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2026-09-08T21:04:29Z</dcterms:created>
  <dcterms:modified xsi:type="dcterms:W3CDTF">2026-09-08T21:04:31Z</dcterms:modified>
</cp:coreProperties>
</file>